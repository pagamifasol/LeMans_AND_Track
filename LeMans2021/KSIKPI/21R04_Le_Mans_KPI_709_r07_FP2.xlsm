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43A9B82A-B10D-48D8-B4E4-660EDA25C119}" xr6:coauthVersionLast="47" xr6:coauthVersionMax="47" xr10:uidLastSave="{00000000-0000-0000-0000-000000000000}"/>
  <bookViews>
    <workbookView xWindow="-120" yWindow="-120" windowWidth="29040" windowHeight="15840" firstSheet="4" activeTab="5" xr2:uid="{33A7812F-93B0-42E2-BFA7-E40E9D5444C4}"/>
  </bookViews>
  <sheets>
    <sheet name="CTRL" sheetId="11" r:id="rId1"/>
    <sheet name="Plot_Export" sheetId="12" r:id="rId2"/>
    <sheet name="All" sheetId="3" r:id="rId3"/>
    <sheet name="709_FP2_Outing1" sheetId="26" r:id="rId4"/>
    <sheet name="709_FP2_Outing2" sheetId="30" r:id="rId5"/>
    <sheet name="709_FP2_Outing 3" sheetId="31" r:id="rId6"/>
    <sheet name="709_FP2_Outing 4" sheetId="32" r:id="rId7"/>
    <sheet name="709_FP2_Outing 5" sheetId="40" r:id="rId8"/>
    <sheet name="709_FP2_Outing 6" sheetId="34" r:id="rId9"/>
    <sheet name="Driver 1" sheetId="13" r:id="rId10"/>
    <sheet name="Driver 2" sheetId="14" r:id="rId11"/>
    <sheet name="Driver 3" sheetId="15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" i="11" l="1"/>
  <c r="P7" i="11"/>
  <c r="Q9" i="11"/>
  <c r="P9" i="11"/>
  <c r="IS4" i="3"/>
  <c r="IT4" i="3"/>
  <c r="Q29" i="11"/>
  <c r="Q30" i="11"/>
  <c r="Q31" i="11" s="1"/>
  <c r="Q32" i="11" s="1"/>
  <c r="Q33" i="11" s="1"/>
  <c r="Q34" i="11" s="1"/>
  <c r="Q35" i="11" s="1"/>
  <c r="Q36" i="11" s="1"/>
  <c r="Q37" i="11" s="1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AZ4" i="3"/>
  <c r="BA4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DE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U4" i="3"/>
  <c r="FV4" i="3"/>
  <c r="FW4" i="3"/>
  <c r="FX4" i="3"/>
  <c r="FY4" i="3"/>
  <c r="FZ4" i="3"/>
  <c r="GA4" i="3"/>
  <c r="GB4" i="3"/>
  <c r="GC4" i="3"/>
  <c r="GD4" i="3"/>
  <c r="GE4" i="3"/>
  <c r="GF4" i="3"/>
  <c r="GG4" i="3"/>
  <c r="GH4" i="3"/>
  <c r="GI4" i="3"/>
  <c r="GJ4" i="3"/>
  <c r="GK4" i="3"/>
  <c r="GL4" i="3"/>
  <c r="GM4" i="3"/>
  <c r="GN4" i="3"/>
  <c r="GO4" i="3"/>
  <c r="GP4" i="3"/>
  <c r="GQ4" i="3"/>
  <c r="GR4" i="3"/>
  <c r="GS4" i="3"/>
  <c r="GT4" i="3"/>
  <c r="GU4" i="3"/>
  <c r="GV4" i="3"/>
  <c r="GW4" i="3"/>
  <c r="GX4" i="3"/>
  <c r="GY4" i="3"/>
  <c r="GZ4" i="3"/>
  <c r="HA4" i="3"/>
  <c r="HB4" i="3"/>
  <c r="HC4" i="3"/>
  <c r="HD4" i="3"/>
  <c r="HE4" i="3"/>
  <c r="HF4" i="3"/>
  <c r="HG4" i="3"/>
  <c r="HH4" i="3"/>
  <c r="HI4" i="3"/>
  <c r="HJ4" i="3"/>
  <c r="HK4" i="3"/>
  <c r="HL4" i="3"/>
  <c r="HM4" i="3"/>
  <c r="HN4" i="3"/>
  <c r="HO4" i="3"/>
  <c r="HP4" i="3"/>
  <c r="HQ4" i="3"/>
  <c r="HR4" i="3"/>
  <c r="HS4" i="3"/>
  <c r="HT4" i="3"/>
  <c r="HU4" i="3"/>
  <c r="HV4" i="3"/>
  <c r="HW4" i="3"/>
  <c r="HX4" i="3"/>
  <c r="HY4" i="3"/>
  <c r="HZ4" i="3"/>
  <c r="IA4" i="3"/>
  <c r="IB4" i="3"/>
  <c r="IC4" i="3"/>
  <c r="ID4" i="3"/>
  <c r="IE4" i="3"/>
  <c r="IF4" i="3"/>
  <c r="IG4" i="3"/>
  <c r="IH4" i="3"/>
  <c r="II4" i="3"/>
  <c r="IJ4" i="3"/>
  <c r="IK4" i="3"/>
  <c r="IL4" i="3"/>
  <c r="IM4" i="3"/>
  <c r="IN4" i="3"/>
  <c r="IO4" i="3"/>
  <c r="IP4" i="3"/>
  <c r="IQ4" i="3"/>
  <c r="IR4" i="3"/>
  <c r="B4" i="3"/>
  <c r="C84" i="11"/>
  <c r="X37" i="11"/>
  <c r="C81" i="11"/>
  <c r="C82" i="11"/>
  <c r="C83" i="11"/>
  <c r="C80" i="11"/>
  <c r="C77" i="11"/>
  <c r="C78" i="11"/>
  <c r="C79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D56" i="11"/>
  <c r="C56" i="11"/>
  <c r="C55" i="11"/>
  <c r="AP3" i="3"/>
  <c r="D81" i="11"/>
  <c r="D82" i="11" s="1"/>
  <c r="D83" i="11" s="1"/>
  <c r="T13" i="11"/>
  <c r="Q11" i="11"/>
  <c r="P11" i="11"/>
  <c r="P6" i="11"/>
  <c r="Q6" i="11" s="1"/>
  <c r="X20" i="11"/>
  <c r="C24" i="11" s="1"/>
  <c r="D77" i="11"/>
  <c r="D78" i="11" s="1"/>
  <c r="D79" i="11" s="1"/>
  <c r="D73" i="11"/>
  <c r="D74" i="11" s="1"/>
  <c r="D75" i="11" s="1"/>
  <c r="D70" i="11"/>
  <c r="D66" i="11"/>
  <c r="D67" i="11" s="1"/>
  <c r="D68" i="11" s="1"/>
  <c r="D62" i="11"/>
  <c r="D63" i="11" s="1"/>
  <c r="D64" i="11" s="1"/>
  <c r="D58" i="11"/>
  <c r="D59" i="11" s="1"/>
  <c r="D60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F84" i="11"/>
  <c r="E84" i="11"/>
  <c r="F83" i="11"/>
  <c r="G83" i="11"/>
  <c r="H83" i="11"/>
  <c r="I83" i="11"/>
  <c r="J83" i="11"/>
  <c r="K83" i="11"/>
  <c r="L83" i="11"/>
  <c r="E83" i="11"/>
  <c r="K82" i="11"/>
  <c r="F82" i="11"/>
  <c r="G82" i="11"/>
  <c r="H82" i="11"/>
  <c r="I82" i="11"/>
  <c r="J82" i="11"/>
  <c r="E82" i="11"/>
  <c r="F81" i="11"/>
  <c r="G81" i="11"/>
  <c r="E81" i="11"/>
  <c r="G80" i="11"/>
  <c r="F80" i="11"/>
  <c r="E80" i="11"/>
  <c r="F79" i="11"/>
  <c r="G79" i="11"/>
  <c r="H79" i="11"/>
  <c r="I79" i="11"/>
  <c r="J79" i="11"/>
  <c r="E79" i="11"/>
  <c r="G78" i="11"/>
  <c r="F78" i="11"/>
  <c r="E78" i="11"/>
  <c r="G77" i="11"/>
  <c r="F77" i="11"/>
  <c r="E77" i="11"/>
  <c r="G76" i="11"/>
  <c r="F76" i="11"/>
  <c r="E76" i="11"/>
  <c r="H75" i="11"/>
  <c r="G75" i="11"/>
  <c r="F75" i="11"/>
  <c r="E75" i="11"/>
  <c r="E74" i="11"/>
  <c r="E73" i="11"/>
  <c r="H72" i="11"/>
  <c r="I72" i="11"/>
  <c r="G72" i="11"/>
  <c r="F72" i="11"/>
  <c r="E72" i="11"/>
  <c r="H68" i="11"/>
  <c r="F68" i="11"/>
  <c r="G68" i="11"/>
  <c r="E68" i="11"/>
  <c r="F67" i="11"/>
  <c r="G67" i="11"/>
  <c r="H67" i="11"/>
  <c r="E67" i="11"/>
  <c r="F66" i="11"/>
  <c r="G66" i="11"/>
  <c r="H66" i="11"/>
  <c r="E66" i="11"/>
  <c r="F65" i="11"/>
  <c r="E65" i="11"/>
  <c r="F64" i="11"/>
  <c r="E64" i="11"/>
  <c r="G63" i="11"/>
  <c r="H63" i="11"/>
  <c r="F63" i="11"/>
  <c r="E63" i="11"/>
  <c r="F62" i="11"/>
  <c r="G62" i="11"/>
  <c r="H62" i="11"/>
  <c r="E62" i="11"/>
  <c r="I61" i="11"/>
  <c r="H61" i="11"/>
  <c r="G61" i="11"/>
  <c r="F61" i="11"/>
  <c r="E61" i="11"/>
  <c r="H60" i="11"/>
  <c r="G60" i="11"/>
  <c r="F60" i="11"/>
  <c r="E60" i="11"/>
  <c r="F59" i="11"/>
  <c r="G59" i="11"/>
  <c r="H59" i="11"/>
  <c r="I59" i="11"/>
  <c r="J59" i="11"/>
  <c r="K59" i="11"/>
  <c r="L59" i="11"/>
  <c r="E59" i="11"/>
  <c r="H58" i="11"/>
  <c r="G58" i="11"/>
  <c r="F58" i="11"/>
  <c r="E58" i="11"/>
  <c r="H57" i="11"/>
  <c r="G57" i="11"/>
  <c r="F57" i="11"/>
  <c r="E57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G3" i="3"/>
  <c r="CH3" i="3"/>
  <c r="CI3" i="3"/>
  <c r="CJ3" i="3"/>
  <c r="CK3" i="3"/>
  <c r="CL3" i="3"/>
  <c r="CM3" i="3"/>
  <c r="CN3" i="3"/>
  <c r="CO3" i="3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AQ2" i="3" l="1"/>
  <c r="AQ3" i="3"/>
  <c r="CF2" i="3"/>
  <c r="CF3" i="3"/>
  <c r="CE3" i="3"/>
  <c r="CE2" i="3"/>
  <c r="CC3" i="3"/>
  <c r="AP2" i="3"/>
  <c r="CD3" i="3"/>
  <c r="CC2" i="3"/>
  <c r="CD2" i="3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C26" i="11"/>
  <c r="X33" i="11" l="1"/>
  <c r="X34" i="11" s="1"/>
  <c r="X35" i="11" s="1"/>
  <c r="Q5" i="11"/>
  <c r="O5" i="11"/>
  <c r="O7" i="11"/>
  <c r="Q7" i="11"/>
  <c r="C29" i="11"/>
  <c r="C30" i="11"/>
  <c r="C27" i="11"/>
  <c r="C28" i="11"/>
  <c r="C31" i="11"/>
  <c r="C32" i="11"/>
  <c r="C33" i="11"/>
  <c r="C34" i="11"/>
  <c r="X36" i="11" l="1"/>
  <c r="C36" i="1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</calcChain>
</file>

<file path=xl/sharedStrings.xml><?xml version="1.0" encoding="utf-8"?>
<sst xmlns="http://schemas.openxmlformats.org/spreadsheetml/2006/main" count="2049" uniqueCount="422">
  <si>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</si>
  <si>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</si>
  <si>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</si>
  <si>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</si>
  <si>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</si>
  <si>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</si>
  <si>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</si>
  <si>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</si>
  <si>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</si>
  <si>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</si>
  <si>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</si>
  <si>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</si>
  <si>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</si>
  <si>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</si>
  <si>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</si>
  <si>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</si>
  <si>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</si>
  <si>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</si>
  <si>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</si>
  <si>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</si>
  <si>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</si>
  <si>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</si>
  <si>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</si>
  <si>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</si>
  <si>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</si>
  <si>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</si>
  <si>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</si>
  <si>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</si>
  <si>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</si>
  <si>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</si>
  <si>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</si>
  <si>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</si>
  <si>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</si>
  <si>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</si>
  <si>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</si>
  <si>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</si>
  <si>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</si>
  <si>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</si>
  <si>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</si>
  <si>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</si>
  <si>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</si>
  <si>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#1</t>
  </si>
  <si>
    <t>#2</t>
  </si>
  <si>
    <t>#3</t>
  </si>
  <si>
    <t>#4</t>
  </si>
  <si>
    <t>#5</t>
  </si>
  <si>
    <t>max</t>
  </si>
  <si>
    <t>min</t>
  </si>
  <si>
    <t>s2</t>
  </si>
  <si>
    <t>s3</t>
  </si>
  <si>
    <t>s4</t>
  </si>
  <si>
    <t>s5</t>
  </si>
  <si>
    <t>Ave frh_pitlane</t>
  </si>
  <si>
    <t>Ave rrh_pitlane</t>
  </si>
  <si>
    <t>Ave Ride_F_pit</t>
  </si>
  <si>
    <t>Ave Ride_RL_pit</t>
  </si>
  <si>
    <t>Ave Ride_RR_pit</t>
  </si>
  <si>
    <t>s6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</si>
  <si>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</si>
  <si>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</si>
  <si>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</si>
  <si>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</si>
  <si>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</si>
  <si>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</si>
  <si>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</si>
  <si>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</si>
  <si>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</si>
  <si>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</si>
  <si>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</si>
  <si>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</si>
  <si>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</si>
  <si>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</si>
  <si>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</si>
  <si>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</si>
  <si>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</si>
  <si>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</si>
  <si>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</si>
  <si>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</si>
  <si>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</si>
  <si>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</si>
  <si>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</si>
  <si>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</si>
  <si>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</si>
  <si>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</si>
  <si>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</si>
  <si>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</si>
  <si>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</si>
  <si>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</si>
  <si>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</si>
  <si>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</si>
  <si>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</si>
  <si>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</si>
  <si>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</si>
  <si>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</si>
  <si>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</si>
  <si>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</si>
  <si>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</si>
  <si>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</si>
  <si>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</si>
  <si>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</si>
  <si>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</si>
  <si>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</si>
  <si>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</si>
  <si>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</si>
  <si>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</si>
  <si>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</si>
  <si>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</si>
  <si>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</si>
  <si>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</si>
  <si>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</si>
  <si>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</si>
  <si>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</si>
  <si>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</si>
  <si>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</si>
  <si>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</si>
  <si>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</si>
  <si>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</si>
  <si>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</si>
  <si>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</si>
  <si>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</si>
  <si>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</si>
  <si>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</si>
  <si>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</si>
  <si>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</si>
  <si>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</si>
  <si>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</si>
  <si>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</si>
  <si>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</si>
  <si>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</si>
  <si>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</si>
  <si>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</si>
  <si>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</si>
  <si>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</si>
  <si>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</si>
  <si>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</si>
  <si>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</si>
  <si>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s1</t>
  </si>
  <si>
    <t>Engine 2</t>
  </si>
  <si>
    <t>System 2</t>
  </si>
  <si>
    <t>Setup 1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</si>
  <si>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</si>
  <si>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</si>
  <si>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</si>
  <si>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</si>
  <si>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</si>
  <si>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</si>
  <si>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</si>
  <si>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</si>
  <si>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</si>
  <si>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</si>
  <si>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</si>
  <si>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</si>
  <si>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</si>
  <si>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</si>
  <si>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</si>
  <si>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</si>
  <si>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</si>
  <si>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</si>
  <si>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</si>
  <si>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</si>
  <si>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</si>
  <si>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</si>
  <si>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</si>
  <si>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</si>
  <si>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</si>
  <si>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</si>
  <si>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</si>
  <si>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</si>
  <si>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</si>
  <si>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</si>
  <si>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</si>
  <si>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</si>
  <si>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</si>
  <si>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</si>
  <si>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</si>
  <si>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</si>
  <si>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</si>
  <si>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</si>
  <si>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</si>
  <si>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</si>
  <si>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</si>
  <si>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</si>
  <si>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</si>
  <si>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</si>
  <si>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</si>
  <si>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</si>
  <si>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</si>
  <si>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</si>
  <si>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</si>
  <si>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</si>
  <si>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</si>
  <si>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</si>
  <si>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</si>
  <si>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</si>
  <si>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</si>
  <si>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</si>
  <si>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</si>
  <si>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</si>
  <si>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</si>
  <si>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</si>
  <si>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</si>
  <si>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</si>
  <si>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</si>
  <si>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</si>
  <si>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</si>
  <si>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</si>
  <si>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</si>
  <si>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</si>
  <si>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</si>
  <si>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</si>
  <si>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</si>
  <si>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</si>
  <si>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</si>
  <si>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</si>
  <si>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</si>
  <si>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</si>
  <si>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</si>
  <si>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</si>
  <si>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</si>
  <si>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</si>
  <si>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</si>
  <si>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</si>
  <si>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</si>
  <si>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</si>
  <si>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</si>
  <si>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</si>
  <si>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</si>
  <si>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</si>
  <si>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</si>
  <si>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</si>
  <si>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</si>
  <si>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</si>
  <si>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</si>
  <si>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</si>
  <si>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</si>
  <si>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</si>
  <si>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</si>
  <si>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</si>
  <si>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</si>
  <si>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</si>
  <si>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</si>
  <si>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</si>
  <si>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</si>
  <si>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</si>
  <si>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</si>
  <si>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</si>
  <si>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</si>
  <si>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</si>
  <si>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</si>
  <si>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</si>
  <si>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</si>
  <si>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</si>
  <si>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</si>
  <si>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</si>
  <si>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</si>
  <si>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</si>
  <si>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</si>
  <si>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</si>
  <si>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CzF_TS</t>
  </si>
  <si>
    <t>CzR_TS</t>
  </si>
  <si>
    <t>Max accy_filtered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</si>
  <si>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</si>
  <si>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</si>
  <si>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</si>
  <si>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</si>
  <si>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</si>
  <si>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</si>
  <si>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</si>
  <si>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</si>
  <si>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</si>
  <si>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</si>
  <si>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</si>
  <si>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</si>
  <si>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</si>
  <si>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</si>
  <si>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</si>
  <si>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</si>
  <si>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</si>
  <si>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</si>
  <si>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</si>
  <si>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</si>
  <si>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</si>
  <si>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</si>
  <si>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</si>
  <si>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</si>
  <si>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</si>
  <si>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</si>
  <si>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</si>
  <si>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</si>
  <si>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</si>
  <si>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</si>
  <si>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</si>
  <si>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</si>
  <si>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</si>
  <si>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</si>
  <si>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</si>
  <si>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</si>
  <si>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</si>
  <si>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</si>
  <si>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</si>
  <si>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</si>
  <si>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</si>
  <si>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</si>
  <si>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</si>
  <si>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</si>
  <si>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</si>
  <si>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</si>
  <si>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</si>
  <si>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</si>
  <si>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</si>
  <si>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</si>
  <si>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</si>
  <si>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</si>
  <si>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</si>
  <si>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</si>
  <si>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</si>
  <si>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</si>
  <si>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</si>
  <si>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</si>
  <si>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</si>
  <si>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</si>
  <si>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</si>
  <si>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</si>
  <si>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</si>
  <si>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</si>
  <si>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</si>
  <si>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</si>
  <si>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</si>
  <si>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</si>
  <si>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</si>
  <si>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</si>
  <si>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</si>
  <si>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</si>
  <si>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</si>
  <si>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</si>
  <si>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</si>
  <si>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</si>
  <si>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</si>
  <si>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</si>
  <si>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</si>
  <si>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</si>
  <si>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</si>
  <si>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</si>
  <si>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</si>
  <si>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</si>
  <si>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</si>
  <si>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</si>
  <si>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</si>
  <si>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</si>
  <si>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</si>
  <si>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</si>
  <si>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</si>
  <si>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</si>
  <si>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</si>
  <si>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</si>
  <si>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</si>
  <si>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</si>
  <si>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</si>
  <si>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</si>
  <si>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</si>
  <si>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</si>
  <si>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</si>
  <si>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</si>
  <si>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</si>
  <si>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</si>
  <si>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</si>
  <si>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</si>
  <si>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</si>
  <si>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</si>
  <si>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</si>
  <si>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</si>
  <si>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</si>
  <si>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</si>
  <si>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</si>
  <si>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</si>
  <si>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</si>
  <si>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</si>
  <si>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</si>
  <si>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</si>
  <si>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</si>
  <si>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</si>
  <si>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</si>
  <si>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</si>
  <si>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</si>
  <si>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</si>
  <si>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</si>
  <si>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</si>
  <si>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</si>
  <si>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</si>
  <si>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</si>
  <si>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</si>
  <si>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</si>
  <si>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</si>
  <si>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</si>
  <si>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</si>
  <si>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</si>
  <si>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</si>
  <si>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</si>
  <si>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Ave Ride_AxleRear_Porsche1</t>
  </si>
  <si>
    <t>Catch tank level [mm]</t>
  </si>
  <si>
    <t>Brake wear [mm/lap]</t>
  </si>
  <si>
    <t>Brake wear total [mm]</t>
  </si>
  <si>
    <t>Ave FIA_xOilLevel</t>
  </si>
  <si>
    <t>Lap-Diff Brk_Wear_FL</t>
  </si>
  <si>
    <t>Lap-Diff Brk_Wear_FR</t>
  </si>
  <si>
    <t>Fuel temperature [deg C]</t>
  </si>
  <si>
    <t>Brake wear</t>
  </si>
  <si>
    <t>Disk wear FL</t>
  </si>
  <si>
    <t>Disk wear FR</t>
  </si>
  <si>
    <t>y</t>
  </si>
  <si>
    <t>RD</t>
  </si>
  <si>
    <t>RW</t>
  </si>
  <si>
    <t>RB</t>
  </si>
  <si>
    <t>20210818_21-43-38_LEM_24H_FP2_007009_001_03-34-27</t>
  </si>
  <si>
    <t>20210818_22-22-51_LEM_24H_FP2_007009_002_03-36-50</t>
  </si>
  <si>
    <t>20210818_22-43-27_LEM_24H_FP2_007009_003_03-38-90</t>
  </si>
  <si>
    <t>20210818_23-12-48_LEM_24H_FP2_007009_004_03-31-13</t>
  </si>
  <si>
    <t>20210818_23-30-34_LEM_24H_FP2_007009_005_03-31-17</t>
  </si>
  <si>
    <t>20210818_23-43-24_LEM_24H_FP2_007009_006_03-31-94</t>
  </si>
  <si>
    <t>04:51.17 &lt;</t>
  </si>
  <si>
    <t>03:31.90 *</t>
  </si>
  <si>
    <t>07:42.07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</si>
</sst>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AA"/>
        <bgColor indexed="64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3">
    <xf numFmtId="0" fontId="0" fillId="0" borderId="0"/>
    <xf numFmtId="0" fontId="4" fillId="5" borderId="15" applyNumberFormat="0" applyAlignment="0" applyProtection="0"/>
    <xf numFmtId="0" fontId="5" fillId="6" borderId="15" applyNumberFormat="0" applyAlignment="0" applyProtection="0"/>
  </cellStyleXfs>
  <cellXfs count="63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" fillId="0" borderId="0" xfId="0" applyFont="1"/>
    <xf numFmtId="2" fontId="0" fillId="0" borderId="0" xfId="0" applyNumberFormat="1"/>
    <xf numFmtId="0" fontId="0" fillId="4" borderId="0" xfId="0" applyFill="1"/>
    <xf numFmtId="21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1" fillId="0" borderId="8" xfId="0" applyFont="1" applyBorder="1"/>
    <xf numFmtId="0" fontId="1" fillId="0" borderId="0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0" fontId="0" fillId="0" borderId="0" xfId="0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12" xfId="0" applyFill="1" applyBorder="1"/>
    <xf numFmtId="0" fontId="5" fillId="6" borderId="15" xfId="2"/>
    <xf numFmtId="0" fontId="4" fillId="5" borderId="15" xfId="1"/>
    <xf numFmtId="0" fontId="5" fillId="6" borderId="15" xfId="2" applyBorder="1"/>
    <xf numFmtId="0" fontId="5" fillId="6" borderId="17" xfId="2" applyBorder="1"/>
    <xf numFmtId="164" fontId="4" fillId="5" borderId="16" xfId="1" applyNumberFormat="1" applyBorder="1"/>
    <xf numFmtId="164" fontId="5" fillId="6" borderId="18" xfId="2" applyNumberFormat="1" applyBorder="1"/>
    <xf numFmtId="0" fontId="5" fillId="6" borderId="19" xfId="2" applyBorder="1"/>
    <xf numFmtId="0" fontId="5" fillId="6" borderId="20" xfId="2" applyBorder="1"/>
    <xf numFmtId="164" fontId="5" fillId="6" borderId="21" xfId="2" applyNumberFormat="1" applyBorder="1"/>
    <xf numFmtId="0" fontId="5" fillId="6" borderId="22" xfId="2" applyBorder="1"/>
    <xf numFmtId="0" fontId="5" fillId="6" borderId="23" xfId="2" applyBorder="1"/>
    <xf numFmtId="0" fontId="0" fillId="0" borderId="13" xfId="0" applyBorder="1"/>
    <xf numFmtId="0" fontId="0" fillId="0" borderId="24" xfId="0" applyBorder="1"/>
    <xf numFmtId="0" fontId="0" fillId="0" borderId="14" xfId="0" applyBorder="1"/>
    <xf numFmtId="0" fontId="4" fillId="5" borderId="25" xfId="1" applyBorder="1"/>
    <xf numFmtId="0" fontId="5" fillId="6" borderId="26" xfId="2" applyBorder="1"/>
    <xf numFmtId="0" fontId="5" fillId="6" borderId="27" xfId="2" applyBorder="1"/>
    <xf numFmtId="0" fontId="4" fillId="5" borderId="28" xfId="1" applyBorder="1"/>
    <xf numFmtId="0" fontId="5" fillId="6" borderId="29" xfId="2" applyBorder="1"/>
    <xf numFmtId="0" fontId="5" fillId="6" borderId="30" xfId="2" applyBorder="1"/>
    <xf numFmtId="0" fontId="0" fillId="0" borderId="0" xfId="0" applyFont="1" applyBorder="1"/>
    <xf numFmtId="4" fontId="0" fillId="0" borderId="0" xfId="0" applyNumberFormat="1" applyFont="1" applyBorder="1"/>
    <xf numFmtId="0" fontId="2" fillId="0" borderId="1" xfId="0" applyFont="1" applyBorder="1" applyAlignment="1">
      <alignment horizontal="right" vertical="center" wrapText="1"/>
    </xf>
    <xf numFmtId="0" fontId="1" fillId="7" borderId="1" xfId="0" applyFont="1" applyFill="1" applyBorder="1" applyAlignment="1">
      <alignment horizontal="right" vertical="center" wrapText="1"/>
    </xf>
    <xf numFmtId="0" fontId="1" fillId="0" borderId="0" xfId="0" applyFont="1" applyFill="1" applyBorder="1"/>
    <xf numFmtId="0" fontId="0" fillId="0" borderId="0" xfId="0" applyFont="1" applyFill="1" applyBorder="1"/>
    <xf numFmtId="0" fontId="0" fillId="0" borderId="9" xfId="0" applyFont="1" applyBorder="1"/>
    <xf numFmtId="0" fontId="0" fillId="0" borderId="0" xfId="0" applyFont="1"/>
    <xf numFmtId="4" fontId="0" fillId="0" borderId="0" xfId="0" applyNumberFormat="1" applyFont="1"/>
    <xf numFmtId="0" fontId="0" fillId="0" borderId="11" xfId="0" applyFont="1" applyBorder="1"/>
    <xf numFmtId="0" fontId="2" fillId="2" borderId="31" xfId="0" applyFont="1" applyFill="1" applyBorder="1" applyAlignment="1">
      <alignment horizontal="center"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47" fontId="6" fillId="7" borderId="1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All!$D$6:$D$50</c:f>
              <c:numCache>
                <c:formatCode>mm:ss.0</c:formatCode>
                <c:ptCount val="45"/>
                <c:pt idx="0">
                  <c:v>1.0271296296296296E-2</c:v>
                </c:pt>
                <c:pt idx="1">
                  <c:v>2.521064814814815E-3</c:v>
                </c:pt>
                <c:pt idx="2">
                  <c:v>2.5363425925925926E-3</c:v>
                </c:pt>
                <c:pt idx="3">
                  <c:v>2.4795138888888892E-3</c:v>
                </c:pt>
                <c:pt idx="4">
                  <c:v>2.8502314814814814E-3</c:v>
                </c:pt>
                <c:pt idx="8">
                  <c:v>3.5311342592592595E-3</c:v>
                </c:pt>
                <c:pt idx="9">
                  <c:v>2.5193287037037037E-3</c:v>
                </c:pt>
                <c:pt idx="10">
                  <c:v>2.5099537037037035E-3</c:v>
                </c:pt>
                <c:pt idx="11">
                  <c:v>2.5057870370370368E-3</c:v>
                </c:pt>
                <c:pt idx="12">
                  <c:v>2.9621527777777784E-3</c:v>
                </c:pt>
                <c:pt idx="16">
                  <c:v>3.457638888888889E-3</c:v>
                </c:pt>
                <c:pt idx="17">
                  <c:v>3.1888888888888891E-3</c:v>
                </c:pt>
                <c:pt idx="18">
                  <c:v>2.83125E-3</c:v>
                </c:pt>
                <c:pt idx="19">
                  <c:v>2.5331018518518519E-3</c:v>
                </c:pt>
                <c:pt idx="20">
                  <c:v>5.7333333333333333E-3</c:v>
                </c:pt>
                <c:pt idx="24">
                  <c:v>4.3629629629629635E-3</c:v>
                </c:pt>
                <c:pt idx="25">
                  <c:v>2.4775462962962963E-3</c:v>
                </c:pt>
                <c:pt idx="26">
                  <c:v>2.4431712962962962E-3</c:v>
                </c:pt>
                <c:pt idx="27">
                  <c:v>2.8603009259259259E-3</c:v>
                </c:pt>
                <c:pt idx="31">
                  <c:v>3.3234953703703708E-3</c:v>
                </c:pt>
                <c:pt idx="32">
                  <c:v>2.4440972222222221E-3</c:v>
                </c:pt>
                <c:pt idx="33">
                  <c:v>2.9267361111111113E-3</c:v>
                </c:pt>
                <c:pt idx="37" formatCode="General">
                  <c:v>0</c:v>
                </c:pt>
                <c:pt idx="38" formatCode="General">
                  <c:v>0</c:v>
                </c:pt>
                <c:pt idx="39">
                  <c:v>2.4789351851851851E-3</c:v>
                </c:pt>
                <c:pt idx="4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A-45B4-91F1-147F81F82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43520"/>
        <c:axId val="1225947680"/>
      </c:scatterChart>
      <c:valAx>
        <c:axId val="122594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47680"/>
        <c:crosses val="autoZero"/>
        <c:crossBetween val="midCat"/>
      </c:valAx>
      <c:valAx>
        <c:axId val="1225947680"/>
        <c:scaling>
          <c:orientation val="minMax"/>
          <c:max val="2.6388888888888885E-3"/>
          <c:min val="2.407407407407407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4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All!$G$6:$G$50</c:f>
              <c:numCache>
                <c:formatCode>General</c:formatCode>
                <c:ptCount val="45"/>
                <c:pt idx="0">
                  <c:v>5.76</c:v>
                </c:pt>
                <c:pt idx="1">
                  <c:v>5.79</c:v>
                </c:pt>
                <c:pt idx="2">
                  <c:v>5.7</c:v>
                </c:pt>
                <c:pt idx="3">
                  <c:v>5.98</c:v>
                </c:pt>
                <c:pt idx="4">
                  <c:v>-23.23</c:v>
                </c:pt>
                <c:pt idx="8">
                  <c:v>5.74</c:v>
                </c:pt>
                <c:pt idx="9">
                  <c:v>5.96</c:v>
                </c:pt>
                <c:pt idx="10">
                  <c:v>5.91</c:v>
                </c:pt>
                <c:pt idx="11">
                  <c:v>5.9</c:v>
                </c:pt>
                <c:pt idx="12">
                  <c:v>-23.51</c:v>
                </c:pt>
                <c:pt idx="16">
                  <c:v>5.76</c:v>
                </c:pt>
                <c:pt idx="17">
                  <c:v>5.59</c:v>
                </c:pt>
                <c:pt idx="18">
                  <c:v>5.74</c:v>
                </c:pt>
                <c:pt idx="19">
                  <c:v>6.04</c:v>
                </c:pt>
                <c:pt idx="20">
                  <c:v>-23.13</c:v>
                </c:pt>
                <c:pt idx="24">
                  <c:v>5.73</c:v>
                </c:pt>
                <c:pt idx="25">
                  <c:v>6.03</c:v>
                </c:pt>
                <c:pt idx="26">
                  <c:v>6.04</c:v>
                </c:pt>
                <c:pt idx="27">
                  <c:v>5.76</c:v>
                </c:pt>
                <c:pt idx="31">
                  <c:v>5.82</c:v>
                </c:pt>
                <c:pt idx="32">
                  <c:v>6.09</c:v>
                </c:pt>
                <c:pt idx="33">
                  <c:v>5.99</c:v>
                </c:pt>
                <c:pt idx="37">
                  <c:v>5.84</c:v>
                </c:pt>
                <c:pt idx="38">
                  <c:v>6.02</c:v>
                </c:pt>
                <c:pt idx="39">
                  <c:v>5.93</c:v>
                </c:pt>
                <c:pt idx="40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19-4379-93F9-27A7F925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38944"/>
        <c:axId val="1225931872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All!$EX$6:$EX$50</c:f>
              <c:numCache>
                <c:formatCode>General</c:formatCode>
                <c:ptCount val="45"/>
                <c:pt idx="0">
                  <c:v>-517.5</c:v>
                </c:pt>
                <c:pt idx="1">
                  <c:v>70.42</c:v>
                </c:pt>
                <c:pt idx="2">
                  <c:v>69.44</c:v>
                </c:pt>
                <c:pt idx="3">
                  <c:v>73.58</c:v>
                </c:pt>
                <c:pt idx="4">
                  <c:v>71.099999999999994</c:v>
                </c:pt>
                <c:pt idx="8">
                  <c:v>-284.02</c:v>
                </c:pt>
                <c:pt idx="9">
                  <c:v>73.08</c:v>
                </c:pt>
                <c:pt idx="10">
                  <c:v>72.36</c:v>
                </c:pt>
                <c:pt idx="11">
                  <c:v>72.22</c:v>
                </c:pt>
                <c:pt idx="12">
                  <c:v>71.02</c:v>
                </c:pt>
                <c:pt idx="16">
                  <c:v>-287.76</c:v>
                </c:pt>
                <c:pt idx="17">
                  <c:v>66.959999999999994</c:v>
                </c:pt>
                <c:pt idx="18">
                  <c:v>69.06</c:v>
                </c:pt>
                <c:pt idx="19">
                  <c:v>74.22</c:v>
                </c:pt>
                <c:pt idx="20">
                  <c:v>39.4</c:v>
                </c:pt>
                <c:pt idx="24">
                  <c:v>-250.82</c:v>
                </c:pt>
                <c:pt idx="25">
                  <c:v>73.66</c:v>
                </c:pt>
                <c:pt idx="26">
                  <c:v>74.28</c:v>
                </c:pt>
                <c:pt idx="27">
                  <c:v>69.28</c:v>
                </c:pt>
                <c:pt idx="31">
                  <c:v>-215.48</c:v>
                </c:pt>
                <c:pt idx="32">
                  <c:v>75.239999999999995</c:v>
                </c:pt>
                <c:pt idx="33">
                  <c:v>72.739999999999995</c:v>
                </c:pt>
                <c:pt idx="37">
                  <c:v>-148.04</c:v>
                </c:pt>
                <c:pt idx="38">
                  <c:v>73.5</c:v>
                </c:pt>
                <c:pt idx="39">
                  <c:v>72.040000000000006</c:v>
                </c:pt>
                <c:pt idx="40">
                  <c:v>35.840000000000003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19-4379-93F9-27A7F925E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2128"/>
        <c:axId val="1117648784"/>
      </c:scatterChart>
      <c:valAx>
        <c:axId val="122593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31872"/>
        <c:crosses val="autoZero"/>
        <c:crossBetween val="midCat"/>
      </c:valAx>
      <c:valAx>
        <c:axId val="1225931872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38944"/>
        <c:crosses val="autoZero"/>
        <c:crossBetween val="midCat"/>
      </c:valAx>
      <c:valAx>
        <c:axId val="1117648784"/>
        <c:scaling>
          <c:orientation val="minMax"/>
          <c:max val="80"/>
          <c:min val="6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2128"/>
        <c:crosses val="max"/>
        <c:crossBetween val="midCat"/>
      </c:valAx>
      <c:valAx>
        <c:axId val="1117642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8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All!$BR$6:$BR$50</c:f>
              <c:numCache>
                <c:formatCode>General</c:formatCode>
                <c:ptCount val="45"/>
                <c:pt idx="0">
                  <c:v>57.326000000000001</c:v>
                </c:pt>
                <c:pt idx="4">
                  <c:v>60.253999999999998</c:v>
                </c:pt>
                <c:pt idx="8">
                  <c:v>58.121000000000002</c:v>
                </c:pt>
                <c:pt idx="12">
                  <c:v>59.98</c:v>
                </c:pt>
                <c:pt idx="16">
                  <c:v>57.972000000000001</c:v>
                </c:pt>
                <c:pt idx="20">
                  <c:v>59.981000000000002</c:v>
                </c:pt>
                <c:pt idx="24">
                  <c:v>57.597999999999999</c:v>
                </c:pt>
                <c:pt idx="27">
                  <c:v>60.183</c:v>
                </c:pt>
                <c:pt idx="31">
                  <c:v>57.912999999999997</c:v>
                </c:pt>
                <c:pt idx="33">
                  <c:v>60.195999999999998</c:v>
                </c:pt>
                <c:pt idx="37">
                  <c:v>58.173000000000002</c:v>
                </c:pt>
                <c:pt idx="40">
                  <c:v>59.468000000000004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43-4C7E-960A-5A574B17FF68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1225933952"/>
        <c:axId val="1225934368"/>
      </c:scatterChart>
      <c:valAx>
        <c:axId val="122593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34368"/>
        <c:crosses val="autoZero"/>
        <c:crossBetween val="midCat"/>
      </c:valAx>
      <c:valAx>
        <c:axId val="12259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3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All!$K$6:$K$50</c:f>
              <c:numCache>
                <c:formatCode>General</c:formatCode>
                <c:ptCount val="4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31">
                  <c:v>6</c:v>
                </c:pt>
                <c:pt idx="32">
                  <c:v>7</c:v>
                </c:pt>
                <c:pt idx="33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8E-4611-9F4A-C55520D8BCA4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All!$L$6:$L$50</c:f>
              <c:numCache>
                <c:formatCode>General</c:formatCode>
                <c:ptCount val="4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8E-4611-9F4A-C55520D8BCA4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All!$M$6:$M$50</c:f>
              <c:numCache>
                <c:formatCode>General</c:formatCode>
                <c:ptCount val="45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8E-4611-9F4A-C55520D8BCA4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All!$N$6:$N$50</c:f>
              <c:numCache>
                <c:formatCode>General</c:formatCode>
                <c:ptCount val="4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8E-4611-9F4A-C55520D8BCA4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All!$O$6:$O$50</c:f>
              <c:numCache>
                <c:formatCode>General</c:formatCode>
                <c:ptCount val="4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F8E-4611-9F4A-C55520D8B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75968"/>
        <c:axId val="1225970976"/>
      </c:scatterChart>
      <c:valAx>
        <c:axId val="122597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70976"/>
        <c:crosses val="autoZero"/>
        <c:crossBetween val="midCat"/>
      </c:valAx>
      <c:valAx>
        <c:axId val="122597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75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All!$CI$6:$CI$50</c:f>
              <c:numCache>
                <c:formatCode>General</c:formatCode>
                <c:ptCount val="45"/>
                <c:pt idx="0">
                  <c:v>4.5830000000000002</c:v>
                </c:pt>
                <c:pt idx="1">
                  <c:v>5.4950000000000001</c:v>
                </c:pt>
                <c:pt idx="2">
                  <c:v>4.6879999999999997</c:v>
                </c:pt>
                <c:pt idx="3">
                  <c:v>3.944</c:v>
                </c:pt>
                <c:pt idx="8">
                  <c:v>4.8680000000000003</c:v>
                </c:pt>
                <c:pt idx="9">
                  <c:v>4.7960000000000003</c:v>
                </c:pt>
                <c:pt idx="10">
                  <c:v>4.7279999999999998</c:v>
                </c:pt>
                <c:pt idx="11">
                  <c:v>4.5720000000000001</c:v>
                </c:pt>
                <c:pt idx="16">
                  <c:v>4.8250000000000002</c:v>
                </c:pt>
                <c:pt idx="17">
                  <c:v>4.4850000000000003</c:v>
                </c:pt>
                <c:pt idx="18">
                  <c:v>4.6950000000000003</c:v>
                </c:pt>
                <c:pt idx="19">
                  <c:v>3.3180000000000001</c:v>
                </c:pt>
                <c:pt idx="24">
                  <c:v>4.7690000000000001</c:v>
                </c:pt>
                <c:pt idx="25">
                  <c:v>4.5410000000000004</c:v>
                </c:pt>
                <c:pt idx="26">
                  <c:v>4.3419999999999996</c:v>
                </c:pt>
                <c:pt idx="31">
                  <c:v>5.4059999999999997</c:v>
                </c:pt>
                <c:pt idx="32">
                  <c:v>4.1749999999999998</c:v>
                </c:pt>
                <c:pt idx="37">
                  <c:v>5.6210000000000004</c:v>
                </c:pt>
                <c:pt idx="38">
                  <c:v>5.6680000000000001</c:v>
                </c:pt>
                <c:pt idx="39">
                  <c:v>4.1589999999999998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44-4CB0-B590-CAD710F0A2E5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All!$CJ$6:$CJ$50</c:f>
              <c:numCache>
                <c:formatCode>General</c:formatCode>
                <c:ptCount val="45"/>
                <c:pt idx="0">
                  <c:v>2.5110000000000001</c:v>
                </c:pt>
                <c:pt idx="1">
                  <c:v>3.5779999999999998</c:v>
                </c:pt>
                <c:pt idx="2">
                  <c:v>3.6749999999999998</c:v>
                </c:pt>
                <c:pt idx="3">
                  <c:v>3.4580000000000002</c:v>
                </c:pt>
                <c:pt idx="8">
                  <c:v>3.3090000000000002</c:v>
                </c:pt>
                <c:pt idx="9">
                  <c:v>3.718</c:v>
                </c:pt>
                <c:pt idx="10">
                  <c:v>3.7160000000000002</c:v>
                </c:pt>
                <c:pt idx="11">
                  <c:v>3.5019999999999998</c:v>
                </c:pt>
                <c:pt idx="16">
                  <c:v>4.01</c:v>
                </c:pt>
                <c:pt idx="17">
                  <c:v>3.2109999999999999</c:v>
                </c:pt>
                <c:pt idx="18">
                  <c:v>3.7309999999999999</c:v>
                </c:pt>
                <c:pt idx="19">
                  <c:v>2.8860000000000001</c:v>
                </c:pt>
                <c:pt idx="24">
                  <c:v>3.544</c:v>
                </c:pt>
                <c:pt idx="25">
                  <c:v>3.7280000000000002</c:v>
                </c:pt>
                <c:pt idx="26">
                  <c:v>3.407</c:v>
                </c:pt>
                <c:pt idx="31">
                  <c:v>3.3319999999999999</c:v>
                </c:pt>
                <c:pt idx="32">
                  <c:v>3.472</c:v>
                </c:pt>
                <c:pt idx="37">
                  <c:v>3.3879999999999999</c:v>
                </c:pt>
                <c:pt idx="38">
                  <c:v>3.8050000000000002</c:v>
                </c:pt>
                <c:pt idx="39">
                  <c:v>2.8420000000000001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44-4CB0-B590-CAD710F0A2E5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All!$CK$6:$CK$50</c:f>
              <c:numCache>
                <c:formatCode>General</c:formatCode>
                <c:ptCount val="45"/>
                <c:pt idx="0">
                  <c:v>1.2090000000000001</c:v>
                </c:pt>
                <c:pt idx="1">
                  <c:v>1.5860000000000001</c:v>
                </c:pt>
                <c:pt idx="2">
                  <c:v>1.6779999999999999</c:v>
                </c:pt>
                <c:pt idx="3">
                  <c:v>1.47</c:v>
                </c:pt>
                <c:pt idx="8">
                  <c:v>1.5580000000000001</c:v>
                </c:pt>
                <c:pt idx="9">
                  <c:v>1.548</c:v>
                </c:pt>
                <c:pt idx="10">
                  <c:v>1.611</c:v>
                </c:pt>
                <c:pt idx="11">
                  <c:v>1.603</c:v>
                </c:pt>
                <c:pt idx="16">
                  <c:v>1.0489999999999999</c:v>
                </c:pt>
                <c:pt idx="17">
                  <c:v>1.37</c:v>
                </c:pt>
                <c:pt idx="18">
                  <c:v>1.6619999999999999</c:v>
                </c:pt>
                <c:pt idx="19">
                  <c:v>1.1599999999999999</c:v>
                </c:pt>
                <c:pt idx="24">
                  <c:v>1.29</c:v>
                </c:pt>
                <c:pt idx="25">
                  <c:v>1.659</c:v>
                </c:pt>
                <c:pt idx="26">
                  <c:v>1.5529999999999999</c:v>
                </c:pt>
                <c:pt idx="31">
                  <c:v>1.355</c:v>
                </c:pt>
                <c:pt idx="32">
                  <c:v>1.73</c:v>
                </c:pt>
                <c:pt idx="37">
                  <c:v>1.4359999999999999</c:v>
                </c:pt>
                <c:pt idx="38">
                  <c:v>1.63</c:v>
                </c:pt>
                <c:pt idx="39">
                  <c:v>1.137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44-4CB0-B590-CAD710F0A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74304"/>
        <c:axId val="1225978464"/>
      </c:scatterChart>
      <c:valAx>
        <c:axId val="122597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78464"/>
        <c:crosses val="autoZero"/>
        <c:crossBetween val="midCat"/>
      </c:valAx>
      <c:valAx>
        <c:axId val="122597846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74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0.42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E3-4704-9F16-5F8C1D36299B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All!$J$6:$J$50</c:f>
              <c:numCache>
                <c:formatCode>General</c:formatCode>
                <c:ptCount val="45"/>
                <c:pt idx="0">
                  <c:v>115.6</c:v>
                </c:pt>
                <c:pt idx="1">
                  <c:v>15.7</c:v>
                </c:pt>
                <c:pt idx="2">
                  <c:v>22.3</c:v>
                </c:pt>
                <c:pt idx="3">
                  <c:v>15.4</c:v>
                </c:pt>
                <c:pt idx="4">
                  <c:v>18.7</c:v>
                </c:pt>
                <c:pt idx="8">
                  <c:v>35.299999999999997</c:v>
                </c:pt>
                <c:pt idx="9">
                  <c:v>17.600000000000001</c:v>
                </c:pt>
                <c:pt idx="10">
                  <c:v>18.100000000000001</c:v>
                </c:pt>
                <c:pt idx="11">
                  <c:v>16.8</c:v>
                </c:pt>
                <c:pt idx="12">
                  <c:v>27.2</c:v>
                </c:pt>
                <c:pt idx="16">
                  <c:v>71.400000000000006</c:v>
                </c:pt>
                <c:pt idx="17">
                  <c:v>10.4</c:v>
                </c:pt>
                <c:pt idx="18">
                  <c:v>15</c:v>
                </c:pt>
                <c:pt idx="19">
                  <c:v>10.4</c:v>
                </c:pt>
                <c:pt idx="20">
                  <c:v>73.7</c:v>
                </c:pt>
                <c:pt idx="24">
                  <c:v>153.4</c:v>
                </c:pt>
                <c:pt idx="25">
                  <c:v>12.9</c:v>
                </c:pt>
                <c:pt idx="26">
                  <c:v>13.5</c:v>
                </c:pt>
                <c:pt idx="27">
                  <c:v>19.7</c:v>
                </c:pt>
                <c:pt idx="31">
                  <c:v>64</c:v>
                </c:pt>
                <c:pt idx="32">
                  <c:v>11</c:v>
                </c:pt>
                <c:pt idx="33">
                  <c:v>27.7</c:v>
                </c:pt>
                <c:pt idx="37">
                  <c:v>30.3</c:v>
                </c:pt>
                <c:pt idx="38">
                  <c:v>13.4</c:v>
                </c:pt>
                <c:pt idx="39">
                  <c:v>16.2</c:v>
                </c:pt>
                <c:pt idx="40">
                  <c:v>43.1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E3-4704-9F16-5F8C1D36299B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All!$EY$6:$EY$50</c:f>
              <c:numCache>
                <c:formatCode>General</c:formatCode>
                <c:ptCount val="45"/>
                <c:pt idx="0">
                  <c:v>0.18</c:v>
                </c:pt>
                <c:pt idx="1">
                  <c:v>8.1000000000000003E-2</c:v>
                </c:pt>
                <c:pt idx="2">
                  <c:v>0</c:v>
                </c:pt>
                <c:pt idx="3">
                  <c:v>0</c:v>
                </c:pt>
                <c:pt idx="4">
                  <c:v>8.1000000000000003E-2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1.9E-2</c:v>
                </c:pt>
                <c:pt idx="16">
                  <c:v>0</c:v>
                </c:pt>
                <c:pt idx="17">
                  <c:v>0</c:v>
                </c:pt>
                <c:pt idx="18">
                  <c:v>9.9000000000000005E-2</c:v>
                </c:pt>
                <c:pt idx="19">
                  <c:v>4.1000000000000002E-2</c:v>
                </c:pt>
                <c:pt idx="20">
                  <c:v>0</c:v>
                </c:pt>
                <c:pt idx="24">
                  <c:v>0.98</c:v>
                </c:pt>
                <c:pt idx="25">
                  <c:v>0</c:v>
                </c:pt>
                <c:pt idx="26">
                  <c:v>0</c:v>
                </c:pt>
                <c:pt idx="27">
                  <c:v>0.18</c:v>
                </c:pt>
                <c:pt idx="31">
                  <c:v>0.10100000000000001</c:v>
                </c:pt>
                <c:pt idx="32">
                  <c:v>0</c:v>
                </c:pt>
                <c:pt idx="33">
                  <c:v>0</c:v>
                </c:pt>
                <c:pt idx="37">
                  <c:v>0.38</c:v>
                </c:pt>
                <c:pt idx="38">
                  <c:v>0.28000000000000003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E3-4704-9F16-5F8C1D362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96352"/>
        <c:axId val="1226005504"/>
      </c:scatterChart>
      <c:valAx>
        <c:axId val="122599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05504"/>
        <c:crosses val="autoZero"/>
        <c:crossBetween val="midCat"/>
      </c:valAx>
      <c:valAx>
        <c:axId val="12260055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9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All!$BT$6:$BT$50</c:f>
              <c:numCache>
                <c:formatCode>General</c:formatCode>
                <c:ptCount val="45"/>
                <c:pt idx="0">
                  <c:v>7131.6369999999997</c:v>
                </c:pt>
                <c:pt idx="1">
                  <c:v>7449.0240000000003</c:v>
                </c:pt>
                <c:pt idx="2">
                  <c:v>7333.6940000000004</c:v>
                </c:pt>
                <c:pt idx="3">
                  <c:v>7350.2290000000003</c:v>
                </c:pt>
                <c:pt idx="4">
                  <c:v>7328.9489999999996</c:v>
                </c:pt>
                <c:pt idx="8">
                  <c:v>7363.2020000000002</c:v>
                </c:pt>
                <c:pt idx="9">
                  <c:v>7454.5680000000002</c:v>
                </c:pt>
                <c:pt idx="10">
                  <c:v>7414.8649999999998</c:v>
                </c:pt>
                <c:pt idx="11">
                  <c:v>7381.6769999999997</c:v>
                </c:pt>
                <c:pt idx="12">
                  <c:v>7389.9120000000003</c:v>
                </c:pt>
                <c:pt idx="16">
                  <c:v>7194.3829999999998</c:v>
                </c:pt>
                <c:pt idx="17">
                  <c:v>7138.2610000000004</c:v>
                </c:pt>
                <c:pt idx="18">
                  <c:v>7142.442</c:v>
                </c:pt>
                <c:pt idx="19">
                  <c:v>7236.0479999999998</c:v>
                </c:pt>
                <c:pt idx="20">
                  <c:v>6739.116</c:v>
                </c:pt>
                <c:pt idx="24">
                  <c:v>7168.4139999999998</c:v>
                </c:pt>
                <c:pt idx="25">
                  <c:v>7328.8860000000004</c:v>
                </c:pt>
                <c:pt idx="26">
                  <c:v>7366.5659999999998</c:v>
                </c:pt>
                <c:pt idx="27">
                  <c:v>7391.5640000000003</c:v>
                </c:pt>
                <c:pt idx="31">
                  <c:v>7300.2309999999998</c:v>
                </c:pt>
                <c:pt idx="32">
                  <c:v>7267.8249999999998</c:v>
                </c:pt>
                <c:pt idx="33">
                  <c:v>7327.4849999999997</c:v>
                </c:pt>
                <c:pt idx="37">
                  <c:v>7359.6840000000002</c:v>
                </c:pt>
                <c:pt idx="38">
                  <c:v>7429.759</c:v>
                </c:pt>
                <c:pt idx="39">
                  <c:v>7425.5559999999996</c:v>
                </c:pt>
                <c:pt idx="40">
                  <c:v>7487.8540000000003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6D-467D-B503-A220BFBCD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82208"/>
        <c:axId val="1225986368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All!$EZ$6:$EZ$50</c:f>
              <c:numCache>
                <c:formatCode>General</c:formatCode>
                <c:ptCount val="45"/>
                <c:pt idx="0">
                  <c:v>18.079999999999998</c:v>
                </c:pt>
                <c:pt idx="1">
                  <c:v>25.306000000000001</c:v>
                </c:pt>
                <c:pt idx="2">
                  <c:v>1.5289999999999999</c:v>
                </c:pt>
                <c:pt idx="3">
                  <c:v>187.66499999999999</c:v>
                </c:pt>
                <c:pt idx="4">
                  <c:v>0</c:v>
                </c:pt>
                <c:pt idx="8">
                  <c:v>0</c:v>
                </c:pt>
                <c:pt idx="9">
                  <c:v>1.39</c:v>
                </c:pt>
                <c:pt idx="10">
                  <c:v>6.0999999999999999E-2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1.0999999999999999E-2</c:v>
                </c:pt>
                <c:pt idx="18">
                  <c:v>1.9450000000000001</c:v>
                </c:pt>
                <c:pt idx="19">
                  <c:v>0</c:v>
                </c:pt>
                <c:pt idx="20">
                  <c:v>0.26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1.7909999999999999</c:v>
                </c:pt>
                <c:pt idx="31">
                  <c:v>0</c:v>
                </c:pt>
                <c:pt idx="32">
                  <c:v>2.7E-2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E6D-467D-B503-A220BFBCD8DD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E6D-467D-B503-A220BFBCD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7952"/>
        <c:axId val="1117645872"/>
      </c:scatterChart>
      <c:valAx>
        <c:axId val="122598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86368"/>
        <c:crosses val="autoZero"/>
        <c:crossBetween val="midCat"/>
      </c:valAx>
      <c:valAx>
        <c:axId val="1225986368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82208"/>
        <c:crosses val="autoZero"/>
        <c:crossBetween val="midCat"/>
      </c:valAx>
      <c:valAx>
        <c:axId val="1117645872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7952"/>
        <c:crosses val="max"/>
        <c:crossBetween val="midCat"/>
      </c:valAx>
      <c:valAx>
        <c:axId val="1117647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5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All!$BY$6:$BY$50</c:f>
              <c:numCache>
                <c:formatCode>General</c:formatCode>
                <c:ptCount val="45"/>
                <c:pt idx="0">
                  <c:v>1.2949999999999999</c:v>
                </c:pt>
                <c:pt idx="1">
                  <c:v>1.395</c:v>
                </c:pt>
                <c:pt idx="2">
                  <c:v>1.468</c:v>
                </c:pt>
                <c:pt idx="3">
                  <c:v>1.2529999999999999</c:v>
                </c:pt>
                <c:pt idx="4">
                  <c:v>1.762</c:v>
                </c:pt>
                <c:pt idx="8">
                  <c:v>1.375</c:v>
                </c:pt>
                <c:pt idx="9">
                  <c:v>1.4710000000000001</c:v>
                </c:pt>
                <c:pt idx="10">
                  <c:v>1.3919999999999999</c:v>
                </c:pt>
                <c:pt idx="11">
                  <c:v>1.589</c:v>
                </c:pt>
                <c:pt idx="12">
                  <c:v>1.744</c:v>
                </c:pt>
                <c:pt idx="16">
                  <c:v>1.4390000000000001</c:v>
                </c:pt>
                <c:pt idx="17">
                  <c:v>1.363</c:v>
                </c:pt>
                <c:pt idx="18">
                  <c:v>1.43</c:v>
                </c:pt>
                <c:pt idx="19">
                  <c:v>1.6639999999999999</c:v>
                </c:pt>
                <c:pt idx="20">
                  <c:v>1.3580000000000001</c:v>
                </c:pt>
                <c:pt idx="24">
                  <c:v>1.623</c:v>
                </c:pt>
                <c:pt idx="25">
                  <c:v>1.399</c:v>
                </c:pt>
                <c:pt idx="26">
                  <c:v>1.48</c:v>
                </c:pt>
                <c:pt idx="27">
                  <c:v>1.601</c:v>
                </c:pt>
                <c:pt idx="31">
                  <c:v>1.609</c:v>
                </c:pt>
                <c:pt idx="32">
                  <c:v>1.3580000000000001</c:v>
                </c:pt>
                <c:pt idx="33">
                  <c:v>1.389</c:v>
                </c:pt>
                <c:pt idx="37">
                  <c:v>1.516</c:v>
                </c:pt>
                <c:pt idx="38">
                  <c:v>1.4490000000000001</c:v>
                </c:pt>
                <c:pt idx="39">
                  <c:v>1.4870000000000001</c:v>
                </c:pt>
                <c:pt idx="40">
                  <c:v>1.3169999999999999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AD-48DD-B696-D39BD56C184A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All!$BZ$6:$BZ$50</c:f>
              <c:numCache>
                <c:formatCode>General</c:formatCode>
                <c:ptCount val="45"/>
                <c:pt idx="0">
                  <c:v>2.8159999999999998</c:v>
                </c:pt>
                <c:pt idx="1">
                  <c:v>2.9729999999999999</c:v>
                </c:pt>
                <c:pt idx="2">
                  <c:v>3.19</c:v>
                </c:pt>
                <c:pt idx="3">
                  <c:v>3.31</c:v>
                </c:pt>
                <c:pt idx="4">
                  <c:v>3.2360000000000002</c:v>
                </c:pt>
                <c:pt idx="8">
                  <c:v>2.33</c:v>
                </c:pt>
                <c:pt idx="9">
                  <c:v>2.5880000000000001</c:v>
                </c:pt>
                <c:pt idx="10">
                  <c:v>2.7170000000000001</c:v>
                </c:pt>
                <c:pt idx="11">
                  <c:v>2.9889999999999999</c:v>
                </c:pt>
                <c:pt idx="12">
                  <c:v>2.8769999999999998</c:v>
                </c:pt>
                <c:pt idx="16">
                  <c:v>2.218</c:v>
                </c:pt>
                <c:pt idx="17">
                  <c:v>3.0859999999999999</c:v>
                </c:pt>
                <c:pt idx="18">
                  <c:v>2.782</c:v>
                </c:pt>
                <c:pt idx="19">
                  <c:v>3.008</c:v>
                </c:pt>
                <c:pt idx="20">
                  <c:v>2.9039999999999999</c:v>
                </c:pt>
                <c:pt idx="24">
                  <c:v>3.0209999999999999</c:v>
                </c:pt>
                <c:pt idx="25">
                  <c:v>3.0209999999999999</c:v>
                </c:pt>
                <c:pt idx="26">
                  <c:v>3.3410000000000002</c:v>
                </c:pt>
                <c:pt idx="27">
                  <c:v>3.2890000000000001</c:v>
                </c:pt>
                <c:pt idx="31">
                  <c:v>2.9660000000000002</c:v>
                </c:pt>
                <c:pt idx="32">
                  <c:v>3.6640000000000001</c:v>
                </c:pt>
                <c:pt idx="33">
                  <c:v>3.12</c:v>
                </c:pt>
                <c:pt idx="37">
                  <c:v>2.629</c:v>
                </c:pt>
                <c:pt idx="38">
                  <c:v>2.7629999999999999</c:v>
                </c:pt>
                <c:pt idx="39">
                  <c:v>2.83</c:v>
                </c:pt>
                <c:pt idx="40">
                  <c:v>2.7280000000000002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AD-48DD-B696-D39BD56C1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05088"/>
        <c:axId val="1225982208"/>
      </c:scatterChart>
      <c:valAx>
        <c:axId val="12260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82208"/>
        <c:crosses val="autoZero"/>
        <c:crossBetween val="midCat"/>
      </c:valAx>
      <c:valAx>
        <c:axId val="1225982208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All!$BI$6:$BI$50</c:f>
              <c:numCache>
                <c:formatCode>General</c:formatCode>
                <c:ptCount val="45"/>
                <c:pt idx="0">
                  <c:v>65.491</c:v>
                </c:pt>
                <c:pt idx="4">
                  <c:v>66.22</c:v>
                </c:pt>
                <c:pt idx="8">
                  <c:v>64.840999999999994</c:v>
                </c:pt>
                <c:pt idx="12">
                  <c:v>65.841999999999999</c:v>
                </c:pt>
                <c:pt idx="16">
                  <c:v>65.328999999999994</c:v>
                </c:pt>
                <c:pt idx="20">
                  <c:v>65.037000000000006</c:v>
                </c:pt>
                <c:pt idx="24">
                  <c:v>66.158000000000001</c:v>
                </c:pt>
                <c:pt idx="27">
                  <c:v>65.36</c:v>
                </c:pt>
                <c:pt idx="31">
                  <c:v>65.331000000000003</c:v>
                </c:pt>
                <c:pt idx="33">
                  <c:v>65.474999999999994</c:v>
                </c:pt>
                <c:pt idx="37">
                  <c:v>65.602000000000004</c:v>
                </c:pt>
                <c:pt idx="40">
                  <c:v>65.674000000000007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1F-4C8C-B359-AAD9E2DAD198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All!$BJ$6:$BJ$50</c:f>
              <c:numCache>
                <c:formatCode>General</c:formatCode>
                <c:ptCount val="45"/>
                <c:pt idx="0">
                  <c:v>81.292000000000002</c:v>
                </c:pt>
                <c:pt idx="4">
                  <c:v>81.793000000000006</c:v>
                </c:pt>
                <c:pt idx="8">
                  <c:v>80.683999999999997</c:v>
                </c:pt>
                <c:pt idx="12">
                  <c:v>82.007000000000005</c:v>
                </c:pt>
                <c:pt idx="16">
                  <c:v>80.89</c:v>
                </c:pt>
                <c:pt idx="20">
                  <c:v>82.475999999999999</c:v>
                </c:pt>
                <c:pt idx="24">
                  <c:v>79.459000000000003</c:v>
                </c:pt>
                <c:pt idx="27">
                  <c:v>79.491</c:v>
                </c:pt>
                <c:pt idx="31">
                  <c:v>79.213999999999999</c:v>
                </c:pt>
                <c:pt idx="33">
                  <c:v>80.010999999999996</c:v>
                </c:pt>
                <c:pt idx="37">
                  <c:v>79.552000000000007</c:v>
                </c:pt>
                <c:pt idx="40">
                  <c:v>80.254000000000005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1F-4C8C-B359-AAD9E2DAD19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226023392"/>
        <c:axId val="1226008416"/>
      </c:scatterChart>
      <c:valAx>
        <c:axId val="122602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08416"/>
        <c:crosses val="autoZero"/>
        <c:crossBetween val="midCat"/>
      </c:valAx>
      <c:valAx>
        <c:axId val="1226008416"/>
        <c:scaling>
          <c:orientation val="minMax"/>
          <c:max val="9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3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All!$AR$6:$AR$50</c:f>
              <c:numCache>
                <c:formatCode>General</c:formatCode>
                <c:ptCount val="45"/>
                <c:pt idx="0">
                  <c:v>41.654000000000003</c:v>
                </c:pt>
                <c:pt idx="1">
                  <c:v>42.378999999999998</c:v>
                </c:pt>
                <c:pt idx="2">
                  <c:v>40.857999999999997</c:v>
                </c:pt>
                <c:pt idx="3">
                  <c:v>40.710999999999999</c:v>
                </c:pt>
                <c:pt idx="4">
                  <c:v>42.817999999999998</c:v>
                </c:pt>
                <c:pt idx="8">
                  <c:v>41.627000000000002</c:v>
                </c:pt>
                <c:pt idx="9">
                  <c:v>41.542000000000002</c:v>
                </c:pt>
                <c:pt idx="10">
                  <c:v>42.082999999999998</c:v>
                </c:pt>
                <c:pt idx="11">
                  <c:v>42.274000000000001</c:v>
                </c:pt>
                <c:pt idx="12">
                  <c:v>41.984000000000002</c:v>
                </c:pt>
                <c:pt idx="16">
                  <c:v>43.402999999999999</c:v>
                </c:pt>
                <c:pt idx="17">
                  <c:v>42.44</c:v>
                </c:pt>
                <c:pt idx="18">
                  <c:v>40.372</c:v>
                </c:pt>
                <c:pt idx="19">
                  <c:v>41.786000000000001</c:v>
                </c:pt>
                <c:pt idx="20">
                  <c:v>42.722999999999999</c:v>
                </c:pt>
                <c:pt idx="24">
                  <c:v>42.494999999999997</c:v>
                </c:pt>
                <c:pt idx="25">
                  <c:v>40.259</c:v>
                </c:pt>
                <c:pt idx="26">
                  <c:v>40.74</c:v>
                </c:pt>
                <c:pt idx="27">
                  <c:v>41.423999999999999</c:v>
                </c:pt>
                <c:pt idx="31">
                  <c:v>42.613</c:v>
                </c:pt>
                <c:pt idx="32">
                  <c:v>40.567</c:v>
                </c:pt>
                <c:pt idx="33">
                  <c:v>43.127000000000002</c:v>
                </c:pt>
                <c:pt idx="37">
                  <c:v>41.061999999999998</c:v>
                </c:pt>
                <c:pt idx="38">
                  <c:v>41.563000000000002</c:v>
                </c:pt>
                <c:pt idx="39">
                  <c:v>44.564</c:v>
                </c:pt>
                <c:pt idx="40">
                  <c:v>42.420999999999999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2A-4D5D-A005-ACE0801AAE44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All!$AS$6:$AS$50</c:f>
              <c:numCache>
                <c:formatCode>General</c:formatCode>
                <c:ptCount val="45"/>
                <c:pt idx="0">
                  <c:v>37.027999999999999</c:v>
                </c:pt>
                <c:pt idx="1">
                  <c:v>40.557000000000002</c:v>
                </c:pt>
                <c:pt idx="2">
                  <c:v>38.558999999999997</c:v>
                </c:pt>
                <c:pt idx="3">
                  <c:v>37.984000000000002</c:v>
                </c:pt>
                <c:pt idx="4">
                  <c:v>40.524000000000001</c:v>
                </c:pt>
                <c:pt idx="8">
                  <c:v>38.433999999999997</c:v>
                </c:pt>
                <c:pt idx="9">
                  <c:v>38.468000000000004</c:v>
                </c:pt>
                <c:pt idx="10">
                  <c:v>39.183999999999997</c:v>
                </c:pt>
                <c:pt idx="11">
                  <c:v>39.247</c:v>
                </c:pt>
                <c:pt idx="12">
                  <c:v>38.508000000000003</c:v>
                </c:pt>
                <c:pt idx="16">
                  <c:v>40.890999999999998</c:v>
                </c:pt>
                <c:pt idx="17">
                  <c:v>38.563000000000002</c:v>
                </c:pt>
                <c:pt idx="18">
                  <c:v>37.076000000000001</c:v>
                </c:pt>
                <c:pt idx="19">
                  <c:v>38.802999999999997</c:v>
                </c:pt>
                <c:pt idx="20">
                  <c:v>39.052999999999997</c:v>
                </c:pt>
                <c:pt idx="24">
                  <c:v>37.665999999999997</c:v>
                </c:pt>
                <c:pt idx="25">
                  <c:v>36.529000000000003</c:v>
                </c:pt>
                <c:pt idx="26">
                  <c:v>39.274000000000001</c:v>
                </c:pt>
                <c:pt idx="27">
                  <c:v>40.418999999999997</c:v>
                </c:pt>
                <c:pt idx="31">
                  <c:v>37.720999999999997</c:v>
                </c:pt>
                <c:pt idx="32">
                  <c:v>36.206000000000003</c:v>
                </c:pt>
                <c:pt idx="33">
                  <c:v>38.177999999999997</c:v>
                </c:pt>
                <c:pt idx="37">
                  <c:v>37.262</c:v>
                </c:pt>
                <c:pt idx="38">
                  <c:v>38.549999999999997</c:v>
                </c:pt>
                <c:pt idx="39">
                  <c:v>40.921999999999997</c:v>
                </c:pt>
                <c:pt idx="40">
                  <c:v>38.817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2A-4D5D-A005-ACE0801AA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26304"/>
        <c:axId val="1226026720"/>
      </c:scatterChart>
      <c:valAx>
        <c:axId val="122602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6720"/>
        <c:crosses val="autoZero"/>
        <c:crossBetween val="midCat"/>
      </c:valAx>
      <c:valAx>
        <c:axId val="1226026720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All!$F$6:$F$50</c:f>
              <c:numCache>
                <c:formatCode>General</c:formatCode>
                <c:ptCount val="45"/>
                <c:pt idx="0">
                  <c:v>324.64999999999998</c:v>
                </c:pt>
                <c:pt idx="1">
                  <c:v>331.66</c:v>
                </c:pt>
                <c:pt idx="2">
                  <c:v>327.05</c:v>
                </c:pt>
                <c:pt idx="3">
                  <c:v>329.49</c:v>
                </c:pt>
                <c:pt idx="4">
                  <c:v>328.78</c:v>
                </c:pt>
                <c:pt idx="8">
                  <c:v>329.67</c:v>
                </c:pt>
                <c:pt idx="9">
                  <c:v>328</c:v>
                </c:pt>
                <c:pt idx="10">
                  <c:v>331.06</c:v>
                </c:pt>
                <c:pt idx="11">
                  <c:v>331.68</c:v>
                </c:pt>
                <c:pt idx="12">
                  <c:v>330.06</c:v>
                </c:pt>
                <c:pt idx="16">
                  <c:v>328.48</c:v>
                </c:pt>
                <c:pt idx="17">
                  <c:v>331.93</c:v>
                </c:pt>
                <c:pt idx="18">
                  <c:v>329.08</c:v>
                </c:pt>
                <c:pt idx="19">
                  <c:v>329.12</c:v>
                </c:pt>
                <c:pt idx="20">
                  <c:v>329.95</c:v>
                </c:pt>
                <c:pt idx="24">
                  <c:v>329.19</c:v>
                </c:pt>
                <c:pt idx="25">
                  <c:v>333</c:v>
                </c:pt>
                <c:pt idx="26">
                  <c:v>330.24</c:v>
                </c:pt>
                <c:pt idx="27">
                  <c:v>334.35</c:v>
                </c:pt>
                <c:pt idx="31">
                  <c:v>327.02999999999997</c:v>
                </c:pt>
                <c:pt idx="32">
                  <c:v>330.92</c:v>
                </c:pt>
                <c:pt idx="33">
                  <c:v>333.12</c:v>
                </c:pt>
                <c:pt idx="37">
                  <c:v>329.48</c:v>
                </c:pt>
                <c:pt idx="38">
                  <c:v>330.58</c:v>
                </c:pt>
                <c:pt idx="39">
                  <c:v>333.29</c:v>
                </c:pt>
                <c:pt idx="40">
                  <c:v>330.35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C6-40AC-A1FB-202C4200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22560"/>
        <c:axId val="1226017152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All!$IA$6:$IA$50</c:f>
              <c:numCache>
                <c:formatCode>General</c:formatCode>
                <c:ptCount val="45"/>
                <c:pt idx="0">
                  <c:v>2.3149999999999999</c:v>
                </c:pt>
                <c:pt idx="1">
                  <c:v>2.4660000000000002</c:v>
                </c:pt>
                <c:pt idx="2">
                  <c:v>2.5459999999999998</c:v>
                </c:pt>
                <c:pt idx="3">
                  <c:v>2.7370000000000001</c:v>
                </c:pt>
                <c:pt idx="4">
                  <c:v>2.6659999999999999</c:v>
                </c:pt>
                <c:pt idx="8">
                  <c:v>2.4620000000000002</c:v>
                </c:pt>
                <c:pt idx="9">
                  <c:v>2.4980000000000002</c:v>
                </c:pt>
                <c:pt idx="10">
                  <c:v>2.7130000000000001</c:v>
                </c:pt>
                <c:pt idx="11">
                  <c:v>2.6120000000000001</c:v>
                </c:pt>
                <c:pt idx="12">
                  <c:v>2.8069999999999999</c:v>
                </c:pt>
                <c:pt idx="16">
                  <c:v>2.6850000000000001</c:v>
                </c:pt>
                <c:pt idx="17">
                  <c:v>2.7229999999999999</c:v>
                </c:pt>
                <c:pt idx="18">
                  <c:v>3.0070000000000001</c:v>
                </c:pt>
                <c:pt idx="19">
                  <c:v>2.7069999999999999</c:v>
                </c:pt>
                <c:pt idx="20">
                  <c:v>2.8679999999999999</c:v>
                </c:pt>
                <c:pt idx="24">
                  <c:v>2.589</c:v>
                </c:pt>
                <c:pt idx="25">
                  <c:v>2.7890000000000001</c:v>
                </c:pt>
                <c:pt idx="26">
                  <c:v>2.859</c:v>
                </c:pt>
                <c:pt idx="27">
                  <c:v>2.7469999999999999</c:v>
                </c:pt>
                <c:pt idx="31">
                  <c:v>2.8220000000000001</c:v>
                </c:pt>
                <c:pt idx="32">
                  <c:v>2.9350000000000001</c:v>
                </c:pt>
                <c:pt idx="33">
                  <c:v>2.9969999999999999</c:v>
                </c:pt>
                <c:pt idx="37">
                  <c:v>2.6659999999999999</c:v>
                </c:pt>
                <c:pt idx="38">
                  <c:v>2.8610000000000002</c:v>
                </c:pt>
                <c:pt idx="39">
                  <c:v>2.8330000000000002</c:v>
                </c:pt>
                <c:pt idx="40">
                  <c:v>2.6850000000000001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C6-40AC-A1FB-202C4200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3376"/>
        <c:axId val="1117649616"/>
      </c:scatterChart>
      <c:valAx>
        <c:axId val="1226022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7152"/>
        <c:crosses val="autoZero"/>
        <c:crossBetween val="midCat"/>
      </c:valAx>
      <c:valAx>
        <c:axId val="1226017152"/>
        <c:scaling>
          <c:orientation val="minMax"/>
          <c:max val="345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2560"/>
        <c:crosses val="autoZero"/>
        <c:crossBetween val="midCat"/>
      </c:valAx>
      <c:valAx>
        <c:axId val="1117649616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3376"/>
        <c:crosses val="max"/>
        <c:crossBetween val="midCat"/>
      </c:valAx>
      <c:valAx>
        <c:axId val="1117643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All!$AP$6:$AP$50</c:f>
              <c:numCache>
                <c:formatCode>General</c:formatCode>
                <c:ptCount val="45"/>
                <c:pt idx="0">
                  <c:v>1.464</c:v>
                </c:pt>
                <c:pt idx="1">
                  <c:v>1.4610000000000001</c:v>
                </c:pt>
                <c:pt idx="2">
                  <c:v>1.427</c:v>
                </c:pt>
                <c:pt idx="3">
                  <c:v>1.425</c:v>
                </c:pt>
                <c:pt idx="4">
                  <c:v>1.417</c:v>
                </c:pt>
                <c:pt idx="8">
                  <c:v>1.4430000000000001</c:v>
                </c:pt>
                <c:pt idx="9">
                  <c:v>1.4239999999999999</c:v>
                </c:pt>
                <c:pt idx="10">
                  <c:v>1.4019999999999999</c:v>
                </c:pt>
                <c:pt idx="11">
                  <c:v>1.4039999999999999</c:v>
                </c:pt>
                <c:pt idx="12">
                  <c:v>1.4039999999999999</c:v>
                </c:pt>
                <c:pt idx="16">
                  <c:v>1.429</c:v>
                </c:pt>
                <c:pt idx="17">
                  <c:v>1.3939999999999999</c:v>
                </c:pt>
                <c:pt idx="18">
                  <c:v>1.413</c:v>
                </c:pt>
                <c:pt idx="19">
                  <c:v>1.3959999999999999</c:v>
                </c:pt>
                <c:pt idx="20">
                  <c:v>1.389</c:v>
                </c:pt>
                <c:pt idx="24">
                  <c:v>1.4339999999999999</c:v>
                </c:pt>
                <c:pt idx="25">
                  <c:v>1.4279999999999999</c:v>
                </c:pt>
                <c:pt idx="26">
                  <c:v>1.421</c:v>
                </c:pt>
                <c:pt idx="27">
                  <c:v>1.41</c:v>
                </c:pt>
                <c:pt idx="31">
                  <c:v>1.363</c:v>
                </c:pt>
                <c:pt idx="32">
                  <c:v>1.3520000000000001</c:v>
                </c:pt>
                <c:pt idx="33">
                  <c:v>1.335</c:v>
                </c:pt>
                <c:pt idx="37">
                  <c:v>1.3620000000000001</c:v>
                </c:pt>
                <c:pt idx="38">
                  <c:v>1.339</c:v>
                </c:pt>
                <c:pt idx="39">
                  <c:v>1.282</c:v>
                </c:pt>
                <c:pt idx="40">
                  <c:v>1.3109999999999999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DF-4829-A4A3-DF82162881B6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All!$AQ$6:$AQ$50</c:f>
              <c:numCache>
                <c:formatCode>General</c:formatCode>
                <c:ptCount val="45"/>
                <c:pt idx="0">
                  <c:v>1.9259999999999999</c:v>
                </c:pt>
                <c:pt idx="1">
                  <c:v>1.921</c:v>
                </c:pt>
                <c:pt idx="2">
                  <c:v>1.9139999999999999</c:v>
                </c:pt>
                <c:pt idx="3">
                  <c:v>1.88</c:v>
                </c:pt>
                <c:pt idx="4">
                  <c:v>1.8859999999999999</c:v>
                </c:pt>
                <c:pt idx="8">
                  <c:v>1.9119999999999999</c:v>
                </c:pt>
                <c:pt idx="9">
                  <c:v>1.8939999999999999</c:v>
                </c:pt>
                <c:pt idx="10">
                  <c:v>1.89</c:v>
                </c:pt>
                <c:pt idx="11">
                  <c:v>1.8759999999999999</c:v>
                </c:pt>
                <c:pt idx="12">
                  <c:v>1.87</c:v>
                </c:pt>
                <c:pt idx="16">
                  <c:v>1.8979999999999999</c:v>
                </c:pt>
                <c:pt idx="17">
                  <c:v>1.905</c:v>
                </c:pt>
                <c:pt idx="18">
                  <c:v>1.8740000000000001</c:v>
                </c:pt>
                <c:pt idx="19">
                  <c:v>1.869</c:v>
                </c:pt>
                <c:pt idx="20">
                  <c:v>1.865</c:v>
                </c:pt>
                <c:pt idx="24">
                  <c:v>1.9119999999999999</c:v>
                </c:pt>
                <c:pt idx="25">
                  <c:v>1.9039999999999999</c:v>
                </c:pt>
                <c:pt idx="26">
                  <c:v>1.8839999999999999</c:v>
                </c:pt>
                <c:pt idx="27">
                  <c:v>1.88</c:v>
                </c:pt>
                <c:pt idx="31">
                  <c:v>1.81</c:v>
                </c:pt>
                <c:pt idx="32">
                  <c:v>1.8280000000000001</c:v>
                </c:pt>
                <c:pt idx="33">
                  <c:v>1.8089999999999999</c:v>
                </c:pt>
                <c:pt idx="37">
                  <c:v>1.8029999999999999</c:v>
                </c:pt>
                <c:pt idx="38">
                  <c:v>1.804</c:v>
                </c:pt>
                <c:pt idx="39">
                  <c:v>1.7749999999999999</c:v>
                </c:pt>
                <c:pt idx="40">
                  <c:v>1.78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DF-4829-A4A3-DF8216288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19648"/>
        <c:axId val="1226020480"/>
      </c:scatterChart>
      <c:valAx>
        <c:axId val="1226019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0480"/>
        <c:crosses val="autoZero"/>
        <c:crossBetween val="midCat"/>
      </c:valAx>
      <c:valAx>
        <c:axId val="122602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9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All!$CC$6:$CC$50</c:f>
              <c:numCache>
                <c:formatCode>General</c:formatCode>
                <c:ptCount val="45"/>
                <c:pt idx="0">
                  <c:v>1.2749999999999999</c:v>
                </c:pt>
                <c:pt idx="1">
                  <c:v>1.1970000000000001</c:v>
                </c:pt>
                <c:pt idx="2">
                  <c:v>1.0009999999999999</c:v>
                </c:pt>
                <c:pt idx="3">
                  <c:v>1.2070000000000001</c:v>
                </c:pt>
                <c:pt idx="4">
                  <c:v>1.0109999999999999</c:v>
                </c:pt>
                <c:pt idx="8">
                  <c:v>1.101</c:v>
                </c:pt>
                <c:pt idx="9">
                  <c:v>1.1339999999999999</c:v>
                </c:pt>
                <c:pt idx="10">
                  <c:v>1.022</c:v>
                </c:pt>
                <c:pt idx="11">
                  <c:v>0.81699999999999995</c:v>
                </c:pt>
                <c:pt idx="12">
                  <c:v>1.1419999999999999</c:v>
                </c:pt>
                <c:pt idx="16">
                  <c:v>1.048</c:v>
                </c:pt>
                <c:pt idx="17">
                  <c:v>1.1859999999999999</c:v>
                </c:pt>
                <c:pt idx="18">
                  <c:v>1.0489999999999999</c:v>
                </c:pt>
                <c:pt idx="19">
                  <c:v>0.96599999999999997</c:v>
                </c:pt>
                <c:pt idx="20">
                  <c:v>0.89600000000000002</c:v>
                </c:pt>
                <c:pt idx="24">
                  <c:v>1.177</c:v>
                </c:pt>
                <c:pt idx="25">
                  <c:v>1.3380000000000001</c:v>
                </c:pt>
                <c:pt idx="26">
                  <c:v>1.222</c:v>
                </c:pt>
                <c:pt idx="27">
                  <c:v>1.329</c:v>
                </c:pt>
                <c:pt idx="31">
                  <c:v>0.83</c:v>
                </c:pt>
                <c:pt idx="32">
                  <c:v>0.88900000000000001</c:v>
                </c:pt>
                <c:pt idx="33">
                  <c:v>1.123</c:v>
                </c:pt>
                <c:pt idx="37">
                  <c:v>1.0049999999999999</c:v>
                </c:pt>
                <c:pt idx="38">
                  <c:v>0.88200000000000001</c:v>
                </c:pt>
                <c:pt idx="39">
                  <c:v>0.92900000000000005</c:v>
                </c:pt>
                <c:pt idx="40">
                  <c:v>0.95299999999999996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0-422B-816C-1DFA2C2D4B14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All!$CD$6:$CD$50</c:f>
              <c:numCache>
                <c:formatCode>General</c:formatCode>
                <c:ptCount val="45"/>
                <c:pt idx="0">
                  <c:v>2.4300000000000002</c:v>
                </c:pt>
                <c:pt idx="1">
                  <c:v>2.5259999999999998</c:v>
                </c:pt>
                <c:pt idx="2">
                  <c:v>2.2890000000000001</c:v>
                </c:pt>
                <c:pt idx="3">
                  <c:v>2.3839999999999999</c:v>
                </c:pt>
                <c:pt idx="4">
                  <c:v>2.3959999999999999</c:v>
                </c:pt>
                <c:pt idx="8">
                  <c:v>2.3159999999999998</c:v>
                </c:pt>
                <c:pt idx="9">
                  <c:v>2.3959999999999999</c:v>
                </c:pt>
                <c:pt idx="10">
                  <c:v>2.3290000000000002</c:v>
                </c:pt>
                <c:pt idx="11">
                  <c:v>2.2349999999999999</c:v>
                </c:pt>
                <c:pt idx="12">
                  <c:v>2.323</c:v>
                </c:pt>
                <c:pt idx="16">
                  <c:v>2.4630000000000001</c:v>
                </c:pt>
                <c:pt idx="17">
                  <c:v>2.5</c:v>
                </c:pt>
                <c:pt idx="18">
                  <c:v>2.2890000000000001</c:v>
                </c:pt>
                <c:pt idx="19">
                  <c:v>2.2530000000000001</c:v>
                </c:pt>
                <c:pt idx="20">
                  <c:v>2.5550000000000002</c:v>
                </c:pt>
                <c:pt idx="24">
                  <c:v>2.3439999999999999</c:v>
                </c:pt>
                <c:pt idx="25">
                  <c:v>2.4300000000000002</c:v>
                </c:pt>
                <c:pt idx="26">
                  <c:v>2.4249999999999998</c:v>
                </c:pt>
                <c:pt idx="27">
                  <c:v>2.36</c:v>
                </c:pt>
                <c:pt idx="31">
                  <c:v>2.298</c:v>
                </c:pt>
                <c:pt idx="32">
                  <c:v>2.13</c:v>
                </c:pt>
                <c:pt idx="33">
                  <c:v>2.2389999999999999</c:v>
                </c:pt>
                <c:pt idx="37">
                  <c:v>2.0739999999999998</c:v>
                </c:pt>
                <c:pt idx="38">
                  <c:v>2.0630000000000002</c:v>
                </c:pt>
                <c:pt idx="39">
                  <c:v>2.16</c:v>
                </c:pt>
                <c:pt idx="40">
                  <c:v>1.925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80-422B-816C-1DFA2C2D4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14656"/>
        <c:axId val="1226013824"/>
      </c:scatterChart>
      <c:valAx>
        <c:axId val="122601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3824"/>
        <c:crosses val="autoZero"/>
        <c:crossBetween val="midCat"/>
      </c:valAx>
      <c:valAx>
        <c:axId val="122601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All!$CE$6:$CE$50</c:f>
              <c:numCache>
                <c:formatCode>General</c:formatCode>
                <c:ptCount val="45"/>
                <c:pt idx="0">
                  <c:v>1.5149999999999999</c:v>
                </c:pt>
                <c:pt idx="1">
                  <c:v>1.44</c:v>
                </c:pt>
                <c:pt idx="2">
                  <c:v>1.4470000000000001</c:v>
                </c:pt>
                <c:pt idx="3">
                  <c:v>1.33</c:v>
                </c:pt>
                <c:pt idx="4">
                  <c:v>1.341</c:v>
                </c:pt>
                <c:pt idx="8">
                  <c:v>1.3260000000000001</c:v>
                </c:pt>
                <c:pt idx="9">
                  <c:v>1.3149999999999999</c:v>
                </c:pt>
                <c:pt idx="10">
                  <c:v>1.3069999999999999</c:v>
                </c:pt>
                <c:pt idx="11">
                  <c:v>1.3220000000000001</c:v>
                </c:pt>
                <c:pt idx="12">
                  <c:v>1.2929999999999999</c:v>
                </c:pt>
                <c:pt idx="16">
                  <c:v>1.381</c:v>
                </c:pt>
                <c:pt idx="17">
                  <c:v>1.3089999999999999</c:v>
                </c:pt>
                <c:pt idx="18">
                  <c:v>1.2669999999999999</c:v>
                </c:pt>
                <c:pt idx="19">
                  <c:v>1.29</c:v>
                </c:pt>
                <c:pt idx="20">
                  <c:v>1.24</c:v>
                </c:pt>
                <c:pt idx="24">
                  <c:v>1.397</c:v>
                </c:pt>
                <c:pt idx="25">
                  <c:v>1.371</c:v>
                </c:pt>
                <c:pt idx="26">
                  <c:v>1.3580000000000001</c:v>
                </c:pt>
                <c:pt idx="27">
                  <c:v>1.2769999999999999</c:v>
                </c:pt>
                <c:pt idx="31">
                  <c:v>1.254</c:v>
                </c:pt>
                <c:pt idx="32">
                  <c:v>1.2829999999999999</c:v>
                </c:pt>
                <c:pt idx="33">
                  <c:v>1.2010000000000001</c:v>
                </c:pt>
                <c:pt idx="37">
                  <c:v>1.1970000000000001</c:v>
                </c:pt>
                <c:pt idx="38">
                  <c:v>1.1830000000000001</c:v>
                </c:pt>
                <c:pt idx="39">
                  <c:v>1.121</c:v>
                </c:pt>
                <c:pt idx="40">
                  <c:v>1.1930000000000001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6-4E70-BB39-C39D85935DDC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All!$CF$6:$CF$50</c:f>
              <c:numCache>
                <c:formatCode>General</c:formatCode>
                <c:ptCount val="45"/>
                <c:pt idx="0">
                  <c:v>2.2959999999999998</c:v>
                </c:pt>
                <c:pt idx="1">
                  <c:v>2.2309999999999999</c:v>
                </c:pt>
                <c:pt idx="2">
                  <c:v>2.2080000000000002</c:v>
                </c:pt>
                <c:pt idx="3">
                  <c:v>2.1</c:v>
                </c:pt>
                <c:pt idx="4">
                  <c:v>2.056</c:v>
                </c:pt>
                <c:pt idx="8">
                  <c:v>2.1829999999999998</c:v>
                </c:pt>
                <c:pt idx="9">
                  <c:v>2.133</c:v>
                </c:pt>
                <c:pt idx="10">
                  <c:v>2.1150000000000002</c:v>
                </c:pt>
                <c:pt idx="11">
                  <c:v>2.141</c:v>
                </c:pt>
                <c:pt idx="12">
                  <c:v>2.0920000000000001</c:v>
                </c:pt>
                <c:pt idx="16">
                  <c:v>2.2040000000000002</c:v>
                </c:pt>
                <c:pt idx="17">
                  <c:v>2.15</c:v>
                </c:pt>
                <c:pt idx="18">
                  <c:v>2.0619999999999998</c:v>
                </c:pt>
                <c:pt idx="19">
                  <c:v>2.141</c:v>
                </c:pt>
                <c:pt idx="20">
                  <c:v>2.11</c:v>
                </c:pt>
                <c:pt idx="24">
                  <c:v>2.1179999999999999</c:v>
                </c:pt>
                <c:pt idx="25">
                  <c:v>2.25</c:v>
                </c:pt>
                <c:pt idx="26">
                  <c:v>2.0680000000000001</c:v>
                </c:pt>
                <c:pt idx="27">
                  <c:v>2.0659999999999998</c:v>
                </c:pt>
                <c:pt idx="31">
                  <c:v>1.9950000000000001</c:v>
                </c:pt>
                <c:pt idx="32">
                  <c:v>2.0499999999999998</c:v>
                </c:pt>
                <c:pt idx="33">
                  <c:v>1.9910000000000001</c:v>
                </c:pt>
                <c:pt idx="37">
                  <c:v>1.9930000000000001</c:v>
                </c:pt>
                <c:pt idx="38">
                  <c:v>1.98</c:v>
                </c:pt>
                <c:pt idx="39">
                  <c:v>1.984</c:v>
                </c:pt>
                <c:pt idx="40">
                  <c:v>1.964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6-4E70-BB39-C39D85935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29216"/>
        <c:axId val="1226030464"/>
      </c:scatterChart>
      <c:valAx>
        <c:axId val="1226029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30464"/>
        <c:crosses val="autoZero"/>
        <c:crossBetween val="midCat"/>
      </c:valAx>
      <c:valAx>
        <c:axId val="122603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9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All!$DP$6:$DP$50</c:f>
              <c:numCache>
                <c:formatCode>General</c:formatCode>
                <c:ptCount val="45"/>
                <c:pt idx="0">
                  <c:v>60.348999999999997</c:v>
                </c:pt>
                <c:pt idx="1">
                  <c:v>64.548000000000002</c:v>
                </c:pt>
                <c:pt idx="2">
                  <c:v>66.626000000000005</c:v>
                </c:pt>
                <c:pt idx="3">
                  <c:v>65.945999999999998</c:v>
                </c:pt>
                <c:pt idx="4">
                  <c:v>67.825999999999993</c:v>
                </c:pt>
                <c:pt idx="8">
                  <c:v>65.323999999999998</c:v>
                </c:pt>
                <c:pt idx="9">
                  <c:v>65.436000000000007</c:v>
                </c:pt>
                <c:pt idx="10">
                  <c:v>67.932000000000002</c:v>
                </c:pt>
                <c:pt idx="11">
                  <c:v>68.281000000000006</c:v>
                </c:pt>
                <c:pt idx="12">
                  <c:v>68.653000000000006</c:v>
                </c:pt>
                <c:pt idx="16">
                  <c:v>63.33</c:v>
                </c:pt>
                <c:pt idx="17">
                  <c:v>65.257000000000005</c:v>
                </c:pt>
                <c:pt idx="18">
                  <c:v>62.857999999999997</c:v>
                </c:pt>
                <c:pt idx="19">
                  <c:v>64.346999999999994</c:v>
                </c:pt>
                <c:pt idx="20">
                  <c:v>63.162999999999997</c:v>
                </c:pt>
                <c:pt idx="24">
                  <c:v>65.486000000000004</c:v>
                </c:pt>
                <c:pt idx="25">
                  <c:v>64.882999999999996</c:v>
                </c:pt>
                <c:pt idx="26">
                  <c:v>67.796000000000006</c:v>
                </c:pt>
                <c:pt idx="27">
                  <c:v>66.903999999999996</c:v>
                </c:pt>
                <c:pt idx="31">
                  <c:v>65.909000000000006</c:v>
                </c:pt>
                <c:pt idx="32">
                  <c:v>65.912000000000006</c:v>
                </c:pt>
                <c:pt idx="33">
                  <c:v>64.971999999999994</c:v>
                </c:pt>
                <c:pt idx="37">
                  <c:v>65.254000000000005</c:v>
                </c:pt>
                <c:pt idx="38">
                  <c:v>66.343000000000004</c:v>
                </c:pt>
                <c:pt idx="39">
                  <c:v>68.364999999999995</c:v>
                </c:pt>
                <c:pt idx="40">
                  <c:v>66.771000000000001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97-4E29-8041-14CBD26992FE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All!$DQ$6:$DQ$50</c:f>
              <c:numCache>
                <c:formatCode>General</c:formatCode>
                <c:ptCount val="45"/>
                <c:pt idx="0">
                  <c:v>62.698</c:v>
                </c:pt>
                <c:pt idx="1">
                  <c:v>61.433</c:v>
                </c:pt>
                <c:pt idx="2">
                  <c:v>61.338000000000001</c:v>
                </c:pt>
                <c:pt idx="3">
                  <c:v>59.715000000000003</c:v>
                </c:pt>
                <c:pt idx="4">
                  <c:v>62.767000000000003</c:v>
                </c:pt>
                <c:pt idx="8">
                  <c:v>60.719000000000001</c:v>
                </c:pt>
                <c:pt idx="9">
                  <c:v>60.472000000000001</c:v>
                </c:pt>
                <c:pt idx="10">
                  <c:v>60.893000000000001</c:v>
                </c:pt>
                <c:pt idx="11">
                  <c:v>59.500999999999998</c:v>
                </c:pt>
                <c:pt idx="12">
                  <c:v>61.756999999999998</c:v>
                </c:pt>
                <c:pt idx="16">
                  <c:v>59.701999999999998</c:v>
                </c:pt>
                <c:pt idx="17">
                  <c:v>62.396999999999998</c:v>
                </c:pt>
                <c:pt idx="18">
                  <c:v>61.436999999999998</c:v>
                </c:pt>
                <c:pt idx="19">
                  <c:v>62.231000000000002</c:v>
                </c:pt>
                <c:pt idx="20">
                  <c:v>61.527000000000001</c:v>
                </c:pt>
                <c:pt idx="24">
                  <c:v>59.42</c:v>
                </c:pt>
                <c:pt idx="25">
                  <c:v>59.253</c:v>
                </c:pt>
                <c:pt idx="26">
                  <c:v>58.35</c:v>
                </c:pt>
                <c:pt idx="27">
                  <c:v>61.429000000000002</c:v>
                </c:pt>
                <c:pt idx="31">
                  <c:v>60.524999999999999</c:v>
                </c:pt>
                <c:pt idx="32">
                  <c:v>58.831000000000003</c:v>
                </c:pt>
                <c:pt idx="33">
                  <c:v>56.716999999999999</c:v>
                </c:pt>
                <c:pt idx="37">
                  <c:v>58.994999999999997</c:v>
                </c:pt>
                <c:pt idx="38">
                  <c:v>59.47</c:v>
                </c:pt>
                <c:pt idx="39">
                  <c:v>58.713999999999999</c:v>
                </c:pt>
                <c:pt idx="40">
                  <c:v>61.070999999999998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97-4E29-8041-14CBD26992FE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All!$DR$6:$DR$50</c:f>
              <c:numCache>
                <c:formatCode>General</c:formatCode>
                <c:ptCount val="45"/>
                <c:pt idx="0">
                  <c:v>53.167000000000002</c:v>
                </c:pt>
                <c:pt idx="1">
                  <c:v>54.655000000000001</c:v>
                </c:pt>
                <c:pt idx="2">
                  <c:v>54.741</c:v>
                </c:pt>
                <c:pt idx="3">
                  <c:v>54.274000000000001</c:v>
                </c:pt>
                <c:pt idx="4">
                  <c:v>53.828000000000003</c:v>
                </c:pt>
                <c:pt idx="8">
                  <c:v>54.206000000000003</c:v>
                </c:pt>
                <c:pt idx="9">
                  <c:v>53.27</c:v>
                </c:pt>
                <c:pt idx="10">
                  <c:v>55.106999999999999</c:v>
                </c:pt>
                <c:pt idx="11">
                  <c:v>54.378</c:v>
                </c:pt>
                <c:pt idx="12">
                  <c:v>53.162999999999997</c:v>
                </c:pt>
                <c:pt idx="16">
                  <c:v>55.33</c:v>
                </c:pt>
                <c:pt idx="17">
                  <c:v>55.161999999999999</c:v>
                </c:pt>
                <c:pt idx="18">
                  <c:v>53.933</c:v>
                </c:pt>
                <c:pt idx="19">
                  <c:v>53.908000000000001</c:v>
                </c:pt>
                <c:pt idx="20">
                  <c:v>55.088999999999999</c:v>
                </c:pt>
                <c:pt idx="24">
                  <c:v>53.856999999999999</c:v>
                </c:pt>
                <c:pt idx="25">
                  <c:v>54.563000000000002</c:v>
                </c:pt>
                <c:pt idx="26">
                  <c:v>54.826000000000001</c:v>
                </c:pt>
                <c:pt idx="27">
                  <c:v>53.887999999999998</c:v>
                </c:pt>
                <c:pt idx="31">
                  <c:v>55.527000000000001</c:v>
                </c:pt>
                <c:pt idx="32">
                  <c:v>53.976999999999997</c:v>
                </c:pt>
                <c:pt idx="33">
                  <c:v>52.737000000000002</c:v>
                </c:pt>
                <c:pt idx="37">
                  <c:v>54.752000000000002</c:v>
                </c:pt>
                <c:pt idx="38">
                  <c:v>55.151000000000003</c:v>
                </c:pt>
                <c:pt idx="39">
                  <c:v>54.576999999999998</c:v>
                </c:pt>
                <c:pt idx="40">
                  <c:v>54.631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97-4E29-8041-14CBD26992FE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All!$DS$6:$DS$50</c:f>
              <c:numCache>
                <c:formatCode>General</c:formatCode>
                <c:ptCount val="45"/>
                <c:pt idx="0">
                  <c:v>50.097000000000001</c:v>
                </c:pt>
                <c:pt idx="1">
                  <c:v>53.037999999999997</c:v>
                </c:pt>
                <c:pt idx="2">
                  <c:v>52.817</c:v>
                </c:pt>
                <c:pt idx="3">
                  <c:v>52.204000000000001</c:v>
                </c:pt>
                <c:pt idx="4">
                  <c:v>53.088999999999999</c:v>
                </c:pt>
                <c:pt idx="8">
                  <c:v>51.322000000000003</c:v>
                </c:pt>
                <c:pt idx="9">
                  <c:v>51.088999999999999</c:v>
                </c:pt>
                <c:pt idx="10">
                  <c:v>52.38</c:v>
                </c:pt>
                <c:pt idx="11">
                  <c:v>53.454000000000001</c:v>
                </c:pt>
                <c:pt idx="12">
                  <c:v>53.389000000000003</c:v>
                </c:pt>
                <c:pt idx="16">
                  <c:v>52.33</c:v>
                </c:pt>
                <c:pt idx="17">
                  <c:v>52.654000000000003</c:v>
                </c:pt>
                <c:pt idx="18">
                  <c:v>52.085999999999999</c:v>
                </c:pt>
                <c:pt idx="19">
                  <c:v>51.756</c:v>
                </c:pt>
                <c:pt idx="20">
                  <c:v>52.372</c:v>
                </c:pt>
                <c:pt idx="24">
                  <c:v>49.819000000000003</c:v>
                </c:pt>
                <c:pt idx="25">
                  <c:v>50.368000000000002</c:v>
                </c:pt>
                <c:pt idx="26">
                  <c:v>50.595999999999997</c:v>
                </c:pt>
                <c:pt idx="27">
                  <c:v>50.424999999999997</c:v>
                </c:pt>
                <c:pt idx="31">
                  <c:v>51.17</c:v>
                </c:pt>
                <c:pt idx="32">
                  <c:v>49.771000000000001</c:v>
                </c:pt>
                <c:pt idx="33">
                  <c:v>50.621000000000002</c:v>
                </c:pt>
                <c:pt idx="37">
                  <c:v>49.886000000000003</c:v>
                </c:pt>
                <c:pt idx="38">
                  <c:v>51.29</c:v>
                </c:pt>
                <c:pt idx="39">
                  <c:v>51.191000000000003</c:v>
                </c:pt>
                <c:pt idx="40">
                  <c:v>52.253999999999998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97-4E29-8041-14CBD2699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30048"/>
        <c:axId val="1225915232"/>
      </c:scatterChart>
      <c:valAx>
        <c:axId val="1226030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5232"/>
        <c:crosses val="autoZero"/>
        <c:crossBetween val="midCat"/>
      </c:valAx>
      <c:valAx>
        <c:axId val="1225915232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3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All!$DL$6:$DL$50</c:f>
              <c:numCache>
                <c:formatCode>General</c:formatCode>
                <c:ptCount val="45"/>
                <c:pt idx="0">
                  <c:v>0.42</c:v>
                </c:pt>
                <c:pt idx="1">
                  <c:v>0.42</c:v>
                </c:pt>
                <c:pt idx="2">
                  <c:v>0.41199999999999998</c:v>
                </c:pt>
                <c:pt idx="3">
                  <c:v>0.41799999999999998</c:v>
                </c:pt>
                <c:pt idx="4">
                  <c:v>0.41399999999999998</c:v>
                </c:pt>
                <c:pt idx="8">
                  <c:v>0.41499999999999998</c:v>
                </c:pt>
                <c:pt idx="9">
                  <c:v>0.41499999999999998</c:v>
                </c:pt>
                <c:pt idx="10">
                  <c:v>0.41199999999999998</c:v>
                </c:pt>
                <c:pt idx="11">
                  <c:v>0.41299999999999998</c:v>
                </c:pt>
                <c:pt idx="12">
                  <c:v>0.40400000000000003</c:v>
                </c:pt>
                <c:pt idx="16">
                  <c:v>0.41099999999999998</c:v>
                </c:pt>
                <c:pt idx="17">
                  <c:v>0.39500000000000002</c:v>
                </c:pt>
                <c:pt idx="18">
                  <c:v>0.41</c:v>
                </c:pt>
                <c:pt idx="19">
                  <c:v>0.41</c:v>
                </c:pt>
                <c:pt idx="20">
                  <c:v>0.40799999999999997</c:v>
                </c:pt>
                <c:pt idx="24">
                  <c:v>0.41799999999999998</c:v>
                </c:pt>
                <c:pt idx="25">
                  <c:v>0.41499999999999998</c:v>
                </c:pt>
                <c:pt idx="26">
                  <c:v>0.41699999999999998</c:v>
                </c:pt>
                <c:pt idx="27">
                  <c:v>0.41599999999999998</c:v>
                </c:pt>
                <c:pt idx="31">
                  <c:v>0.40799999999999997</c:v>
                </c:pt>
                <c:pt idx="32">
                  <c:v>0.40600000000000003</c:v>
                </c:pt>
                <c:pt idx="33">
                  <c:v>0.40699999999999997</c:v>
                </c:pt>
                <c:pt idx="37">
                  <c:v>0.39500000000000002</c:v>
                </c:pt>
                <c:pt idx="38">
                  <c:v>0.40400000000000003</c:v>
                </c:pt>
                <c:pt idx="39">
                  <c:v>0.40400000000000003</c:v>
                </c:pt>
                <c:pt idx="40">
                  <c:v>0.40699999999999997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D-4A71-9061-6E4003F0A30E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All!$DM$6:$DM$50</c:f>
              <c:numCache>
                <c:formatCode>General</c:formatCode>
                <c:ptCount val="45"/>
                <c:pt idx="0">
                  <c:v>0.47399999999999998</c:v>
                </c:pt>
                <c:pt idx="1">
                  <c:v>0.57999999999999996</c:v>
                </c:pt>
                <c:pt idx="2">
                  <c:v>0.70199999999999996</c:v>
                </c:pt>
                <c:pt idx="3">
                  <c:v>0.435</c:v>
                </c:pt>
                <c:pt idx="4">
                  <c:v>0.35899999999999999</c:v>
                </c:pt>
                <c:pt idx="8">
                  <c:v>0.504</c:v>
                </c:pt>
                <c:pt idx="9">
                  <c:v>0.46300000000000002</c:v>
                </c:pt>
                <c:pt idx="10">
                  <c:v>0.48299999999999998</c:v>
                </c:pt>
                <c:pt idx="11">
                  <c:v>0.42799999999999999</c:v>
                </c:pt>
                <c:pt idx="12">
                  <c:v>0.45800000000000002</c:v>
                </c:pt>
                <c:pt idx="16">
                  <c:v>0.50600000000000001</c:v>
                </c:pt>
                <c:pt idx="17">
                  <c:v>0.38500000000000001</c:v>
                </c:pt>
                <c:pt idx="18">
                  <c:v>0.39400000000000002</c:v>
                </c:pt>
                <c:pt idx="19">
                  <c:v>0.621</c:v>
                </c:pt>
                <c:pt idx="20">
                  <c:v>0.48799999999999999</c:v>
                </c:pt>
                <c:pt idx="24">
                  <c:v>0.47699999999999998</c:v>
                </c:pt>
                <c:pt idx="25">
                  <c:v>0.51100000000000001</c:v>
                </c:pt>
                <c:pt idx="26">
                  <c:v>0.16900000000000001</c:v>
                </c:pt>
                <c:pt idx="27">
                  <c:v>6.0999999999999999E-2</c:v>
                </c:pt>
                <c:pt idx="31">
                  <c:v>0.91300000000000003</c:v>
                </c:pt>
                <c:pt idx="32">
                  <c:v>0.95899999999999996</c:v>
                </c:pt>
                <c:pt idx="33">
                  <c:v>5.7000000000000002E-2</c:v>
                </c:pt>
                <c:pt idx="37">
                  <c:v>0.504</c:v>
                </c:pt>
                <c:pt idx="38">
                  <c:v>0.47499999999999998</c:v>
                </c:pt>
                <c:pt idx="39">
                  <c:v>0.432</c:v>
                </c:pt>
                <c:pt idx="40">
                  <c:v>0.53400000000000003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D-4A71-9061-6E4003F0A30E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All!$DN$6:$DN$50</c:f>
              <c:numCache>
                <c:formatCode>General</c:formatCode>
                <c:ptCount val="45"/>
                <c:pt idx="0">
                  <c:v>0.49299999999999999</c:v>
                </c:pt>
                <c:pt idx="1">
                  <c:v>0.82899999999999996</c:v>
                </c:pt>
                <c:pt idx="2">
                  <c:v>0.41899999999999998</c:v>
                </c:pt>
                <c:pt idx="3">
                  <c:v>0.28299999999999997</c:v>
                </c:pt>
                <c:pt idx="4">
                  <c:v>0.375</c:v>
                </c:pt>
                <c:pt idx="8">
                  <c:v>0.51100000000000001</c:v>
                </c:pt>
                <c:pt idx="9">
                  <c:v>0.64300000000000002</c:v>
                </c:pt>
                <c:pt idx="10">
                  <c:v>0.48799999999999999</c:v>
                </c:pt>
                <c:pt idx="11">
                  <c:v>0.374</c:v>
                </c:pt>
                <c:pt idx="12">
                  <c:v>-2.528</c:v>
                </c:pt>
                <c:pt idx="16">
                  <c:v>2.5000000000000001E-2</c:v>
                </c:pt>
                <c:pt idx="17">
                  <c:v>0.109</c:v>
                </c:pt>
                <c:pt idx="18">
                  <c:v>-0.999</c:v>
                </c:pt>
                <c:pt idx="19">
                  <c:v>0.45500000000000002</c:v>
                </c:pt>
                <c:pt idx="20">
                  <c:v>0.92900000000000005</c:v>
                </c:pt>
                <c:pt idx="24">
                  <c:v>0.45700000000000002</c:v>
                </c:pt>
                <c:pt idx="25">
                  <c:v>0.65500000000000003</c:v>
                </c:pt>
                <c:pt idx="26">
                  <c:v>-2.3170000000000002</c:v>
                </c:pt>
                <c:pt idx="27">
                  <c:v>-11.182</c:v>
                </c:pt>
                <c:pt idx="31">
                  <c:v>0.47899999999999998</c:v>
                </c:pt>
                <c:pt idx="32">
                  <c:v>0.42799999999999999</c:v>
                </c:pt>
                <c:pt idx="33">
                  <c:v>0.48</c:v>
                </c:pt>
                <c:pt idx="37">
                  <c:v>0.438</c:v>
                </c:pt>
                <c:pt idx="38">
                  <c:v>0.46400000000000002</c:v>
                </c:pt>
                <c:pt idx="39">
                  <c:v>3.9E-2</c:v>
                </c:pt>
                <c:pt idx="40">
                  <c:v>0.61299999999999999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6D-4A71-9061-6E4003F0A30E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All!$DO$6:$DO$50</c:f>
              <c:numCache>
                <c:formatCode>General</c:formatCode>
                <c:ptCount val="45"/>
                <c:pt idx="0">
                  <c:v>0.38500000000000001</c:v>
                </c:pt>
                <c:pt idx="1">
                  <c:v>1.175</c:v>
                </c:pt>
                <c:pt idx="2">
                  <c:v>0.35299999999999998</c:v>
                </c:pt>
                <c:pt idx="3">
                  <c:v>0.27100000000000002</c:v>
                </c:pt>
                <c:pt idx="4">
                  <c:v>0.19400000000000001</c:v>
                </c:pt>
                <c:pt idx="8">
                  <c:v>0.90500000000000003</c:v>
                </c:pt>
                <c:pt idx="9">
                  <c:v>0.36699999999999999</c:v>
                </c:pt>
                <c:pt idx="10">
                  <c:v>0.86699999999999999</c:v>
                </c:pt>
                <c:pt idx="11">
                  <c:v>0.41699999999999998</c:v>
                </c:pt>
                <c:pt idx="12">
                  <c:v>0.29399999999999998</c:v>
                </c:pt>
                <c:pt idx="16">
                  <c:v>0.42899999999999999</c:v>
                </c:pt>
                <c:pt idx="17">
                  <c:v>-0.30599999999999999</c:v>
                </c:pt>
                <c:pt idx="18">
                  <c:v>0.31900000000000001</c:v>
                </c:pt>
                <c:pt idx="19">
                  <c:v>0.35599999999999998</c:v>
                </c:pt>
                <c:pt idx="20">
                  <c:v>0.13500000000000001</c:v>
                </c:pt>
                <c:pt idx="24">
                  <c:v>0.35899999999999999</c:v>
                </c:pt>
                <c:pt idx="25">
                  <c:v>0.433</c:v>
                </c:pt>
                <c:pt idx="26">
                  <c:v>0.32600000000000001</c:v>
                </c:pt>
                <c:pt idx="27">
                  <c:v>0.30199999999999999</c:v>
                </c:pt>
                <c:pt idx="31">
                  <c:v>0.47199999999999998</c:v>
                </c:pt>
                <c:pt idx="32">
                  <c:v>-0.9</c:v>
                </c:pt>
                <c:pt idx="33">
                  <c:v>0.40300000000000002</c:v>
                </c:pt>
                <c:pt idx="37">
                  <c:v>0.35899999999999999</c:v>
                </c:pt>
                <c:pt idx="38">
                  <c:v>0.307</c:v>
                </c:pt>
                <c:pt idx="39">
                  <c:v>6.5000000000000002E-2</c:v>
                </c:pt>
                <c:pt idx="40">
                  <c:v>0.41899999999999998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6D-4A71-9061-6E4003F0A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05248"/>
        <c:axId val="1225912320"/>
      </c:scatterChart>
      <c:valAx>
        <c:axId val="122590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2320"/>
        <c:crosses val="autoZero"/>
        <c:crossBetween val="midCat"/>
      </c:valAx>
      <c:valAx>
        <c:axId val="1225912320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All!$HW$6:$HW$50</c:f>
              <c:numCache>
                <c:formatCode>General</c:formatCode>
                <c:ptCount val="45"/>
                <c:pt idx="0">
                  <c:v>40.04</c:v>
                </c:pt>
                <c:pt idx="1">
                  <c:v>39.58</c:v>
                </c:pt>
                <c:pt idx="2">
                  <c:v>39.58</c:v>
                </c:pt>
                <c:pt idx="3">
                  <c:v>43.79</c:v>
                </c:pt>
                <c:pt idx="4">
                  <c:v>45.97</c:v>
                </c:pt>
                <c:pt idx="8">
                  <c:v>42.33</c:v>
                </c:pt>
                <c:pt idx="9">
                  <c:v>37.17</c:v>
                </c:pt>
                <c:pt idx="10">
                  <c:v>37.17</c:v>
                </c:pt>
                <c:pt idx="11">
                  <c:v>38.119999999999997</c:v>
                </c:pt>
                <c:pt idx="12">
                  <c:v>38.119999999999997</c:v>
                </c:pt>
                <c:pt idx="16">
                  <c:v>42.11</c:v>
                </c:pt>
                <c:pt idx="17">
                  <c:v>41.09</c:v>
                </c:pt>
                <c:pt idx="18">
                  <c:v>35.299999999999997</c:v>
                </c:pt>
                <c:pt idx="19">
                  <c:v>35.299999999999997</c:v>
                </c:pt>
                <c:pt idx="20">
                  <c:v>40.64</c:v>
                </c:pt>
                <c:pt idx="24">
                  <c:v>36.85</c:v>
                </c:pt>
                <c:pt idx="25">
                  <c:v>36.85</c:v>
                </c:pt>
                <c:pt idx="26">
                  <c:v>37.61</c:v>
                </c:pt>
                <c:pt idx="27">
                  <c:v>44.42</c:v>
                </c:pt>
                <c:pt idx="31">
                  <c:v>41.22</c:v>
                </c:pt>
                <c:pt idx="32">
                  <c:v>40.409999999999997</c:v>
                </c:pt>
                <c:pt idx="33">
                  <c:v>40.409999999999997</c:v>
                </c:pt>
                <c:pt idx="37">
                  <c:v>43.43</c:v>
                </c:pt>
                <c:pt idx="38">
                  <c:v>40.380000000000003</c:v>
                </c:pt>
                <c:pt idx="39">
                  <c:v>40.380000000000003</c:v>
                </c:pt>
                <c:pt idx="40">
                  <c:v>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0B-454E-A9A9-A74962200372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All!$HX$6:$HX$50</c:f>
              <c:numCache>
                <c:formatCode>General</c:formatCode>
                <c:ptCount val="45"/>
                <c:pt idx="0">
                  <c:v>51.28</c:v>
                </c:pt>
                <c:pt idx="1">
                  <c:v>49.87</c:v>
                </c:pt>
                <c:pt idx="2">
                  <c:v>45.47</c:v>
                </c:pt>
                <c:pt idx="3">
                  <c:v>45.47</c:v>
                </c:pt>
                <c:pt idx="4">
                  <c:v>47.68</c:v>
                </c:pt>
                <c:pt idx="8">
                  <c:v>49.07</c:v>
                </c:pt>
                <c:pt idx="9">
                  <c:v>49.07</c:v>
                </c:pt>
                <c:pt idx="10">
                  <c:v>51.76</c:v>
                </c:pt>
                <c:pt idx="11">
                  <c:v>48.18</c:v>
                </c:pt>
                <c:pt idx="12">
                  <c:v>48.18</c:v>
                </c:pt>
                <c:pt idx="16">
                  <c:v>45.08</c:v>
                </c:pt>
                <c:pt idx="17">
                  <c:v>45.08</c:v>
                </c:pt>
                <c:pt idx="18">
                  <c:v>46</c:v>
                </c:pt>
                <c:pt idx="19">
                  <c:v>42.68</c:v>
                </c:pt>
                <c:pt idx="20">
                  <c:v>42.68</c:v>
                </c:pt>
                <c:pt idx="24">
                  <c:v>42.22</c:v>
                </c:pt>
                <c:pt idx="25">
                  <c:v>42.22</c:v>
                </c:pt>
                <c:pt idx="26">
                  <c:v>44.39</c:v>
                </c:pt>
                <c:pt idx="27">
                  <c:v>44.39</c:v>
                </c:pt>
                <c:pt idx="31">
                  <c:v>42.01</c:v>
                </c:pt>
                <c:pt idx="32">
                  <c:v>40.15</c:v>
                </c:pt>
                <c:pt idx="33">
                  <c:v>40.15</c:v>
                </c:pt>
                <c:pt idx="37">
                  <c:v>43.64</c:v>
                </c:pt>
                <c:pt idx="38">
                  <c:v>43.64</c:v>
                </c:pt>
                <c:pt idx="39">
                  <c:v>46.15</c:v>
                </c:pt>
                <c:pt idx="40">
                  <c:v>47.05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0B-454E-A9A9-A74962200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25216"/>
        <c:axId val="1225901088"/>
      </c:scatterChart>
      <c:valAx>
        <c:axId val="122592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1088"/>
        <c:crosses val="autoZero"/>
        <c:crossBetween val="midCat"/>
      </c:valAx>
      <c:valAx>
        <c:axId val="1225901088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All!$HY$6:$HY$50</c:f>
              <c:numCache>
                <c:formatCode>General</c:formatCode>
                <c:ptCount val="45"/>
                <c:pt idx="1">
                  <c:v>51.98</c:v>
                </c:pt>
                <c:pt idx="2">
                  <c:v>51.67</c:v>
                </c:pt>
                <c:pt idx="3">
                  <c:v>52.25</c:v>
                </c:pt>
                <c:pt idx="9">
                  <c:v>52.49</c:v>
                </c:pt>
                <c:pt idx="10">
                  <c:v>52.13</c:v>
                </c:pt>
                <c:pt idx="11">
                  <c:v>52.59</c:v>
                </c:pt>
                <c:pt idx="18">
                  <c:v>56.22</c:v>
                </c:pt>
                <c:pt idx="25">
                  <c:v>51.09</c:v>
                </c:pt>
                <c:pt idx="26">
                  <c:v>50.68</c:v>
                </c:pt>
                <c:pt idx="32">
                  <c:v>50.74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7C-46A9-8E9B-46FA50C856E5}"/>
            </c:ext>
          </c:extLst>
        </c:ser>
        <c:ser>
          <c:idx val="1"/>
          <c:order val="1"/>
          <c:tx>
            <c:v>Ave Ride_AxleRear_Porsche1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All!$HZ$6:$HZ$50</c:f>
              <c:numCache>
                <c:formatCode>General</c:formatCode>
                <c:ptCount val="45"/>
                <c:pt idx="1">
                  <c:v>51.98</c:v>
                </c:pt>
                <c:pt idx="2">
                  <c:v>51.67</c:v>
                </c:pt>
                <c:pt idx="3">
                  <c:v>52.25</c:v>
                </c:pt>
                <c:pt idx="9">
                  <c:v>52.49</c:v>
                </c:pt>
                <c:pt idx="10">
                  <c:v>52.13</c:v>
                </c:pt>
                <c:pt idx="11">
                  <c:v>52.59</c:v>
                </c:pt>
                <c:pt idx="18">
                  <c:v>56.22</c:v>
                </c:pt>
                <c:pt idx="25">
                  <c:v>51.09</c:v>
                </c:pt>
                <c:pt idx="26">
                  <c:v>50.68</c:v>
                </c:pt>
                <c:pt idx="32">
                  <c:v>50.74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7C-46A9-8E9B-46FA50C85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06912"/>
        <c:axId val="1225902336"/>
      </c:scatterChart>
      <c:valAx>
        <c:axId val="122590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2336"/>
        <c:crosses val="autoZero"/>
        <c:crossBetween val="midCat"/>
      </c:valAx>
      <c:valAx>
        <c:axId val="1225902336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6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All!$AL$6:$AL$50</c:f>
              <c:numCache>
                <c:formatCode>General</c:formatCode>
                <c:ptCount val="45"/>
                <c:pt idx="0">
                  <c:v>603.54700000000003</c:v>
                </c:pt>
                <c:pt idx="1">
                  <c:v>639.90800000000002</c:v>
                </c:pt>
                <c:pt idx="2">
                  <c:v>649.54600000000005</c:v>
                </c:pt>
                <c:pt idx="3">
                  <c:v>655.24699999999996</c:v>
                </c:pt>
                <c:pt idx="4">
                  <c:v>645.16499999999996</c:v>
                </c:pt>
                <c:pt idx="8">
                  <c:v>623.78099999999995</c:v>
                </c:pt>
                <c:pt idx="9">
                  <c:v>664.58299999999997</c:v>
                </c:pt>
                <c:pt idx="10">
                  <c:v>649.79600000000005</c:v>
                </c:pt>
                <c:pt idx="11">
                  <c:v>659.96</c:v>
                </c:pt>
                <c:pt idx="12">
                  <c:v>692.88699999999994</c:v>
                </c:pt>
                <c:pt idx="16">
                  <c:v>619.399</c:v>
                </c:pt>
                <c:pt idx="17">
                  <c:v>758.51599999999996</c:v>
                </c:pt>
                <c:pt idx="18">
                  <c:v>642.25</c:v>
                </c:pt>
                <c:pt idx="19">
                  <c:v>660.23900000000003</c:v>
                </c:pt>
                <c:pt idx="20">
                  <c:v>694.06</c:v>
                </c:pt>
                <c:pt idx="24">
                  <c:v>657.02800000000002</c:v>
                </c:pt>
                <c:pt idx="25">
                  <c:v>702.18299999999999</c:v>
                </c:pt>
                <c:pt idx="26">
                  <c:v>674.50400000000002</c:v>
                </c:pt>
                <c:pt idx="27">
                  <c:v>666.33299999999997</c:v>
                </c:pt>
                <c:pt idx="31">
                  <c:v>637.64300000000003</c:v>
                </c:pt>
                <c:pt idx="32">
                  <c:v>705.846</c:v>
                </c:pt>
                <c:pt idx="33">
                  <c:v>677.971</c:v>
                </c:pt>
                <c:pt idx="37">
                  <c:v>639.18799999999999</c:v>
                </c:pt>
                <c:pt idx="38">
                  <c:v>700.21</c:v>
                </c:pt>
                <c:pt idx="39">
                  <c:v>669.78800000000001</c:v>
                </c:pt>
                <c:pt idx="40">
                  <c:v>640.19000000000005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07-49BE-B474-012626B04EBD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All!$AM$6:$AM$50</c:f>
              <c:numCache>
                <c:formatCode>General</c:formatCode>
                <c:ptCount val="45"/>
                <c:pt idx="0">
                  <c:v>619.34699999999998</c:v>
                </c:pt>
                <c:pt idx="1">
                  <c:v>632.745</c:v>
                </c:pt>
                <c:pt idx="2">
                  <c:v>653.94100000000003</c:v>
                </c:pt>
                <c:pt idx="3">
                  <c:v>653.55600000000004</c:v>
                </c:pt>
                <c:pt idx="4">
                  <c:v>666.73299999999995</c:v>
                </c:pt>
                <c:pt idx="8">
                  <c:v>639.47500000000002</c:v>
                </c:pt>
                <c:pt idx="9">
                  <c:v>670.80499999999995</c:v>
                </c:pt>
                <c:pt idx="10">
                  <c:v>664.173</c:v>
                </c:pt>
                <c:pt idx="11">
                  <c:v>671.26199999999994</c:v>
                </c:pt>
                <c:pt idx="12">
                  <c:v>707.35400000000004</c:v>
                </c:pt>
                <c:pt idx="16">
                  <c:v>664.77800000000002</c:v>
                </c:pt>
                <c:pt idx="17">
                  <c:v>705.95600000000002</c:v>
                </c:pt>
                <c:pt idx="18">
                  <c:v>644.29600000000005</c:v>
                </c:pt>
                <c:pt idx="19">
                  <c:v>674.15499999999997</c:v>
                </c:pt>
                <c:pt idx="20">
                  <c:v>684.577</c:v>
                </c:pt>
                <c:pt idx="24">
                  <c:v>678.52300000000002</c:v>
                </c:pt>
                <c:pt idx="25">
                  <c:v>678.93600000000004</c:v>
                </c:pt>
                <c:pt idx="26">
                  <c:v>698.51099999999997</c:v>
                </c:pt>
                <c:pt idx="27">
                  <c:v>675.40899999999999</c:v>
                </c:pt>
                <c:pt idx="31">
                  <c:v>638.34500000000003</c:v>
                </c:pt>
                <c:pt idx="32">
                  <c:v>715.86699999999996</c:v>
                </c:pt>
                <c:pt idx="33">
                  <c:v>665.11500000000001</c:v>
                </c:pt>
                <c:pt idx="37">
                  <c:v>651.673</c:v>
                </c:pt>
                <c:pt idx="38">
                  <c:v>704.45500000000004</c:v>
                </c:pt>
                <c:pt idx="39">
                  <c:v>671.40899999999999</c:v>
                </c:pt>
                <c:pt idx="40">
                  <c:v>644.55799999999999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07-49BE-B474-012626B04EBD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All!$AN$6:$AN$50</c:f>
              <c:numCache>
                <c:formatCode>General</c:formatCode>
                <c:ptCount val="45"/>
                <c:pt idx="0">
                  <c:v>734.36</c:v>
                </c:pt>
                <c:pt idx="1">
                  <c:v>797.41200000000003</c:v>
                </c:pt>
                <c:pt idx="2">
                  <c:v>863.35900000000004</c:v>
                </c:pt>
                <c:pt idx="3">
                  <c:v>840.10699999999997</c:v>
                </c:pt>
                <c:pt idx="4">
                  <c:v>814.11199999999997</c:v>
                </c:pt>
                <c:pt idx="8">
                  <c:v>807.61400000000003</c:v>
                </c:pt>
                <c:pt idx="9">
                  <c:v>830.21900000000005</c:v>
                </c:pt>
                <c:pt idx="10">
                  <c:v>813.44399999999996</c:v>
                </c:pt>
                <c:pt idx="11">
                  <c:v>855.08600000000001</c:v>
                </c:pt>
                <c:pt idx="12">
                  <c:v>850.84299999999996</c:v>
                </c:pt>
                <c:pt idx="16">
                  <c:v>805.03300000000002</c:v>
                </c:pt>
                <c:pt idx="17">
                  <c:v>928.68299999999999</c:v>
                </c:pt>
                <c:pt idx="18">
                  <c:v>810.471</c:v>
                </c:pt>
                <c:pt idx="19">
                  <c:v>848.44200000000001</c:v>
                </c:pt>
                <c:pt idx="20">
                  <c:v>973.57799999999997</c:v>
                </c:pt>
                <c:pt idx="24">
                  <c:v>821.54499999999996</c:v>
                </c:pt>
                <c:pt idx="25">
                  <c:v>937.13099999999997</c:v>
                </c:pt>
                <c:pt idx="26">
                  <c:v>894.61500000000001</c:v>
                </c:pt>
                <c:pt idx="27">
                  <c:v>866.96100000000001</c:v>
                </c:pt>
                <c:pt idx="31">
                  <c:v>828.05700000000002</c:v>
                </c:pt>
                <c:pt idx="32">
                  <c:v>947.755</c:v>
                </c:pt>
                <c:pt idx="33">
                  <c:v>870.96</c:v>
                </c:pt>
                <c:pt idx="37">
                  <c:v>815.05600000000004</c:v>
                </c:pt>
                <c:pt idx="38">
                  <c:v>866.36300000000006</c:v>
                </c:pt>
                <c:pt idx="39">
                  <c:v>881.21400000000006</c:v>
                </c:pt>
                <c:pt idx="40">
                  <c:v>815.47299999999996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07-49BE-B474-012626B04EBD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All!$AO$6:$AO$50</c:f>
              <c:numCache>
                <c:formatCode>General</c:formatCode>
                <c:ptCount val="45"/>
                <c:pt idx="0">
                  <c:v>736.47299999999996</c:v>
                </c:pt>
                <c:pt idx="1">
                  <c:v>814.60299999999995</c:v>
                </c:pt>
                <c:pt idx="2">
                  <c:v>785.06899999999996</c:v>
                </c:pt>
                <c:pt idx="3">
                  <c:v>784.52599999999995</c:v>
                </c:pt>
                <c:pt idx="4">
                  <c:v>801.46299999999997</c:v>
                </c:pt>
                <c:pt idx="8">
                  <c:v>792.39499999999998</c:v>
                </c:pt>
                <c:pt idx="9">
                  <c:v>804.73599999999999</c:v>
                </c:pt>
                <c:pt idx="10">
                  <c:v>796.59100000000001</c:v>
                </c:pt>
                <c:pt idx="11">
                  <c:v>782.95399999999995</c:v>
                </c:pt>
                <c:pt idx="12">
                  <c:v>859.53499999999997</c:v>
                </c:pt>
                <c:pt idx="16">
                  <c:v>771.17899999999997</c:v>
                </c:pt>
                <c:pt idx="17">
                  <c:v>816.32500000000005</c:v>
                </c:pt>
                <c:pt idx="18">
                  <c:v>762.37699999999995</c:v>
                </c:pt>
                <c:pt idx="19">
                  <c:v>798.87699999999995</c:v>
                </c:pt>
                <c:pt idx="20">
                  <c:v>761.73800000000006</c:v>
                </c:pt>
                <c:pt idx="24">
                  <c:v>802.91099999999994</c:v>
                </c:pt>
                <c:pt idx="25">
                  <c:v>845.59199999999998</c:v>
                </c:pt>
                <c:pt idx="26">
                  <c:v>912.87699999999995</c:v>
                </c:pt>
                <c:pt idx="27">
                  <c:v>847.84299999999996</c:v>
                </c:pt>
                <c:pt idx="31">
                  <c:v>814.99699999999996</c:v>
                </c:pt>
                <c:pt idx="32">
                  <c:v>888.95399999999995</c:v>
                </c:pt>
                <c:pt idx="33">
                  <c:v>883.62</c:v>
                </c:pt>
                <c:pt idx="37">
                  <c:v>833.13699999999994</c:v>
                </c:pt>
                <c:pt idx="38">
                  <c:v>850.40700000000004</c:v>
                </c:pt>
                <c:pt idx="39">
                  <c:v>854.19899999999996</c:v>
                </c:pt>
                <c:pt idx="40">
                  <c:v>823.28300000000002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07-49BE-B474-012626B0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3568"/>
        <c:axId val="1225920640"/>
      </c:scatterChart>
      <c:valAx>
        <c:axId val="122591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0640"/>
        <c:crosses val="autoZero"/>
        <c:crossBetween val="midCat"/>
      </c:valAx>
      <c:valAx>
        <c:axId val="1225920640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All!$BU$6:$BU$50</c:f>
              <c:numCache>
                <c:formatCode>General</c:formatCode>
                <c:ptCount val="45"/>
                <c:pt idx="0">
                  <c:v>36.665999999999997</c:v>
                </c:pt>
                <c:pt idx="1">
                  <c:v>49.124000000000002</c:v>
                </c:pt>
                <c:pt idx="2">
                  <c:v>49.484999999999999</c:v>
                </c:pt>
                <c:pt idx="3">
                  <c:v>49.564999999999998</c:v>
                </c:pt>
                <c:pt idx="4">
                  <c:v>48.627000000000002</c:v>
                </c:pt>
                <c:pt idx="8">
                  <c:v>54.411000000000001</c:v>
                </c:pt>
                <c:pt idx="9">
                  <c:v>51.231999999999999</c:v>
                </c:pt>
                <c:pt idx="10">
                  <c:v>51.326999999999998</c:v>
                </c:pt>
                <c:pt idx="11">
                  <c:v>51.085000000000001</c:v>
                </c:pt>
                <c:pt idx="12">
                  <c:v>51.503999999999998</c:v>
                </c:pt>
                <c:pt idx="16">
                  <c:v>54.183</c:v>
                </c:pt>
                <c:pt idx="17">
                  <c:v>46.683999999999997</c:v>
                </c:pt>
                <c:pt idx="18">
                  <c:v>47.988999999999997</c:v>
                </c:pt>
                <c:pt idx="19">
                  <c:v>50.600999999999999</c:v>
                </c:pt>
                <c:pt idx="20">
                  <c:v>39.86</c:v>
                </c:pt>
                <c:pt idx="24">
                  <c:v>46.981000000000002</c:v>
                </c:pt>
                <c:pt idx="25">
                  <c:v>49.433</c:v>
                </c:pt>
                <c:pt idx="26">
                  <c:v>48.503999999999998</c:v>
                </c:pt>
                <c:pt idx="27">
                  <c:v>48.085999999999999</c:v>
                </c:pt>
                <c:pt idx="31">
                  <c:v>51.393999999999998</c:v>
                </c:pt>
                <c:pt idx="32">
                  <c:v>47.854999999999997</c:v>
                </c:pt>
                <c:pt idx="33">
                  <c:v>48.040999999999997</c:v>
                </c:pt>
                <c:pt idx="37">
                  <c:v>52.62</c:v>
                </c:pt>
                <c:pt idx="38">
                  <c:v>49.052</c:v>
                </c:pt>
                <c:pt idx="39">
                  <c:v>48.493000000000002</c:v>
                </c:pt>
                <c:pt idx="40">
                  <c:v>35.606999999999999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2-4E0A-944B-1573ED8B7909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All!$BV$6:$BV$50</c:f>
              <c:numCache>
                <c:formatCode>General</c:formatCode>
                <c:ptCount val="45"/>
                <c:pt idx="0">
                  <c:v>52.52</c:v>
                </c:pt>
                <c:pt idx="1">
                  <c:v>52.594999999999999</c:v>
                </c:pt>
                <c:pt idx="2">
                  <c:v>51.475999999999999</c:v>
                </c:pt>
                <c:pt idx="3">
                  <c:v>52.991999999999997</c:v>
                </c:pt>
                <c:pt idx="4">
                  <c:v>51.779000000000003</c:v>
                </c:pt>
                <c:pt idx="8">
                  <c:v>54.363999999999997</c:v>
                </c:pt>
                <c:pt idx="9">
                  <c:v>53.42</c:v>
                </c:pt>
                <c:pt idx="10">
                  <c:v>53.289000000000001</c:v>
                </c:pt>
                <c:pt idx="11">
                  <c:v>52.597999999999999</c:v>
                </c:pt>
                <c:pt idx="12">
                  <c:v>51.771999999999998</c:v>
                </c:pt>
                <c:pt idx="16">
                  <c:v>55.414999999999999</c:v>
                </c:pt>
                <c:pt idx="17">
                  <c:v>54.206000000000003</c:v>
                </c:pt>
                <c:pt idx="18">
                  <c:v>54.753999999999998</c:v>
                </c:pt>
                <c:pt idx="19">
                  <c:v>53.741999999999997</c:v>
                </c:pt>
                <c:pt idx="20">
                  <c:v>53.070999999999998</c:v>
                </c:pt>
                <c:pt idx="24">
                  <c:v>52.865000000000002</c:v>
                </c:pt>
                <c:pt idx="25">
                  <c:v>52.183</c:v>
                </c:pt>
                <c:pt idx="26">
                  <c:v>50.57</c:v>
                </c:pt>
                <c:pt idx="27">
                  <c:v>52.14</c:v>
                </c:pt>
                <c:pt idx="31">
                  <c:v>51.39</c:v>
                </c:pt>
                <c:pt idx="32">
                  <c:v>51.006</c:v>
                </c:pt>
                <c:pt idx="33">
                  <c:v>50.121000000000002</c:v>
                </c:pt>
                <c:pt idx="37">
                  <c:v>51.691000000000003</c:v>
                </c:pt>
                <c:pt idx="38">
                  <c:v>51.228999999999999</c:v>
                </c:pt>
                <c:pt idx="39">
                  <c:v>51.942</c:v>
                </c:pt>
                <c:pt idx="40">
                  <c:v>49.078000000000003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D2-4E0A-944B-1573ED8B7909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All!$BW$6:$BW$50</c:f>
              <c:numCache>
                <c:formatCode>General</c:formatCode>
                <c:ptCount val="45"/>
                <c:pt idx="0">
                  <c:v>54.695999999999998</c:v>
                </c:pt>
                <c:pt idx="1">
                  <c:v>53.401000000000003</c:v>
                </c:pt>
                <c:pt idx="2">
                  <c:v>53.738999999999997</c:v>
                </c:pt>
                <c:pt idx="3">
                  <c:v>52.125</c:v>
                </c:pt>
                <c:pt idx="4">
                  <c:v>51.682000000000002</c:v>
                </c:pt>
                <c:pt idx="8">
                  <c:v>55.774000000000001</c:v>
                </c:pt>
                <c:pt idx="9">
                  <c:v>55.561999999999998</c:v>
                </c:pt>
                <c:pt idx="10">
                  <c:v>55.697000000000003</c:v>
                </c:pt>
                <c:pt idx="11">
                  <c:v>54.244</c:v>
                </c:pt>
                <c:pt idx="12">
                  <c:v>54.317</c:v>
                </c:pt>
                <c:pt idx="16">
                  <c:v>55.636000000000003</c:v>
                </c:pt>
                <c:pt idx="17">
                  <c:v>54.902000000000001</c:v>
                </c:pt>
                <c:pt idx="18">
                  <c:v>54.097999999999999</c:v>
                </c:pt>
                <c:pt idx="19">
                  <c:v>54.762</c:v>
                </c:pt>
                <c:pt idx="20">
                  <c:v>54.241999999999997</c:v>
                </c:pt>
                <c:pt idx="24">
                  <c:v>53.101999999999997</c:v>
                </c:pt>
                <c:pt idx="25">
                  <c:v>52.107999999999997</c:v>
                </c:pt>
                <c:pt idx="26">
                  <c:v>52.442999999999998</c:v>
                </c:pt>
                <c:pt idx="27">
                  <c:v>51.101999999999997</c:v>
                </c:pt>
                <c:pt idx="31">
                  <c:v>54.497999999999998</c:v>
                </c:pt>
                <c:pt idx="32">
                  <c:v>51.082999999999998</c:v>
                </c:pt>
                <c:pt idx="33">
                  <c:v>52.182000000000002</c:v>
                </c:pt>
                <c:pt idx="37">
                  <c:v>53.719000000000001</c:v>
                </c:pt>
                <c:pt idx="38">
                  <c:v>51.573999999999998</c:v>
                </c:pt>
                <c:pt idx="39">
                  <c:v>51.237000000000002</c:v>
                </c:pt>
                <c:pt idx="40">
                  <c:v>52.923999999999999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4D2-4E0A-944B-1573ED8B7909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All!$BX$6:$BX$50</c:f>
              <c:numCache>
                <c:formatCode>General</c:formatCode>
                <c:ptCount val="45"/>
                <c:pt idx="0">
                  <c:v>54.662999999999997</c:v>
                </c:pt>
                <c:pt idx="1">
                  <c:v>54.216000000000001</c:v>
                </c:pt>
                <c:pt idx="2">
                  <c:v>53.735999999999997</c:v>
                </c:pt>
                <c:pt idx="3">
                  <c:v>54.161999999999999</c:v>
                </c:pt>
                <c:pt idx="4">
                  <c:v>54.83</c:v>
                </c:pt>
                <c:pt idx="8">
                  <c:v>56.703000000000003</c:v>
                </c:pt>
                <c:pt idx="9">
                  <c:v>57.28</c:v>
                </c:pt>
                <c:pt idx="10">
                  <c:v>56.863999999999997</c:v>
                </c:pt>
                <c:pt idx="11">
                  <c:v>56.256999999999998</c:v>
                </c:pt>
                <c:pt idx="12">
                  <c:v>57.076000000000001</c:v>
                </c:pt>
                <c:pt idx="16">
                  <c:v>56.11</c:v>
                </c:pt>
                <c:pt idx="17">
                  <c:v>56.42</c:v>
                </c:pt>
                <c:pt idx="18">
                  <c:v>57.225000000000001</c:v>
                </c:pt>
                <c:pt idx="19">
                  <c:v>56.462000000000003</c:v>
                </c:pt>
                <c:pt idx="20">
                  <c:v>57.277000000000001</c:v>
                </c:pt>
                <c:pt idx="24">
                  <c:v>54.655000000000001</c:v>
                </c:pt>
                <c:pt idx="25">
                  <c:v>55.768000000000001</c:v>
                </c:pt>
                <c:pt idx="26">
                  <c:v>53.673999999999999</c:v>
                </c:pt>
                <c:pt idx="27">
                  <c:v>53.19</c:v>
                </c:pt>
                <c:pt idx="31">
                  <c:v>54.552999999999997</c:v>
                </c:pt>
                <c:pt idx="32">
                  <c:v>52.53</c:v>
                </c:pt>
                <c:pt idx="33">
                  <c:v>53.563000000000002</c:v>
                </c:pt>
                <c:pt idx="37">
                  <c:v>54.162999999999997</c:v>
                </c:pt>
                <c:pt idx="38">
                  <c:v>52.985999999999997</c:v>
                </c:pt>
                <c:pt idx="39">
                  <c:v>54.018999999999998</c:v>
                </c:pt>
                <c:pt idx="40">
                  <c:v>53.890999999999998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D2-4E0A-944B-1573ED8B7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8976"/>
        <c:axId val="1225906912"/>
      </c:scatterChart>
      <c:valAx>
        <c:axId val="122591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6912"/>
        <c:crosses val="autoZero"/>
        <c:crossBetween val="midCat"/>
      </c:valAx>
      <c:valAx>
        <c:axId val="1225906912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All!$CA$6:$CA$50</c:f>
              <c:numCache>
                <c:formatCode>General</c:formatCode>
                <c:ptCount val="45"/>
                <c:pt idx="0">
                  <c:v>3.2690000000000001</c:v>
                </c:pt>
                <c:pt idx="1">
                  <c:v>3.593</c:v>
                </c:pt>
                <c:pt idx="2">
                  <c:v>3.2949999999999999</c:v>
                </c:pt>
                <c:pt idx="3">
                  <c:v>3.4159999999999999</c:v>
                </c:pt>
                <c:pt idx="4">
                  <c:v>3.0529999999999999</c:v>
                </c:pt>
                <c:pt idx="8">
                  <c:v>3.2930000000000001</c:v>
                </c:pt>
                <c:pt idx="9">
                  <c:v>3.34</c:v>
                </c:pt>
                <c:pt idx="10">
                  <c:v>3.4420000000000002</c:v>
                </c:pt>
                <c:pt idx="11">
                  <c:v>3.6190000000000002</c:v>
                </c:pt>
                <c:pt idx="12">
                  <c:v>3.3220000000000001</c:v>
                </c:pt>
                <c:pt idx="16">
                  <c:v>2.9670000000000001</c:v>
                </c:pt>
                <c:pt idx="17">
                  <c:v>3.008</c:v>
                </c:pt>
                <c:pt idx="18">
                  <c:v>2.7330000000000001</c:v>
                </c:pt>
                <c:pt idx="19">
                  <c:v>3.6259999999999999</c:v>
                </c:pt>
                <c:pt idx="20">
                  <c:v>3.0630000000000002</c:v>
                </c:pt>
                <c:pt idx="24">
                  <c:v>3.4980000000000002</c:v>
                </c:pt>
                <c:pt idx="25">
                  <c:v>3.8879999999999999</c:v>
                </c:pt>
                <c:pt idx="26">
                  <c:v>4.1760000000000002</c:v>
                </c:pt>
                <c:pt idx="27">
                  <c:v>3.0539999999999998</c:v>
                </c:pt>
                <c:pt idx="31">
                  <c:v>3.5990000000000002</c:v>
                </c:pt>
                <c:pt idx="32">
                  <c:v>3.4089999999999998</c:v>
                </c:pt>
                <c:pt idx="33">
                  <c:v>3.157</c:v>
                </c:pt>
                <c:pt idx="37">
                  <c:v>3.3410000000000002</c:v>
                </c:pt>
                <c:pt idx="38">
                  <c:v>3.5059999999999998</c:v>
                </c:pt>
                <c:pt idx="39">
                  <c:v>3.343</c:v>
                </c:pt>
                <c:pt idx="40">
                  <c:v>3.718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5-41EB-B8F6-B04F099FDD9E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All!$CB$6:$CB$50</c:f>
              <c:numCache>
                <c:formatCode>General</c:formatCode>
                <c:ptCount val="45"/>
                <c:pt idx="0">
                  <c:v>2.855</c:v>
                </c:pt>
                <c:pt idx="1">
                  <c:v>3.403</c:v>
                </c:pt>
                <c:pt idx="2">
                  <c:v>3.133</c:v>
                </c:pt>
                <c:pt idx="3">
                  <c:v>3.3170000000000002</c:v>
                </c:pt>
                <c:pt idx="4">
                  <c:v>3.456</c:v>
                </c:pt>
                <c:pt idx="8">
                  <c:v>3.145</c:v>
                </c:pt>
                <c:pt idx="9">
                  <c:v>3.04</c:v>
                </c:pt>
                <c:pt idx="10">
                  <c:v>3.0070000000000001</c:v>
                </c:pt>
                <c:pt idx="11">
                  <c:v>3.137</c:v>
                </c:pt>
                <c:pt idx="12">
                  <c:v>3.53</c:v>
                </c:pt>
                <c:pt idx="16">
                  <c:v>2.9329999999999998</c:v>
                </c:pt>
                <c:pt idx="17">
                  <c:v>4.0579999999999998</c:v>
                </c:pt>
                <c:pt idx="18">
                  <c:v>3.3969999999999998</c:v>
                </c:pt>
                <c:pt idx="19">
                  <c:v>4.0110000000000001</c:v>
                </c:pt>
                <c:pt idx="20">
                  <c:v>3.3879999999999999</c:v>
                </c:pt>
                <c:pt idx="24">
                  <c:v>3.714</c:v>
                </c:pt>
                <c:pt idx="25">
                  <c:v>4.0949999999999998</c:v>
                </c:pt>
                <c:pt idx="26">
                  <c:v>3.597</c:v>
                </c:pt>
                <c:pt idx="27">
                  <c:v>3.335</c:v>
                </c:pt>
                <c:pt idx="31">
                  <c:v>4.1550000000000002</c:v>
                </c:pt>
                <c:pt idx="32">
                  <c:v>4.1769999999999996</c:v>
                </c:pt>
                <c:pt idx="33">
                  <c:v>3.6259999999999999</c:v>
                </c:pt>
                <c:pt idx="37">
                  <c:v>3.202</c:v>
                </c:pt>
                <c:pt idx="38">
                  <c:v>3.6539999999999999</c:v>
                </c:pt>
                <c:pt idx="39">
                  <c:v>3.609</c:v>
                </c:pt>
                <c:pt idx="40">
                  <c:v>3.0049999999999999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B5-41EB-B8F6-B04F099FD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09824"/>
        <c:axId val="1225911072"/>
      </c:scatterChart>
      <c:valAx>
        <c:axId val="12259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1072"/>
        <c:crosses val="autoZero"/>
        <c:crossBetween val="midCat"/>
      </c:valAx>
      <c:valAx>
        <c:axId val="1225911072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All!$DF$6:$DF$50</c:f>
              <c:numCache>
                <c:formatCode>General</c:formatCode>
                <c:ptCount val="45"/>
                <c:pt idx="0">
                  <c:v>0.05</c:v>
                </c:pt>
                <c:pt idx="1">
                  <c:v>4.4999999999999998E-2</c:v>
                </c:pt>
                <c:pt idx="2">
                  <c:v>3.2000000000000001E-2</c:v>
                </c:pt>
                <c:pt idx="3">
                  <c:v>4.3999999999999997E-2</c:v>
                </c:pt>
                <c:pt idx="4">
                  <c:v>5.0999999999999997E-2</c:v>
                </c:pt>
                <c:pt idx="8">
                  <c:v>0.08</c:v>
                </c:pt>
                <c:pt idx="9">
                  <c:v>5.2999999999999999E-2</c:v>
                </c:pt>
                <c:pt idx="10">
                  <c:v>0.06</c:v>
                </c:pt>
                <c:pt idx="11">
                  <c:v>8.6999999999999994E-2</c:v>
                </c:pt>
                <c:pt idx="12">
                  <c:v>0.104</c:v>
                </c:pt>
                <c:pt idx="16">
                  <c:v>0.105</c:v>
                </c:pt>
                <c:pt idx="17">
                  <c:v>0.08</c:v>
                </c:pt>
                <c:pt idx="18">
                  <c:v>7.3999999999999996E-2</c:v>
                </c:pt>
                <c:pt idx="19">
                  <c:v>5.5E-2</c:v>
                </c:pt>
                <c:pt idx="20">
                  <c:v>7.2999999999999995E-2</c:v>
                </c:pt>
                <c:pt idx="24">
                  <c:v>0.11</c:v>
                </c:pt>
                <c:pt idx="25">
                  <c:v>7.9000000000000001E-2</c:v>
                </c:pt>
                <c:pt idx="26">
                  <c:v>7.4999999999999997E-2</c:v>
                </c:pt>
                <c:pt idx="27">
                  <c:v>8.5999999999999993E-2</c:v>
                </c:pt>
                <c:pt idx="31">
                  <c:v>0.13400000000000001</c:v>
                </c:pt>
                <c:pt idx="32">
                  <c:v>0.16500000000000001</c:v>
                </c:pt>
                <c:pt idx="33">
                  <c:v>0.13200000000000001</c:v>
                </c:pt>
                <c:pt idx="37">
                  <c:v>0.152</c:v>
                </c:pt>
                <c:pt idx="38">
                  <c:v>0.18099999999999999</c:v>
                </c:pt>
                <c:pt idx="39">
                  <c:v>0.17499999999999999</c:v>
                </c:pt>
                <c:pt idx="40">
                  <c:v>9.0999999999999998E-2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D3-4408-8CCC-09E4AF885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08160"/>
        <c:axId val="1225924384"/>
      </c:scatterChart>
      <c:valAx>
        <c:axId val="1225908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4384"/>
        <c:crosses val="autoZero"/>
        <c:crossBetween val="midCat"/>
      </c:valAx>
      <c:valAx>
        <c:axId val="122592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All!$DG$6:$DG$50</c:f>
              <c:numCache>
                <c:formatCode>General</c:formatCode>
                <c:ptCount val="45"/>
                <c:pt idx="0">
                  <c:v>9.5000000000000001E-2</c:v>
                </c:pt>
                <c:pt idx="1">
                  <c:v>0.56699999999999995</c:v>
                </c:pt>
                <c:pt idx="2">
                  <c:v>0.33600000000000002</c:v>
                </c:pt>
                <c:pt idx="3">
                  <c:v>0.496</c:v>
                </c:pt>
                <c:pt idx="4">
                  <c:v>0.28199999999999997</c:v>
                </c:pt>
                <c:pt idx="8">
                  <c:v>0.17299999999999999</c:v>
                </c:pt>
                <c:pt idx="9">
                  <c:v>0.65800000000000003</c:v>
                </c:pt>
                <c:pt idx="10">
                  <c:v>0.52200000000000002</c:v>
                </c:pt>
                <c:pt idx="11">
                  <c:v>0.92</c:v>
                </c:pt>
                <c:pt idx="12">
                  <c:v>0.216</c:v>
                </c:pt>
                <c:pt idx="16">
                  <c:v>0.28199999999999997</c:v>
                </c:pt>
                <c:pt idx="17">
                  <c:v>0.28999999999999998</c:v>
                </c:pt>
                <c:pt idx="18">
                  <c:v>0.66800000000000004</c:v>
                </c:pt>
                <c:pt idx="19">
                  <c:v>0.58499999999999996</c:v>
                </c:pt>
                <c:pt idx="20">
                  <c:v>0.10199999999999999</c:v>
                </c:pt>
                <c:pt idx="24">
                  <c:v>0.33700000000000002</c:v>
                </c:pt>
                <c:pt idx="25">
                  <c:v>0.81</c:v>
                </c:pt>
                <c:pt idx="26">
                  <c:v>0.76800000000000002</c:v>
                </c:pt>
                <c:pt idx="27">
                  <c:v>0.29199999999999998</c:v>
                </c:pt>
                <c:pt idx="31">
                  <c:v>0.38500000000000001</c:v>
                </c:pt>
                <c:pt idx="32">
                  <c:v>1.0469999999999999</c:v>
                </c:pt>
                <c:pt idx="33">
                  <c:v>0.41599999999999998</c:v>
                </c:pt>
                <c:pt idx="37">
                  <c:v>0.189</c:v>
                </c:pt>
                <c:pt idx="38">
                  <c:v>0.93300000000000005</c:v>
                </c:pt>
                <c:pt idx="39">
                  <c:v>0.83899999999999997</c:v>
                </c:pt>
                <c:pt idx="40">
                  <c:v>0.20899999999999999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0-44E0-BBA7-9310D10C5445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All!$DH$6:$DH$50</c:f>
              <c:numCache>
                <c:formatCode>General</c:formatCode>
                <c:ptCount val="45"/>
                <c:pt idx="0">
                  <c:v>0.94799999999999995</c:v>
                </c:pt>
                <c:pt idx="1">
                  <c:v>2.0739999999999998</c:v>
                </c:pt>
                <c:pt idx="2">
                  <c:v>1.409</c:v>
                </c:pt>
                <c:pt idx="3">
                  <c:v>1.0129999999999999</c:v>
                </c:pt>
                <c:pt idx="4">
                  <c:v>1.494</c:v>
                </c:pt>
                <c:pt idx="8">
                  <c:v>1.53</c:v>
                </c:pt>
                <c:pt idx="9">
                  <c:v>1.79</c:v>
                </c:pt>
                <c:pt idx="10">
                  <c:v>1.8360000000000001</c:v>
                </c:pt>
                <c:pt idx="11">
                  <c:v>1.732</c:v>
                </c:pt>
                <c:pt idx="12">
                  <c:v>1.829</c:v>
                </c:pt>
                <c:pt idx="16">
                  <c:v>1.55</c:v>
                </c:pt>
                <c:pt idx="17">
                  <c:v>1.7629999999999999</c:v>
                </c:pt>
                <c:pt idx="18">
                  <c:v>1.478</c:v>
                </c:pt>
                <c:pt idx="19">
                  <c:v>2.129</c:v>
                </c:pt>
                <c:pt idx="20">
                  <c:v>0.71799999999999997</c:v>
                </c:pt>
                <c:pt idx="24">
                  <c:v>1.889</c:v>
                </c:pt>
                <c:pt idx="25">
                  <c:v>2.0390000000000001</c:v>
                </c:pt>
                <c:pt idx="26">
                  <c:v>1.784</c:v>
                </c:pt>
                <c:pt idx="27">
                  <c:v>1.52</c:v>
                </c:pt>
                <c:pt idx="31">
                  <c:v>2.4180000000000001</c:v>
                </c:pt>
                <c:pt idx="32">
                  <c:v>2.4630000000000001</c:v>
                </c:pt>
                <c:pt idx="33">
                  <c:v>1.9379999999999999</c:v>
                </c:pt>
                <c:pt idx="37">
                  <c:v>1.8380000000000001</c:v>
                </c:pt>
                <c:pt idx="38">
                  <c:v>2.2029999999999998</c:v>
                </c:pt>
                <c:pt idx="39">
                  <c:v>1.8520000000000001</c:v>
                </c:pt>
                <c:pt idx="40">
                  <c:v>0.84899999999999998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D0-44E0-BBA7-9310D10C5445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All!$DI$6:$DI$50</c:f>
              <c:numCache>
                <c:formatCode>General</c:formatCode>
                <c:ptCount val="45"/>
                <c:pt idx="0">
                  <c:v>0.84799999999999998</c:v>
                </c:pt>
                <c:pt idx="1">
                  <c:v>1.0389999999999999</c:v>
                </c:pt>
                <c:pt idx="2">
                  <c:v>0.69799999999999995</c:v>
                </c:pt>
                <c:pt idx="3">
                  <c:v>0.67100000000000004</c:v>
                </c:pt>
                <c:pt idx="4">
                  <c:v>0.67400000000000004</c:v>
                </c:pt>
                <c:pt idx="8">
                  <c:v>0.74299999999999999</c:v>
                </c:pt>
                <c:pt idx="9">
                  <c:v>0.70299999999999996</c:v>
                </c:pt>
                <c:pt idx="10">
                  <c:v>0.64800000000000002</c:v>
                </c:pt>
                <c:pt idx="11">
                  <c:v>0.79900000000000004</c:v>
                </c:pt>
                <c:pt idx="12">
                  <c:v>0.81699999999999995</c:v>
                </c:pt>
                <c:pt idx="16">
                  <c:v>0.94</c:v>
                </c:pt>
                <c:pt idx="17">
                  <c:v>0.93899999999999995</c:v>
                </c:pt>
                <c:pt idx="18">
                  <c:v>0.73599999999999999</c:v>
                </c:pt>
                <c:pt idx="19">
                  <c:v>0.879</c:v>
                </c:pt>
                <c:pt idx="20">
                  <c:v>0.72299999999999998</c:v>
                </c:pt>
                <c:pt idx="24">
                  <c:v>1.357</c:v>
                </c:pt>
                <c:pt idx="25">
                  <c:v>1.357</c:v>
                </c:pt>
                <c:pt idx="26">
                  <c:v>0.99199999999999999</c:v>
                </c:pt>
                <c:pt idx="27">
                  <c:v>0.88600000000000001</c:v>
                </c:pt>
                <c:pt idx="31">
                  <c:v>1.216</c:v>
                </c:pt>
                <c:pt idx="32">
                  <c:v>1.252</c:v>
                </c:pt>
                <c:pt idx="33">
                  <c:v>0.94</c:v>
                </c:pt>
                <c:pt idx="37">
                  <c:v>1.113</c:v>
                </c:pt>
                <c:pt idx="38">
                  <c:v>1.276</c:v>
                </c:pt>
                <c:pt idx="39">
                  <c:v>1.0409999999999999</c:v>
                </c:pt>
                <c:pt idx="40">
                  <c:v>0.94299999999999995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D0-44E0-BBA7-9310D10C5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4400"/>
        <c:axId val="1225906080"/>
      </c:scatterChart>
      <c:valAx>
        <c:axId val="1225914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6080"/>
        <c:crosses val="autoZero"/>
        <c:crossBetween val="midCat"/>
      </c:valAx>
      <c:valAx>
        <c:axId val="122590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4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All!$DJ$6:$DJ$50</c:f>
              <c:numCache>
                <c:formatCode>General</c:formatCode>
                <c:ptCount val="45"/>
                <c:pt idx="0">
                  <c:v>0.155</c:v>
                </c:pt>
                <c:pt idx="1">
                  <c:v>7.3999999999999996E-2</c:v>
                </c:pt>
                <c:pt idx="2">
                  <c:v>5.0999999999999997E-2</c:v>
                </c:pt>
                <c:pt idx="3">
                  <c:v>2E-3</c:v>
                </c:pt>
                <c:pt idx="4">
                  <c:v>5.8000000000000003E-2</c:v>
                </c:pt>
                <c:pt idx="8">
                  <c:v>0.155</c:v>
                </c:pt>
                <c:pt idx="9">
                  <c:v>9.2999999999999999E-2</c:v>
                </c:pt>
                <c:pt idx="10">
                  <c:v>6.5000000000000002E-2</c:v>
                </c:pt>
                <c:pt idx="11">
                  <c:v>0.14699999999999999</c:v>
                </c:pt>
                <c:pt idx="12">
                  <c:v>3.1E-2</c:v>
                </c:pt>
                <c:pt idx="16">
                  <c:v>9.5000000000000001E-2</c:v>
                </c:pt>
                <c:pt idx="17">
                  <c:v>9.1999999999999998E-2</c:v>
                </c:pt>
                <c:pt idx="18">
                  <c:v>0.187</c:v>
                </c:pt>
                <c:pt idx="19">
                  <c:v>0.11799999999999999</c:v>
                </c:pt>
                <c:pt idx="20">
                  <c:v>1E-3</c:v>
                </c:pt>
                <c:pt idx="24">
                  <c:v>0.312</c:v>
                </c:pt>
                <c:pt idx="25">
                  <c:v>0.249</c:v>
                </c:pt>
                <c:pt idx="26">
                  <c:v>0.217</c:v>
                </c:pt>
                <c:pt idx="27">
                  <c:v>1.9E-2</c:v>
                </c:pt>
                <c:pt idx="31">
                  <c:v>0.221</c:v>
                </c:pt>
                <c:pt idx="32">
                  <c:v>0.32800000000000001</c:v>
                </c:pt>
                <c:pt idx="33">
                  <c:v>0.127</c:v>
                </c:pt>
                <c:pt idx="37">
                  <c:v>0.26400000000000001</c:v>
                </c:pt>
                <c:pt idx="38">
                  <c:v>0.25800000000000001</c:v>
                </c:pt>
                <c:pt idx="39">
                  <c:v>0.29099999999999998</c:v>
                </c:pt>
                <c:pt idx="40">
                  <c:v>0.41099999999999998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9-4ADA-B0F7-32F04A1D8160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All!$DK$6:$DK$50</c:f>
              <c:numCache>
                <c:formatCode>General</c:formatCode>
                <c:ptCount val="45"/>
                <c:pt idx="0">
                  <c:v>0.7</c:v>
                </c:pt>
                <c:pt idx="1">
                  <c:v>0.82199999999999995</c:v>
                </c:pt>
                <c:pt idx="2">
                  <c:v>0.64500000000000002</c:v>
                </c:pt>
                <c:pt idx="3">
                  <c:v>0.77800000000000002</c:v>
                </c:pt>
                <c:pt idx="4">
                  <c:v>0.65200000000000002</c:v>
                </c:pt>
                <c:pt idx="8">
                  <c:v>0.69099999999999995</c:v>
                </c:pt>
                <c:pt idx="9">
                  <c:v>0.69599999999999995</c:v>
                </c:pt>
                <c:pt idx="10">
                  <c:v>0.70499999999999996</c:v>
                </c:pt>
                <c:pt idx="11">
                  <c:v>0.82099999999999995</c:v>
                </c:pt>
                <c:pt idx="12">
                  <c:v>0.79100000000000004</c:v>
                </c:pt>
                <c:pt idx="16">
                  <c:v>0.77300000000000002</c:v>
                </c:pt>
                <c:pt idx="17">
                  <c:v>1.032</c:v>
                </c:pt>
                <c:pt idx="18">
                  <c:v>0.95399999999999996</c:v>
                </c:pt>
                <c:pt idx="19">
                  <c:v>0.79700000000000004</c:v>
                </c:pt>
                <c:pt idx="20">
                  <c:v>0.61099999999999999</c:v>
                </c:pt>
                <c:pt idx="24">
                  <c:v>0.98699999999999999</c:v>
                </c:pt>
                <c:pt idx="25">
                  <c:v>0.84099999999999997</c:v>
                </c:pt>
                <c:pt idx="26">
                  <c:v>0.96499999999999997</c:v>
                </c:pt>
                <c:pt idx="27">
                  <c:v>0.74199999999999999</c:v>
                </c:pt>
                <c:pt idx="31">
                  <c:v>0.93200000000000005</c:v>
                </c:pt>
                <c:pt idx="32">
                  <c:v>0.96499999999999997</c:v>
                </c:pt>
                <c:pt idx="33">
                  <c:v>1.1020000000000001</c:v>
                </c:pt>
                <c:pt idx="37">
                  <c:v>0.91200000000000003</c:v>
                </c:pt>
                <c:pt idx="38">
                  <c:v>1.1859999999999999</c:v>
                </c:pt>
                <c:pt idx="39">
                  <c:v>1.288</c:v>
                </c:pt>
                <c:pt idx="40">
                  <c:v>1.0449999999999999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F9-4ADA-B0F7-32F04A1D8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0240"/>
        <c:axId val="1225926048"/>
      </c:scatterChart>
      <c:valAx>
        <c:axId val="122591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6048"/>
        <c:crosses val="autoZero"/>
        <c:crossBetween val="midCat"/>
      </c:valAx>
      <c:valAx>
        <c:axId val="12259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All!$DT$6:$DT$50</c:f>
              <c:numCache>
                <c:formatCode>General</c:formatCode>
                <c:ptCount val="45"/>
                <c:pt idx="0">
                  <c:v>1.1200000000000001</c:v>
                </c:pt>
                <c:pt idx="1">
                  <c:v>5.47</c:v>
                </c:pt>
                <c:pt idx="2">
                  <c:v>6.36</c:v>
                </c:pt>
                <c:pt idx="3">
                  <c:v>5.99</c:v>
                </c:pt>
                <c:pt idx="4">
                  <c:v>5.61</c:v>
                </c:pt>
                <c:pt idx="8">
                  <c:v>3.86</c:v>
                </c:pt>
                <c:pt idx="9">
                  <c:v>6.24</c:v>
                </c:pt>
                <c:pt idx="10">
                  <c:v>6.07</c:v>
                </c:pt>
                <c:pt idx="11">
                  <c:v>6.37</c:v>
                </c:pt>
                <c:pt idx="12">
                  <c:v>6.19</c:v>
                </c:pt>
                <c:pt idx="16">
                  <c:v>3.69</c:v>
                </c:pt>
                <c:pt idx="17">
                  <c:v>4.6399999999999997</c:v>
                </c:pt>
                <c:pt idx="18">
                  <c:v>4.9800000000000004</c:v>
                </c:pt>
                <c:pt idx="19">
                  <c:v>6.13</c:v>
                </c:pt>
                <c:pt idx="20">
                  <c:v>1.69</c:v>
                </c:pt>
                <c:pt idx="24">
                  <c:v>3.31</c:v>
                </c:pt>
                <c:pt idx="25">
                  <c:v>6.53</c:v>
                </c:pt>
                <c:pt idx="26">
                  <c:v>6.76</c:v>
                </c:pt>
                <c:pt idx="27">
                  <c:v>5.85</c:v>
                </c:pt>
                <c:pt idx="31">
                  <c:v>4.34</c:v>
                </c:pt>
                <c:pt idx="32">
                  <c:v>6.62</c:v>
                </c:pt>
                <c:pt idx="33">
                  <c:v>5.65</c:v>
                </c:pt>
                <c:pt idx="37">
                  <c:v>4.2300000000000004</c:v>
                </c:pt>
                <c:pt idx="38">
                  <c:v>7.27</c:v>
                </c:pt>
                <c:pt idx="39">
                  <c:v>7.07</c:v>
                </c:pt>
                <c:pt idx="40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9F-48B6-B4BE-2F6B16669076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All!$DU$6:$DU$50</c:f>
              <c:numCache>
                <c:formatCode>General</c:formatCode>
                <c:ptCount val="45"/>
                <c:pt idx="0">
                  <c:v>1.18</c:v>
                </c:pt>
                <c:pt idx="1">
                  <c:v>5.26</c:v>
                </c:pt>
                <c:pt idx="2">
                  <c:v>6.23</c:v>
                </c:pt>
                <c:pt idx="3">
                  <c:v>6.1</c:v>
                </c:pt>
                <c:pt idx="4">
                  <c:v>5.99</c:v>
                </c:pt>
                <c:pt idx="8">
                  <c:v>3.87</c:v>
                </c:pt>
                <c:pt idx="9">
                  <c:v>6.18</c:v>
                </c:pt>
                <c:pt idx="10">
                  <c:v>6.13</c:v>
                </c:pt>
                <c:pt idx="11">
                  <c:v>6.63</c:v>
                </c:pt>
                <c:pt idx="12">
                  <c:v>6.48</c:v>
                </c:pt>
                <c:pt idx="16">
                  <c:v>4.53</c:v>
                </c:pt>
                <c:pt idx="17">
                  <c:v>4.3099999999999996</c:v>
                </c:pt>
                <c:pt idx="18">
                  <c:v>4.84</c:v>
                </c:pt>
                <c:pt idx="19">
                  <c:v>5.93</c:v>
                </c:pt>
                <c:pt idx="20">
                  <c:v>1.59</c:v>
                </c:pt>
                <c:pt idx="24">
                  <c:v>3.47</c:v>
                </c:pt>
                <c:pt idx="25">
                  <c:v>6.34</c:v>
                </c:pt>
                <c:pt idx="26">
                  <c:v>7.06</c:v>
                </c:pt>
                <c:pt idx="27">
                  <c:v>5.94</c:v>
                </c:pt>
                <c:pt idx="31">
                  <c:v>4.4400000000000004</c:v>
                </c:pt>
                <c:pt idx="32">
                  <c:v>6.59</c:v>
                </c:pt>
                <c:pt idx="33">
                  <c:v>5.51</c:v>
                </c:pt>
                <c:pt idx="37">
                  <c:v>4.72</c:v>
                </c:pt>
                <c:pt idx="38">
                  <c:v>7.48</c:v>
                </c:pt>
                <c:pt idx="39">
                  <c:v>6.62</c:v>
                </c:pt>
                <c:pt idx="40">
                  <c:v>1.51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9F-48B6-B4BE-2F6B16669076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All!$DV$6:$DV$50</c:f>
              <c:numCache>
                <c:formatCode>General</c:formatCode>
                <c:ptCount val="45"/>
                <c:pt idx="0">
                  <c:v>2.09</c:v>
                </c:pt>
                <c:pt idx="1">
                  <c:v>10.53</c:v>
                </c:pt>
                <c:pt idx="2">
                  <c:v>11.2</c:v>
                </c:pt>
                <c:pt idx="3">
                  <c:v>10.95</c:v>
                </c:pt>
                <c:pt idx="4">
                  <c:v>10.35</c:v>
                </c:pt>
                <c:pt idx="8">
                  <c:v>7.3</c:v>
                </c:pt>
                <c:pt idx="9">
                  <c:v>11.57</c:v>
                </c:pt>
                <c:pt idx="10">
                  <c:v>11.49</c:v>
                </c:pt>
                <c:pt idx="11">
                  <c:v>12.2</c:v>
                </c:pt>
                <c:pt idx="12">
                  <c:v>10.59</c:v>
                </c:pt>
                <c:pt idx="16">
                  <c:v>7.28</c:v>
                </c:pt>
                <c:pt idx="17">
                  <c:v>7.72</c:v>
                </c:pt>
                <c:pt idx="18">
                  <c:v>8.91</c:v>
                </c:pt>
                <c:pt idx="19">
                  <c:v>11.6</c:v>
                </c:pt>
                <c:pt idx="20">
                  <c:v>2.69</c:v>
                </c:pt>
                <c:pt idx="24">
                  <c:v>5.98</c:v>
                </c:pt>
                <c:pt idx="25">
                  <c:v>11.92</c:v>
                </c:pt>
                <c:pt idx="26">
                  <c:v>12.41</c:v>
                </c:pt>
                <c:pt idx="27">
                  <c:v>10.7</c:v>
                </c:pt>
                <c:pt idx="31">
                  <c:v>8.26</c:v>
                </c:pt>
                <c:pt idx="32">
                  <c:v>12.82</c:v>
                </c:pt>
                <c:pt idx="33">
                  <c:v>10.48</c:v>
                </c:pt>
                <c:pt idx="37">
                  <c:v>8.2799999999999994</c:v>
                </c:pt>
                <c:pt idx="38">
                  <c:v>13.18</c:v>
                </c:pt>
                <c:pt idx="39">
                  <c:v>12.6</c:v>
                </c:pt>
                <c:pt idx="4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9F-48B6-B4BE-2F6B16669076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All!$DW$6:$DW$50</c:f>
              <c:numCache>
                <c:formatCode>General</c:formatCode>
                <c:ptCount val="45"/>
                <c:pt idx="0">
                  <c:v>1.63</c:v>
                </c:pt>
                <c:pt idx="1">
                  <c:v>7.65</c:v>
                </c:pt>
                <c:pt idx="2">
                  <c:v>8.51</c:v>
                </c:pt>
                <c:pt idx="3">
                  <c:v>8.5299999999999994</c:v>
                </c:pt>
                <c:pt idx="4">
                  <c:v>8.14</c:v>
                </c:pt>
                <c:pt idx="8">
                  <c:v>5.69</c:v>
                </c:pt>
                <c:pt idx="9">
                  <c:v>8.94</c:v>
                </c:pt>
                <c:pt idx="10">
                  <c:v>8.66</c:v>
                </c:pt>
                <c:pt idx="11">
                  <c:v>8.77</c:v>
                </c:pt>
                <c:pt idx="12">
                  <c:v>8.3000000000000007</c:v>
                </c:pt>
                <c:pt idx="16">
                  <c:v>5.54</c:v>
                </c:pt>
                <c:pt idx="17">
                  <c:v>5.63</c:v>
                </c:pt>
                <c:pt idx="18">
                  <c:v>6.77</c:v>
                </c:pt>
                <c:pt idx="19">
                  <c:v>8.52</c:v>
                </c:pt>
                <c:pt idx="20">
                  <c:v>1.88</c:v>
                </c:pt>
                <c:pt idx="24">
                  <c:v>4.91</c:v>
                </c:pt>
                <c:pt idx="25">
                  <c:v>9.3699999999999992</c:v>
                </c:pt>
                <c:pt idx="26">
                  <c:v>9.9700000000000006</c:v>
                </c:pt>
                <c:pt idx="27">
                  <c:v>8.69</c:v>
                </c:pt>
                <c:pt idx="31">
                  <c:v>6.59</c:v>
                </c:pt>
                <c:pt idx="32">
                  <c:v>9.75</c:v>
                </c:pt>
                <c:pt idx="33">
                  <c:v>8.18</c:v>
                </c:pt>
                <c:pt idx="37">
                  <c:v>6.68</c:v>
                </c:pt>
                <c:pt idx="38">
                  <c:v>10.39</c:v>
                </c:pt>
                <c:pt idx="39">
                  <c:v>10.08</c:v>
                </c:pt>
                <c:pt idx="40">
                  <c:v>2.04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39F-48B6-B4BE-2F6B16669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9392"/>
        <c:axId val="1225901920"/>
      </c:scatterChart>
      <c:valAx>
        <c:axId val="122591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1920"/>
        <c:crosses val="autoZero"/>
        <c:crossBetween val="midCat"/>
      </c:valAx>
      <c:valAx>
        <c:axId val="1225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All!$DX$6:$DX$50</c:f>
              <c:numCache>
                <c:formatCode>General</c:formatCode>
                <c:ptCount val="45"/>
                <c:pt idx="0">
                  <c:v>1.24</c:v>
                </c:pt>
                <c:pt idx="1">
                  <c:v>5.69</c:v>
                </c:pt>
                <c:pt idx="2">
                  <c:v>6.84</c:v>
                </c:pt>
                <c:pt idx="3">
                  <c:v>6.18</c:v>
                </c:pt>
                <c:pt idx="4">
                  <c:v>5.75</c:v>
                </c:pt>
                <c:pt idx="8">
                  <c:v>4.16</c:v>
                </c:pt>
                <c:pt idx="9">
                  <c:v>6.61</c:v>
                </c:pt>
                <c:pt idx="10">
                  <c:v>6.67</c:v>
                </c:pt>
                <c:pt idx="11">
                  <c:v>6.88</c:v>
                </c:pt>
                <c:pt idx="12">
                  <c:v>6.31</c:v>
                </c:pt>
                <c:pt idx="16">
                  <c:v>3.99</c:v>
                </c:pt>
                <c:pt idx="17">
                  <c:v>4.57</c:v>
                </c:pt>
                <c:pt idx="18">
                  <c:v>5.1100000000000003</c:v>
                </c:pt>
                <c:pt idx="19">
                  <c:v>6.37</c:v>
                </c:pt>
                <c:pt idx="20">
                  <c:v>1.72</c:v>
                </c:pt>
                <c:pt idx="24">
                  <c:v>3.51</c:v>
                </c:pt>
                <c:pt idx="25">
                  <c:v>7.04</c:v>
                </c:pt>
                <c:pt idx="26">
                  <c:v>7.14</c:v>
                </c:pt>
                <c:pt idx="27">
                  <c:v>6.09</c:v>
                </c:pt>
                <c:pt idx="31">
                  <c:v>4.51</c:v>
                </c:pt>
                <c:pt idx="32">
                  <c:v>7.16</c:v>
                </c:pt>
                <c:pt idx="33">
                  <c:v>5.93</c:v>
                </c:pt>
                <c:pt idx="37">
                  <c:v>4.5</c:v>
                </c:pt>
                <c:pt idx="38">
                  <c:v>7.6</c:v>
                </c:pt>
                <c:pt idx="39">
                  <c:v>7.35</c:v>
                </c:pt>
                <c:pt idx="40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7-4676-9362-ADE782EED279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All!$DY$6:$DY$50</c:f>
              <c:numCache>
                <c:formatCode>General</c:formatCode>
                <c:ptCount val="45"/>
                <c:pt idx="0">
                  <c:v>1.1399999999999999</c:v>
                </c:pt>
                <c:pt idx="1">
                  <c:v>5.42</c:v>
                </c:pt>
                <c:pt idx="2">
                  <c:v>6.48</c:v>
                </c:pt>
                <c:pt idx="3">
                  <c:v>6.12</c:v>
                </c:pt>
                <c:pt idx="4">
                  <c:v>6.16</c:v>
                </c:pt>
                <c:pt idx="8">
                  <c:v>3.93</c:v>
                </c:pt>
                <c:pt idx="9">
                  <c:v>6.41</c:v>
                </c:pt>
                <c:pt idx="10">
                  <c:v>6.32</c:v>
                </c:pt>
                <c:pt idx="11">
                  <c:v>7.04</c:v>
                </c:pt>
                <c:pt idx="12">
                  <c:v>6.69</c:v>
                </c:pt>
                <c:pt idx="16">
                  <c:v>4.54</c:v>
                </c:pt>
                <c:pt idx="17">
                  <c:v>4.62</c:v>
                </c:pt>
                <c:pt idx="18">
                  <c:v>4.96</c:v>
                </c:pt>
                <c:pt idx="19">
                  <c:v>6.28</c:v>
                </c:pt>
                <c:pt idx="20">
                  <c:v>1.72</c:v>
                </c:pt>
                <c:pt idx="24">
                  <c:v>3.4</c:v>
                </c:pt>
                <c:pt idx="25">
                  <c:v>6.64</c:v>
                </c:pt>
                <c:pt idx="26">
                  <c:v>7.19</c:v>
                </c:pt>
                <c:pt idx="27">
                  <c:v>6.17</c:v>
                </c:pt>
                <c:pt idx="31">
                  <c:v>4.3899999999999997</c:v>
                </c:pt>
                <c:pt idx="32">
                  <c:v>6.9</c:v>
                </c:pt>
                <c:pt idx="33">
                  <c:v>5.69</c:v>
                </c:pt>
                <c:pt idx="37">
                  <c:v>4.6500000000000004</c:v>
                </c:pt>
                <c:pt idx="38">
                  <c:v>7.87</c:v>
                </c:pt>
                <c:pt idx="39">
                  <c:v>7.1</c:v>
                </c:pt>
                <c:pt idx="40">
                  <c:v>1.68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97-4676-9362-ADE782EED279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All!$DZ$6:$DZ$50</c:f>
              <c:numCache>
                <c:formatCode>General</c:formatCode>
                <c:ptCount val="45"/>
                <c:pt idx="0">
                  <c:v>1.93</c:v>
                </c:pt>
                <c:pt idx="1">
                  <c:v>9.6999999999999993</c:v>
                </c:pt>
                <c:pt idx="2">
                  <c:v>10.64</c:v>
                </c:pt>
                <c:pt idx="3">
                  <c:v>10.31</c:v>
                </c:pt>
                <c:pt idx="4">
                  <c:v>9.83</c:v>
                </c:pt>
                <c:pt idx="8">
                  <c:v>6.72</c:v>
                </c:pt>
                <c:pt idx="9">
                  <c:v>11.19</c:v>
                </c:pt>
                <c:pt idx="10">
                  <c:v>11.24</c:v>
                </c:pt>
                <c:pt idx="11">
                  <c:v>11.6</c:v>
                </c:pt>
                <c:pt idx="12">
                  <c:v>10.199999999999999</c:v>
                </c:pt>
                <c:pt idx="16">
                  <c:v>6.7</c:v>
                </c:pt>
                <c:pt idx="17">
                  <c:v>7.27</c:v>
                </c:pt>
                <c:pt idx="18">
                  <c:v>8.3000000000000007</c:v>
                </c:pt>
                <c:pt idx="19">
                  <c:v>11.07</c:v>
                </c:pt>
                <c:pt idx="20">
                  <c:v>2.52</c:v>
                </c:pt>
                <c:pt idx="24">
                  <c:v>5.61</c:v>
                </c:pt>
                <c:pt idx="25">
                  <c:v>11.37</c:v>
                </c:pt>
                <c:pt idx="26">
                  <c:v>12</c:v>
                </c:pt>
                <c:pt idx="27">
                  <c:v>10.28</c:v>
                </c:pt>
                <c:pt idx="31">
                  <c:v>7.82</c:v>
                </c:pt>
                <c:pt idx="32">
                  <c:v>12.31</c:v>
                </c:pt>
                <c:pt idx="33">
                  <c:v>10.19</c:v>
                </c:pt>
                <c:pt idx="37">
                  <c:v>7.85</c:v>
                </c:pt>
                <c:pt idx="38">
                  <c:v>12.82</c:v>
                </c:pt>
                <c:pt idx="39">
                  <c:v>11.95</c:v>
                </c:pt>
                <c:pt idx="40">
                  <c:v>2.48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97-4676-9362-ADE782EED279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All!$EA$6:$EA$50</c:f>
              <c:numCache>
                <c:formatCode>General</c:formatCode>
                <c:ptCount val="45"/>
                <c:pt idx="0">
                  <c:v>1.51</c:v>
                </c:pt>
                <c:pt idx="1">
                  <c:v>7.15</c:v>
                </c:pt>
                <c:pt idx="2">
                  <c:v>8.0500000000000007</c:v>
                </c:pt>
                <c:pt idx="3">
                  <c:v>8.1300000000000008</c:v>
                </c:pt>
                <c:pt idx="4">
                  <c:v>7.93</c:v>
                </c:pt>
                <c:pt idx="8">
                  <c:v>5.31</c:v>
                </c:pt>
                <c:pt idx="9">
                  <c:v>8.7200000000000006</c:v>
                </c:pt>
                <c:pt idx="10">
                  <c:v>8.32</c:v>
                </c:pt>
                <c:pt idx="11">
                  <c:v>8.5500000000000007</c:v>
                </c:pt>
                <c:pt idx="12">
                  <c:v>8.24</c:v>
                </c:pt>
                <c:pt idx="16">
                  <c:v>5.21</c:v>
                </c:pt>
                <c:pt idx="17">
                  <c:v>5.6</c:v>
                </c:pt>
                <c:pt idx="18">
                  <c:v>6.57</c:v>
                </c:pt>
                <c:pt idx="19">
                  <c:v>8.26</c:v>
                </c:pt>
                <c:pt idx="20">
                  <c:v>1.91</c:v>
                </c:pt>
                <c:pt idx="24">
                  <c:v>4.74</c:v>
                </c:pt>
                <c:pt idx="25">
                  <c:v>8.99</c:v>
                </c:pt>
                <c:pt idx="26">
                  <c:v>9.8699999999999992</c:v>
                </c:pt>
                <c:pt idx="27">
                  <c:v>8.43</c:v>
                </c:pt>
                <c:pt idx="31">
                  <c:v>6.22</c:v>
                </c:pt>
                <c:pt idx="32">
                  <c:v>9.8800000000000008</c:v>
                </c:pt>
                <c:pt idx="33">
                  <c:v>8.16</c:v>
                </c:pt>
                <c:pt idx="37">
                  <c:v>6.45</c:v>
                </c:pt>
                <c:pt idx="38">
                  <c:v>10.01</c:v>
                </c:pt>
                <c:pt idx="39">
                  <c:v>9.75</c:v>
                </c:pt>
                <c:pt idx="40">
                  <c:v>2.0299999999999998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97-4676-9362-ADE782EED2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21056"/>
        <c:axId val="1225921472"/>
      </c:scatterChart>
      <c:valAx>
        <c:axId val="122592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1472"/>
        <c:crosses val="autoZero"/>
        <c:crossBetween val="midCat"/>
      </c:valAx>
      <c:valAx>
        <c:axId val="122592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All!$EB$6:$EB$50</c:f>
              <c:numCache>
                <c:formatCode>General</c:formatCode>
                <c:ptCount val="45"/>
                <c:pt idx="0">
                  <c:v>13.33</c:v>
                </c:pt>
                <c:pt idx="1">
                  <c:v>43.29</c:v>
                </c:pt>
                <c:pt idx="2">
                  <c:v>42.29</c:v>
                </c:pt>
                <c:pt idx="3">
                  <c:v>42.49</c:v>
                </c:pt>
                <c:pt idx="4">
                  <c:v>42.73</c:v>
                </c:pt>
                <c:pt idx="8">
                  <c:v>34.590000000000003</c:v>
                </c:pt>
                <c:pt idx="9">
                  <c:v>42.06</c:v>
                </c:pt>
                <c:pt idx="10">
                  <c:v>42.58</c:v>
                </c:pt>
                <c:pt idx="11">
                  <c:v>42.14</c:v>
                </c:pt>
                <c:pt idx="12">
                  <c:v>40.65</c:v>
                </c:pt>
                <c:pt idx="16">
                  <c:v>35.17</c:v>
                </c:pt>
                <c:pt idx="17">
                  <c:v>42.2</c:v>
                </c:pt>
                <c:pt idx="18">
                  <c:v>42.46</c:v>
                </c:pt>
                <c:pt idx="19">
                  <c:v>42.62</c:v>
                </c:pt>
                <c:pt idx="20">
                  <c:v>39.78</c:v>
                </c:pt>
                <c:pt idx="24">
                  <c:v>27.12</c:v>
                </c:pt>
                <c:pt idx="25">
                  <c:v>42.71</c:v>
                </c:pt>
                <c:pt idx="26">
                  <c:v>42.1</c:v>
                </c:pt>
                <c:pt idx="27">
                  <c:v>41.76</c:v>
                </c:pt>
                <c:pt idx="31">
                  <c:v>35.51</c:v>
                </c:pt>
                <c:pt idx="32">
                  <c:v>42.46</c:v>
                </c:pt>
                <c:pt idx="33">
                  <c:v>41.43</c:v>
                </c:pt>
                <c:pt idx="37">
                  <c:v>34.44</c:v>
                </c:pt>
                <c:pt idx="38">
                  <c:v>41.43</c:v>
                </c:pt>
                <c:pt idx="39">
                  <c:v>41.48</c:v>
                </c:pt>
                <c:pt idx="40">
                  <c:v>42.41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93-458F-A344-CF29A954BEE8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All!$EC$6:$EC$50</c:f>
              <c:numCache>
                <c:formatCode>General</c:formatCode>
                <c:ptCount val="45"/>
                <c:pt idx="0">
                  <c:v>13.56</c:v>
                </c:pt>
                <c:pt idx="1">
                  <c:v>42.49</c:v>
                </c:pt>
                <c:pt idx="2">
                  <c:v>41.42</c:v>
                </c:pt>
                <c:pt idx="3">
                  <c:v>41.65</c:v>
                </c:pt>
                <c:pt idx="4">
                  <c:v>40.840000000000003</c:v>
                </c:pt>
                <c:pt idx="8">
                  <c:v>34.9</c:v>
                </c:pt>
                <c:pt idx="9">
                  <c:v>41.72</c:v>
                </c:pt>
                <c:pt idx="10">
                  <c:v>41.12</c:v>
                </c:pt>
                <c:pt idx="11">
                  <c:v>41.35</c:v>
                </c:pt>
                <c:pt idx="12">
                  <c:v>39.89</c:v>
                </c:pt>
                <c:pt idx="16">
                  <c:v>34.65</c:v>
                </c:pt>
                <c:pt idx="17">
                  <c:v>42.5</c:v>
                </c:pt>
                <c:pt idx="18">
                  <c:v>42.63</c:v>
                </c:pt>
                <c:pt idx="19">
                  <c:v>42.17</c:v>
                </c:pt>
                <c:pt idx="20">
                  <c:v>39.56</c:v>
                </c:pt>
                <c:pt idx="24">
                  <c:v>26.31</c:v>
                </c:pt>
                <c:pt idx="25">
                  <c:v>42.31</c:v>
                </c:pt>
                <c:pt idx="26">
                  <c:v>40.700000000000003</c:v>
                </c:pt>
                <c:pt idx="27">
                  <c:v>41.09</c:v>
                </c:pt>
                <c:pt idx="31">
                  <c:v>35.380000000000003</c:v>
                </c:pt>
                <c:pt idx="32">
                  <c:v>41.78</c:v>
                </c:pt>
                <c:pt idx="33">
                  <c:v>40.43</c:v>
                </c:pt>
                <c:pt idx="37">
                  <c:v>33.159999999999997</c:v>
                </c:pt>
                <c:pt idx="38">
                  <c:v>40.74</c:v>
                </c:pt>
                <c:pt idx="39">
                  <c:v>41.28</c:v>
                </c:pt>
                <c:pt idx="40">
                  <c:v>42.95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93-458F-A344-CF29A954BEE8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All!$ED$6:$ED$50</c:f>
              <c:numCache>
                <c:formatCode>General</c:formatCode>
                <c:ptCount val="45"/>
                <c:pt idx="0">
                  <c:v>11.21</c:v>
                </c:pt>
                <c:pt idx="1">
                  <c:v>35.56</c:v>
                </c:pt>
                <c:pt idx="2">
                  <c:v>35.25</c:v>
                </c:pt>
                <c:pt idx="3">
                  <c:v>35.44</c:v>
                </c:pt>
                <c:pt idx="4">
                  <c:v>34.56</c:v>
                </c:pt>
                <c:pt idx="8">
                  <c:v>29.43</c:v>
                </c:pt>
                <c:pt idx="9">
                  <c:v>35.130000000000003</c:v>
                </c:pt>
                <c:pt idx="10">
                  <c:v>35.130000000000003</c:v>
                </c:pt>
                <c:pt idx="11">
                  <c:v>34.53</c:v>
                </c:pt>
                <c:pt idx="12">
                  <c:v>33.31</c:v>
                </c:pt>
                <c:pt idx="16">
                  <c:v>29.74</c:v>
                </c:pt>
                <c:pt idx="17">
                  <c:v>35.380000000000003</c:v>
                </c:pt>
                <c:pt idx="18">
                  <c:v>36.17</c:v>
                </c:pt>
                <c:pt idx="19">
                  <c:v>35.020000000000003</c:v>
                </c:pt>
                <c:pt idx="20">
                  <c:v>33.270000000000003</c:v>
                </c:pt>
                <c:pt idx="24">
                  <c:v>22.82</c:v>
                </c:pt>
                <c:pt idx="25">
                  <c:v>34.54</c:v>
                </c:pt>
                <c:pt idx="26">
                  <c:v>34.29</c:v>
                </c:pt>
                <c:pt idx="27">
                  <c:v>33.82</c:v>
                </c:pt>
                <c:pt idx="31">
                  <c:v>28.8</c:v>
                </c:pt>
                <c:pt idx="32">
                  <c:v>33.619999999999997</c:v>
                </c:pt>
                <c:pt idx="33">
                  <c:v>33.83</c:v>
                </c:pt>
                <c:pt idx="37">
                  <c:v>29.23</c:v>
                </c:pt>
                <c:pt idx="38">
                  <c:v>33.31</c:v>
                </c:pt>
                <c:pt idx="39">
                  <c:v>33.72</c:v>
                </c:pt>
                <c:pt idx="40">
                  <c:v>34.65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93-458F-A344-CF29A954BEE8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All!$EE$6:$EE$50</c:f>
              <c:numCache>
                <c:formatCode>General</c:formatCode>
                <c:ptCount val="45"/>
                <c:pt idx="0">
                  <c:v>11.93</c:v>
                </c:pt>
                <c:pt idx="1">
                  <c:v>38.51</c:v>
                </c:pt>
                <c:pt idx="2">
                  <c:v>38.17</c:v>
                </c:pt>
                <c:pt idx="3">
                  <c:v>37.96</c:v>
                </c:pt>
                <c:pt idx="4">
                  <c:v>36.49</c:v>
                </c:pt>
                <c:pt idx="8">
                  <c:v>30.64</c:v>
                </c:pt>
                <c:pt idx="9">
                  <c:v>37.43</c:v>
                </c:pt>
                <c:pt idx="10">
                  <c:v>37.53</c:v>
                </c:pt>
                <c:pt idx="11">
                  <c:v>37.46</c:v>
                </c:pt>
                <c:pt idx="12">
                  <c:v>34.76</c:v>
                </c:pt>
                <c:pt idx="16">
                  <c:v>33.25</c:v>
                </c:pt>
                <c:pt idx="17">
                  <c:v>38.06</c:v>
                </c:pt>
                <c:pt idx="18">
                  <c:v>38.75</c:v>
                </c:pt>
                <c:pt idx="19">
                  <c:v>37.9</c:v>
                </c:pt>
                <c:pt idx="20">
                  <c:v>33.4</c:v>
                </c:pt>
                <c:pt idx="24">
                  <c:v>24.69</c:v>
                </c:pt>
                <c:pt idx="25">
                  <c:v>37.79</c:v>
                </c:pt>
                <c:pt idx="26">
                  <c:v>36.92</c:v>
                </c:pt>
                <c:pt idx="27">
                  <c:v>36.39</c:v>
                </c:pt>
                <c:pt idx="31">
                  <c:v>31.74</c:v>
                </c:pt>
                <c:pt idx="32">
                  <c:v>37.130000000000003</c:v>
                </c:pt>
                <c:pt idx="33">
                  <c:v>35.17</c:v>
                </c:pt>
                <c:pt idx="37">
                  <c:v>30.82</c:v>
                </c:pt>
                <c:pt idx="38">
                  <c:v>36.130000000000003</c:v>
                </c:pt>
                <c:pt idx="39">
                  <c:v>36.770000000000003</c:v>
                </c:pt>
                <c:pt idx="40">
                  <c:v>34.01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93-458F-A344-CF29A954B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25632"/>
        <c:axId val="1225927296"/>
      </c:scatterChart>
      <c:valAx>
        <c:axId val="122592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7296"/>
        <c:crosses val="autoZero"/>
        <c:crossBetween val="midCat"/>
      </c:valAx>
      <c:valAx>
        <c:axId val="122592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All!$EF$6:$EF$50</c:f>
              <c:numCache>
                <c:formatCode>General</c:formatCode>
                <c:ptCount val="45"/>
                <c:pt idx="0">
                  <c:v>84.31</c:v>
                </c:pt>
                <c:pt idx="1">
                  <c:v>45.55</c:v>
                </c:pt>
                <c:pt idx="2">
                  <c:v>44.51</c:v>
                </c:pt>
                <c:pt idx="3">
                  <c:v>45.33</c:v>
                </c:pt>
                <c:pt idx="4">
                  <c:v>45.91</c:v>
                </c:pt>
                <c:pt idx="8">
                  <c:v>57.38</c:v>
                </c:pt>
                <c:pt idx="9">
                  <c:v>45.09</c:v>
                </c:pt>
                <c:pt idx="10">
                  <c:v>44.68</c:v>
                </c:pt>
                <c:pt idx="11">
                  <c:v>44.6</c:v>
                </c:pt>
                <c:pt idx="12">
                  <c:v>46.85</c:v>
                </c:pt>
                <c:pt idx="16">
                  <c:v>57.14</c:v>
                </c:pt>
                <c:pt idx="17">
                  <c:v>48.58</c:v>
                </c:pt>
                <c:pt idx="18">
                  <c:v>47.44</c:v>
                </c:pt>
                <c:pt idx="19">
                  <c:v>44.87</c:v>
                </c:pt>
                <c:pt idx="20">
                  <c:v>56.81</c:v>
                </c:pt>
                <c:pt idx="24">
                  <c:v>66.06</c:v>
                </c:pt>
                <c:pt idx="25">
                  <c:v>43.72</c:v>
                </c:pt>
                <c:pt idx="26">
                  <c:v>44</c:v>
                </c:pt>
                <c:pt idx="27">
                  <c:v>46.29</c:v>
                </c:pt>
                <c:pt idx="31">
                  <c:v>55.64</c:v>
                </c:pt>
                <c:pt idx="32">
                  <c:v>43.76</c:v>
                </c:pt>
                <c:pt idx="33">
                  <c:v>46.99</c:v>
                </c:pt>
                <c:pt idx="37">
                  <c:v>56.83</c:v>
                </c:pt>
                <c:pt idx="38">
                  <c:v>43.7</c:v>
                </c:pt>
                <c:pt idx="39">
                  <c:v>44.1</c:v>
                </c:pt>
                <c:pt idx="40">
                  <c:v>54.49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C2-4967-B597-F12D86AC282C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All!$EG$6:$EG$50</c:f>
              <c:numCache>
                <c:formatCode>General</c:formatCode>
                <c:ptCount val="45"/>
                <c:pt idx="0">
                  <c:v>84.12</c:v>
                </c:pt>
                <c:pt idx="1">
                  <c:v>46.83</c:v>
                </c:pt>
                <c:pt idx="2">
                  <c:v>45.86</c:v>
                </c:pt>
                <c:pt idx="3">
                  <c:v>46.12</c:v>
                </c:pt>
                <c:pt idx="4">
                  <c:v>47.02</c:v>
                </c:pt>
                <c:pt idx="8">
                  <c:v>57.3</c:v>
                </c:pt>
                <c:pt idx="9">
                  <c:v>45.69</c:v>
                </c:pt>
                <c:pt idx="10">
                  <c:v>46.43</c:v>
                </c:pt>
                <c:pt idx="11">
                  <c:v>44.98</c:v>
                </c:pt>
                <c:pt idx="12">
                  <c:v>46.94</c:v>
                </c:pt>
                <c:pt idx="16">
                  <c:v>56.28</c:v>
                </c:pt>
                <c:pt idx="17">
                  <c:v>48.57</c:v>
                </c:pt>
                <c:pt idx="18">
                  <c:v>47.57</c:v>
                </c:pt>
                <c:pt idx="19">
                  <c:v>45.63</c:v>
                </c:pt>
                <c:pt idx="20">
                  <c:v>57.13</c:v>
                </c:pt>
                <c:pt idx="24">
                  <c:v>66.819999999999993</c:v>
                </c:pt>
                <c:pt idx="25">
                  <c:v>44.7</c:v>
                </c:pt>
                <c:pt idx="26">
                  <c:v>45.06</c:v>
                </c:pt>
                <c:pt idx="27">
                  <c:v>46.79</c:v>
                </c:pt>
                <c:pt idx="31">
                  <c:v>55.79</c:v>
                </c:pt>
                <c:pt idx="32">
                  <c:v>44.73</c:v>
                </c:pt>
                <c:pt idx="33">
                  <c:v>48.37</c:v>
                </c:pt>
                <c:pt idx="37">
                  <c:v>57.47</c:v>
                </c:pt>
                <c:pt idx="38">
                  <c:v>43.91</c:v>
                </c:pt>
                <c:pt idx="39">
                  <c:v>45</c:v>
                </c:pt>
                <c:pt idx="40">
                  <c:v>53.86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C2-4967-B597-F12D86AC282C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All!$EH$6:$EH$50</c:f>
              <c:numCache>
                <c:formatCode>General</c:formatCode>
                <c:ptCount val="45"/>
                <c:pt idx="0">
                  <c:v>84.77</c:v>
                </c:pt>
                <c:pt idx="1">
                  <c:v>44.21</c:v>
                </c:pt>
                <c:pt idx="2">
                  <c:v>42.91</c:v>
                </c:pt>
                <c:pt idx="3">
                  <c:v>43.3</c:v>
                </c:pt>
                <c:pt idx="4">
                  <c:v>45.26</c:v>
                </c:pt>
                <c:pt idx="8">
                  <c:v>56.55</c:v>
                </c:pt>
                <c:pt idx="9">
                  <c:v>42.11</c:v>
                </c:pt>
                <c:pt idx="10">
                  <c:v>42.14</c:v>
                </c:pt>
                <c:pt idx="11">
                  <c:v>41.67</c:v>
                </c:pt>
                <c:pt idx="12">
                  <c:v>45.9</c:v>
                </c:pt>
                <c:pt idx="16">
                  <c:v>56.27</c:v>
                </c:pt>
                <c:pt idx="17">
                  <c:v>49.62</c:v>
                </c:pt>
                <c:pt idx="18">
                  <c:v>46.62</c:v>
                </c:pt>
                <c:pt idx="19">
                  <c:v>42.3</c:v>
                </c:pt>
                <c:pt idx="20">
                  <c:v>61.51</c:v>
                </c:pt>
                <c:pt idx="24">
                  <c:v>65.58</c:v>
                </c:pt>
                <c:pt idx="25">
                  <c:v>42.17</c:v>
                </c:pt>
                <c:pt idx="26">
                  <c:v>41.29</c:v>
                </c:pt>
                <c:pt idx="27">
                  <c:v>45.19</c:v>
                </c:pt>
                <c:pt idx="31">
                  <c:v>55.12</c:v>
                </c:pt>
                <c:pt idx="32">
                  <c:v>41.25</c:v>
                </c:pt>
                <c:pt idx="33">
                  <c:v>45.5</c:v>
                </c:pt>
                <c:pt idx="37">
                  <c:v>54.64</c:v>
                </c:pt>
                <c:pt idx="38">
                  <c:v>40.69</c:v>
                </c:pt>
                <c:pt idx="39">
                  <c:v>41.73</c:v>
                </c:pt>
                <c:pt idx="40">
                  <c:v>60.23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C2-4967-B597-F12D86AC282C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All!$EI$6:$EI$50</c:f>
              <c:numCache>
                <c:formatCode>General</c:formatCode>
                <c:ptCount val="45"/>
                <c:pt idx="0">
                  <c:v>84.93</c:v>
                </c:pt>
                <c:pt idx="1">
                  <c:v>46.7</c:v>
                </c:pt>
                <c:pt idx="2">
                  <c:v>45.28</c:v>
                </c:pt>
                <c:pt idx="3">
                  <c:v>45.38</c:v>
                </c:pt>
                <c:pt idx="4">
                  <c:v>47.44</c:v>
                </c:pt>
                <c:pt idx="8">
                  <c:v>58.36</c:v>
                </c:pt>
                <c:pt idx="9">
                  <c:v>44.91</c:v>
                </c:pt>
                <c:pt idx="10">
                  <c:v>45.49</c:v>
                </c:pt>
                <c:pt idx="11">
                  <c:v>45.23</c:v>
                </c:pt>
                <c:pt idx="12">
                  <c:v>48.7</c:v>
                </c:pt>
                <c:pt idx="16">
                  <c:v>55.99</c:v>
                </c:pt>
                <c:pt idx="17">
                  <c:v>50.71</c:v>
                </c:pt>
                <c:pt idx="18">
                  <c:v>47.92</c:v>
                </c:pt>
                <c:pt idx="19">
                  <c:v>45.32</c:v>
                </c:pt>
                <c:pt idx="20">
                  <c:v>62.79</c:v>
                </c:pt>
                <c:pt idx="24">
                  <c:v>65.66</c:v>
                </c:pt>
                <c:pt idx="25">
                  <c:v>43.86</c:v>
                </c:pt>
                <c:pt idx="26">
                  <c:v>43.25</c:v>
                </c:pt>
                <c:pt idx="27">
                  <c:v>46.49</c:v>
                </c:pt>
                <c:pt idx="31">
                  <c:v>55.46</c:v>
                </c:pt>
                <c:pt idx="32">
                  <c:v>43.24</c:v>
                </c:pt>
                <c:pt idx="33">
                  <c:v>48.49</c:v>
                </c:pt>
                <c:pt idx="37">
                  <c:v>56.04</c:v>
                </c:pt>
                <c:pt idx="38">
                  <c:v>43.48</c:v>
                </c:pt>
                <c:pt idx="39">
                  <c:v>43.39</c:v>
                </c:pt>
                <c:pt idx="40">
                  <c:v>61.92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C2-4967-B597-F12D86AC2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25216"/>
        <c:axId val="1225925632"/>
      </c:scatterChart>
      <c:valAx>
        <c:axId val="1225925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5632"/>
        <c:crosses val="autoZero"/>
        <c:crossBetween val="midCat"/>
      </c:valAx>
      <c:valAx>
        <c:axId val="122592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All!$AD$6:$AD$50</c:f>
              <c:numCache>
                <c:formatCode>General</c:formatCode>
                <c:ptCount val="45"/>
                <c:pt idx="0">
                  <c:v>0.496</c:v>
                </c:pt>
                <c:pt idx="1">
                  <c:v>1.8089999999999999</c:v>
                </c:pt>
                <c:pt idx="2">
                  <c:v>1.825</c:v>
                </c:pt>
                <c:pt idx="3">
                  <c:v>1.829</c:v>
                </c:pt>
                <c:pt idx="4">
                  <c:v>1.841</c:v>
                </c:pt>
                <c:pt idx="8">
                  <c:v>1.8089999999999999</c:v>
                </c:pt>
                <c:pt idx="9">
                  <c:v>1.8169999999999999</c:v>
                </c:pt>
                <c:pt idx="10">
                  <c:v>1.835</c:v>
                </c:pt>
                <c:pt idx="11">
                  <c:v>1.835</c:v>
                </c:pt>
                <c:pt idx="12">
                  <c:v>1.855</c:v>
                </c:pt>
                <c:pt idx="16">
                  <c:v>1.823</c:v>
                </c:pt>
                <c:pt idx="17">
                  <c:v>1.8380000000000001</c:v>
                </c:pt>
                <c:pt idx="18">
                  <c:v>1.796</c:v>
                </c:pt>
                <c:pt idx="19">
                  <c:v>1.7969999999999999</c:v>
                </c:pt>
                <c:pt idx="20">
                  <c:v>1.7370000000000001</c:v>
                </c:pt>
                <c:pt idx="24">
                  <c:v>1.9810000000000001</c:v>
                </c:pt>
                <c:pt idx="25">
                  <c:v>1.8069999999999999</c:v>
                </c:pt>
                <c:pt idx="26">
                  <c:v>1.8</c:v>
                </c:pt>
                <c:pt idx="27">
                  <c:v>1.7949999999999999</c:v>
                </c:pt>
                <c:pt idx="31">
                  <c:v>1.756</c:v>
                </c:pt>
                <c:pt idx="32">
                  <c:v>1.7809999999999999</c:v>
                </c:pt>
                <c:pt idx="33">
                  <c:v>1.7969999999999999</c:v>
                </c:pt>
                <c:pt idx="37">
                  <c:v>1.754</c:v>
                </c:pt>
                <c:pt idx="38">
                  <c:v>1.7689999999999999</c:v>
                </c:pt>
                <c:pt idx="39">
                  <c:v>1.78</c:v>
                </c:pt>
                <c:pt idx="40">
                  <c:v>1.6659999999999999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FF-4A3A-BB1B-F7719908D3D0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All!$AE$6:$AE$50</c:f>
              <c:numCache>
                <c:formatCode>General</c:formatCode>
                <c:ptCount val="45"/>
                <c:pt idx="0">
                  <c:v>0.51</c:v>
                </c:pt>
                <c:pt idx="1">
                  <c:v>1.88</c:v>
                </c:pt>
                <c:pt idx="2">
                  <c:v>1.8919999999999999</c:v>
                </c:pt>
                <c:pt idx="3">
                  <c:v>1.8979999999999999</c:v>
                </c:pt>
                <c:pt idx="4">
                  <c:v>1.909</c:v>
                </c:pt>
                <c:pt idx="8">
                  <c:v>1.827</c:v>
                </c:pt>
                <c:pt idx="9">
                  <c:v>1.8260000000000001</c:v>
                </c:pt>
                <c:pt idx="10">
                  <c:v>1.8420000000000001</c:v>
                </c:pt>
                <c:pt idx="11">
                  <c:v>1.8440000000000001</c:v>
                </c:pt>
                <c:pt idx="12">
                  <c:v>1.861</c:v>
                </c:pt>
                <c:pt idx="16">
                  <c:v>1.8360000000000001</c:v>
                </c:pt>
                <c:pt idx="17">
                  <c:v>1.843</c:v>
                </c:pt>
                <c:pt idx="18">
                  <c:v>1.8029999999999999</c:v>
                </c:pt>
                <c:pt idx="19">
                  <c:v>1.8080000000000001</c:v>
                </c:pt>
                <c:pt idx="20">
                  <c:v>1.756</c:v>
                </c:pt>
                <c:pt idx="24">
                  <c:v>2.085</c:v>
                </c:pt>
                <c:pt idx="25">
                  <c:v>1.8740000000000001</c:v>
                </c:pt>
                <c:pt idx="26">
                  <c:v>1.8560000000000001</c:v>
                </c:pt>
                <c:pt idx="27">
                  <c:v>1.8580000000000001</c:v>
                </c:pt>
                <c:pt idx="31">
                  <c:v>1.792</c:v>
                </c:pt>
                <c:pt idx="32">
                  <c:v>1.7969999999999999</c:v>
                </c:pt>
                <c:pt idx="33">
                  <c:v>1.821</c:v>
                </c:pt>
                <c:pt idx="37">
                  <c:v>1.7929999999999999</c:v>
                </c:pt>
                <c:pt idx="38">
                  <c:v>1.79</c:v>
                </c:pt>
                <c:pt idx="39">
                  <c:v>1.8069999999999999</c:v>
                </c:pt>
                <c:pt idx="40">
                  <c:v>1.7050000000000001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FF-4A3A-BB1B-F7719908D3D0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All!$AF$6:$AF$50</c:f>
              <c:numCache>
                <c:formatCode>General</c:formatCode>
                <c:ptCount val="45"/>
                <c:pt idx="0">
                  <c:v>0.45500000000000002</c:v>
                </c:pt>
                <c:pt idx="1">
                  <c:v>1.7869999999999999</c:v>
                </c:pt>
                <c:pt idx="2">
                  <c:v>1.83</c:v>
                </c:pt>
                <c:pt idx="3">
                  <c:v>1.8560000000000001</c:v>
                </c:pt>
                <c:pt idx="4">
                  <c:v>1.8839999999999999</c:v>
                </c:pt>
                <c:pt idx="8">
                  <c:v>1.782</c:v>
                </c:pt>
                <c:pt idx="9">
                  <c:v>1.8149999999999999</c:v>
                </c:pt>
                <c:pt idx="10">
                  <c:v>1.851</c:v>
                </c:pt>
                <c:pt idx="11">
                  <c:v>1.8580000000000001</c:v>
                </c:pt>
                <c:pt idx="12">
                  <c:v>1.88</c:v>
                </c:pt>
                <c:pt idx="16">
                  <c:v>1.8049999999999999</c:v>
                </c:pt>
                <c:pt idx="17">
                  <c:v>1.843</c:v>
                </c:pt>
                <c:pt idx="18">
                  <c:v>1.8069999999999999</c:v>
                </c:pt>
                <c:pt idx="19">
                  <c:v>1.819</c:v>
                </c:pt>
                <c:pt idx="20">
                  <c:v>1.738</c:v>
                </c:pt>
                <c:pt idx="24">
                  <c:v>1.992</c:v>
                </c:pt>
                <c:pt idx="25">
                  <c:v>1.8460000000000001</c:v>
                </c:pt>
                <c:pt idx="26">
                  <c:v>1.877</c:v>
                </c:pt>
                <c:pt idx="27">
                  <c:v>1.889</c:v>
                </c:pt>
                <c:pt idx="31">
                  <c:v>1.7529999999999999</c:v>
                </c:pt>
                <c:pt idx="32">
                  <c:v>1.804</c:v>
                </c:pt>
                <c:pt idx="33">
                  <c:v>1.8440000000000001</c:v>
                </c:pt>
                <c:pt idx="37">
                  <c:v>1.7529999999999999</c:v>
                </c:pt>
                <c:pt idx="38">
                  <c:v>1.788</c:v>
                </c:pt>
                <c:pt idx="39">
                  <c:v>1.8129999999999999</c:v>
                </c:pt>
                <c:pt idx="40">
                  <c:v>1.6379999999999999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9FF-4A3A-BB1B-F7719908D3D0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All!$AG$6:$AG$50</c:f>
              <c:numCache>
                <c:formatCode>General</c:formatCode>
                <c:ptCount val="45"/>
                <c:pt idx="0">
                  <c:v>0.504</c:v>
                </c:pt>
                <c:pt idx="1">
                  <c:v>1.857</c:v>
                </c:pt>
                <c:pt idx="2">
                  <c:v>1.8939999999999999</c:v>
                </c:pt>
                <c:pt idx="3">
                  <c:v>1.917</c:v>
                </c:pt>
                <c:pt idx="4">
                  <c:v>1.9430000000000001</c:v>
                </c:pt>
                <c:pt idx="8">
                  <c:v>1.8129999999999999</c:v>
                </c:pt>
                <c:pt idx="9">
                  <c:v>1.8420000000000001</c:v>
                </c:pt>
                <c:pt idx="10">
                  <c:v>1.8779999999999999</c:v>
                </c:pt>
                <c:pt idx="11">
                  <c:v>1.8779999999999999</c:v>
                </c:pt>
                <c:pt idx="12">
                  <c:v>1.9019999999999999</c:v>
                </c:pt>
                <c:pt idx="16">
                  <c:v>1.831</c:v>
                </c:pt>
                <c:pt idx="17">
                  <c:v>1.8580000000000001</c:v>
                </c:pt>
                <c:pt idx="18">
                  <c:v>1.821</c:v>
                </c:pt>
                <c:pt idx="19">
                  <c:v>1.8320000000000001</c:v>
                </c:pt>
                <c:pt idx="20">
                  <c:v>1.754</c:v>
                </c:pt>
                <c:pt idx="24">
                  <c:v>2.0659999999999998</c:v>
                </c:pt>
                <c:pt idx="25">
                  <c:v>1.9159999999999999</c:v>
                </c:pt>
                <c:pt idx="26">
                  <c:v>1.944</c:v>
                </c:pt>
                <c:pt idx="27">
                  <c:v>1.9650000000000001</c:v>
                </c:pt>
                <c:pt idx="31">
                  <c:v>1.786</c:v>
                </c:pt>
                <c:pt idx="32">
                  <c:v>1.8149999999999999</c:v>
                </c:pt>
                <c:pt idx="33">
                  <c:v>1.857</c:v>
                </c:pt>
                <c:pt idx="37">
                  <c:v>1.7789999999999999</c:v>
                </c:pt>
                <c:pt idx="38">
                  <c:v>1.806</c:v>
                </c:pt>
                <c:pt idx="39">
                  <c:v>1.8240000000000001</c:v>
                </c:pt>
                <c:pt idx="40">
                  <c:v>1.67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9FF-4A3A-BB1B-F7719908D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16320"/>
        <c:axId val="1226017568"/>
      </c:scatterChart>
      <c:valAx>
        <c:axId val="122601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7568"/>
        <c:crosses val="autoZero"/>
        <c:crossBetween val="midCat"/>
      </c:valAx>
      <c:valAx>
        <c:axId val="1226017568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All!$AH$6:$AH$50</c:f>
              <c:numCache>
                <c:formatCode>General</c:formatCode>
                <c:ptCount val="45"/>
                <c:pt idx="0">
                  <c:v>-9.11</c:v>
                </c:pt>
                <c:pt idx="1">
                  <c:v>73.91</c:v>
                </c:pt>
                <c:pt idx="2">
                  <c:v>76.77</c:v>
                </c:pt>
                <c:pt idx="3">
                  <c:v>77.77</c:v>
                </c:pt>
                <c:pt idx="4">
                  <c:v>79</c:v>
                </c:pt>
                <c:pt idx="8">
                  <c:v>68.37</c:v>
                </c:pt>
                <c:pt idx="9">
                  <c:v>75.290000000000006</c:v>
                </c:pt>
                <c:pt idx="10">
                  <c:v>78.959999999999994</c:v>
                </c:pt>
                <c:pt idx="11">
                  <c:v>78.61</c:v>
                </c:pt>
                <c:pt idx="12">
                  <c:v>81.040000000000006</c:v>
                </c:pt>
                <c:pt idx="16">
                  <c:v>70.37</c:v>
                </c:pt>
                <c:pt idx="17">
                  <c:v>75.8</c:v>
                </c:pt>
                <c:pt idx="18">
                  <c:v>68.77</c:v>
                </c:pt>
                <c:pt idx="19">
                  <c:v>71.59</c:v>
                </c:pt>
                <c:pt idx="20">
                  <c:v>61.14</c:v>
                </c:pt>
                <c:pt idx="24">
                  <c:v>76.36</c:v>
                </c:pt>
                <c:pt idx="25">
                  <c:v>75.739999999999995</c:v>
                </c:pt>
                <c:pt idx="26">
                  <c:v>75.88</c:v>
                </c:pt>
                <c:pt idx="27">
                  <c:v>76.56</c:v>
                </c:pt>
                <c:pt idx="31">
                  <c:v>66.75</c:v>
                </c:pt>
                <c:pt idx="32">
                  <c:v>75.2</c:v>
                </c:pt>
                <c:pt idx="33">
                  <c:v>77.430000000000007</c:v>
                </c:pt>
                <c:pt idx="37">
                  <c:v>67.12</c:v>
                </c:pt>
                <c:pt idx="38">
                  <c:v>75.03</c:v>
                </c:pt>
                <c:pt idx="39">
                  <c:v>77.73</c:v>
                </c:pt>
                <c:pt idx="40">
                  <c:v>60.42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3-460B-830C-C3AF4A71F649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All!$AI$6:$AI$50</c:f>
              <c:numCache>
                <c:formatCode>General</c:formatCode>
                <c:ptCount val="45"/>
                <c:pt idx="0">
                  <c:v>-11.92</c:v>
                </c:pt>
                <c:pt idx="1">
                  <c:v>65.89</c:v>
                </c:pt>
                <c:pt idx="2">
                  <c:v>67.53</c:v>
                </c:pt>
                <c:pt idx="3">
                  <c:v>68.58</c:v>
                </c:pt>
                <c:pt idx="4">
                  <c:v>70</c:v>
                </c:pt>
                <c:pt idx="8">
                  <c:v>61.03</c:v>
                </c:pt>
                <c:pt idx="9">
                  <c:v>66.900000000000006</c:v>
                </c:pt>
                <c:pt idx="10">
                  <c:v>68.819999999999993</c:v>
                </c:pt>
                <c:pt idx="11">
                  <c:v>68.77</c:v>
                </c:pt>
                <c:pt idx="12">
                  <c:v>70.540000000000006</c:v>
                </c:pt>
                <c:pt idx="16">
                  <c:v>62.51</c:v>
                </c:pt>
                <c:pt idx="17">
                  <c:v>67.16</c:v>
                </c:pt>
                <c:pt idx="18">
                  <c:v>60.6</c:v>
                </c:pt>
                <c:pt idx="19">
                  <c:v>63.1</c:v>
                </c:pt>
                <c:pt idx="20">
                  <c:v>52.81</c:v>
                </c:pt>
                <c:pt idx="24">
                  <c:v>71.739999999999995</c:v>
                </c:pt>
                <c:pt idx="25">
                  <c:v>70.14</c:v>
                </c:pt>
                <c:pt idx="26">
                  <c:v>69.739999999999995</c:v>
                </c:pt>
                <c:pt idx="27">
                  <c:v>70.22</c:v>
                </c:pt>
                <c:pt idx="31">
                  <c:v>61.22</c:v>
                </c:pt>
                <c:pt idx="32">
                  <c:v>69.06</c:v>
                </c:pt>
                <c:pt idx="33">
                  <c:v>71.86</c:v>
                </c:pt>
                <c:pt idx="37">
                  <c:v>62.46</c:v>
                </c:pt>
                <c:pt idx="38">
                  <c:v>69.930000000000007</c:v>
                </c:pt>
                <c:pt idx="39">
                  <c:v>73.56</c:v>
                </c:pt>
                <c:pt idx="40">
                  <c:v>57.97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B3-460B-830C-C3AF4A71F649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All!$AJ$6:$AJ$50</c:f>
              <c:numCache>
                <c:formatCode>General</c:formatCode>
                <c:ptCount val="45"/>
                <c:pt idx="0">
                  <c:v>-8.58</c:v>
                </c:pt>
                <c:pt idx="1">
                  <c:v>94.85</c:v>
                </c:pt>
                <c:pt idx="2">
                  <c:v>100.71</c:v>
                </c:pt>
                <c:pt idx="3">
                  <c:v>103.64</c:v>
                </c:pt>
                <c:pt idx="4">
                  <c:v>105.92</c:v>
                </c:pt>
                <c:pt idx="8">
                  <c:v>89.34</c:v>
                </c:pt>
                <c:pt idx="9">
                  <c:v>97.17</c:v>
                </c:pt>
                <c:pt idx="10">
                  <c:v>102.52</c:v>
                </c:pt>
                <c:pt idx="11">
                  <c:v>101.74</c:v>
                </c:pt>
                <c:pt idx="12">
                  <c:v>104.46</c:v>
                </c:pt>
                <c:pt idx="16">
                  <c:v>90.16</c:v>
                </c:pt>
                <c:pt idx="17">
                  <c:v>96.45</c:v>
                </c:pt>
                <c:pt idx="18">
                  <c:v>89.33</c:v>
                </c:pt>
                <c:pt idx="19">
                  <c:v>93.1</c:v>
                </c:pt>
                <c:pt idx="20">
                  <c:v>77.92</c:v>
                </c:pt>
                <c:pt idx="24">
                  <c:v>82.88</c:v>
                </c:pt>
                <c:pt idx="25">
                  <c:v>103.83</c:v>
                </c:pt>
                <c:pt idx="26">
                  <c:v>109.39</c:v>
                </c:pt>
                <c:pt idx="27">
                  <c:v>110.17</c:v>
                </c:pt>
                <c:pt idx="31">
                  <c:v>92.71</c:v>
                </c:pt>
                <c:pt idx="32">
                  <c:v>104.14</c:v>
                </c:pt>
                <c:pt idx="33">
                  <c:v>108.16</c:v>
                </c:pt>
                <c:pt idx="37">
                  <c:v>91.41</c:v>
                </c:pt>
                <c:pt idx="38">
                  <c:v>100.73</c:v>
                </c:pt>
                <c:pt idx="39">
                  <c:v>104.38</c:v>
                </c:pt>
                <c:pt idx="40">
                  <c:v>77.59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B3-460B-830C-C3AF4A71F649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All!$AK$6:$AK$50</c:f>
              <c:numCache>
                <c:formatCode>General</c:formatCode>
                <c:ptCount val="45"/>
                <c:pt idx="0">
                  <c:v>-6.79</c:v>
                </c:pt>
                <c:pt idx="1">
                  <c:v>93.18</c:v>
                </c:pt>
                <c:pt idx="2">
                  <c:v>98.61</c:v>
                </c:pt>
                <c:pt idx="3">
                  <c:v>101.15</c:v>
                </c:pt>
                <c:pt idx="4">
                  <c:v>103.35</c:v>
                </c:pt>
                <c:pt idx="8">
                  <c:v>81.400000000000006</c:v>
                </c:pt>
                <c:pt idx="9">
                  <c:v>95.71</c:v>
                </c:pt>
                <c:pt idx="10">
                  <c:v>100.94</c:v>
                </c:pt>
                <c:pt idx="11">
                  <c:v>100.8</c:v>
                </c:pt>
                <c:pt idx="12">
                  <c:v>102.85</c:v>
                </c:pt>
                <c:pt idx="16">
                  <c:v>89.29</c:v>
                </c:pt>
                <c:pt idx="17">
                  <c:v>93.85</c:v>
                </c:pt>
                <c:pt idx="18">
                  <c:v>86.66</c:v>
                </c:pt>
                <c:pt idx="19">
                  <c:v>91.14</c:v>
                </c:pt>
                <c:pt idx="20">
                  <c:v>76.45</c:v>
                </c:pt>
                <c:pt idx="24">
                  <c:v>79.64</c:v>
                </c:pt>
                <c:pt idx="25">
                  <c:v>103.79</c:v>
                </c:pt>
                <c:pt idx="26">
                  <c:v>108.93</c:v>
                </c:pt>
                <c:pt idx="27">
                  <c:v>111.08</c:v>
                </c:pt>
                <c:pt idx="31">
                  <c:v>93.85</c:v>
                </c:pt>
                <c:pt idx="32">
                  <c:v>104.42</c:v>
                </c:pt>
                <c:pt idx="33">
                  <c:v>109.15</c:v>
                </c:pt>
                <c:pt idx="37">
                  <c:v>93.94</c:v>
                </c:pt>
                <c:pt idx="38">
                  <c:v>102.64</c:v>
                </c:pt>
                <c:pt idx="39">
                  <c:v>105.06</c:v>
                </c:pt>
                <c:pt idx="40">
                  <c:v>79.599999999999994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B3-460B-830C-C3AF4A71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18400"/>
        <c:axId val="1226028800"/>
      </c:scatterChart>
      <c:valAx>
        <c:axId val="12260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8800"/>
        <c:crosses val="autoZero"/>
        <c:crossBetween val="midCat"/>
      </c:valAx>
      <c:valAx>
        <c:axId val="1226028800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All!$FC$6:$FC$50</c:f>
              <c:numCache>
                <c:formatCode>General</c:formatCode>
                <c:ptCount val="45"/>
                <c:pt idx="0">
                  <c:v>18.696999999999999</c:v>
                </c:pt>
                <c:pt idx="1">
                  <c:v>65.203000000000003</c:v>
                </c:pt>
                <c:pt idx="2">
                  <c:v>67.558000000000007</c:v>
                </c:pt>
                <c:pt idx="3">
                  <c:v>67.899000000000001</c:v>
                </c:pt>
                <c:pt idx="4">
                  <c:v>68.87</c:v>
                </c:pt>
                <c:pt idx="8">
                  <c:v>67.478999999999999</c:v>
                </c:pt>
                <c:pt idx="9">
                  <c:v>66.594999999999999</c:v>
                </c:pt>
                <c:pt idx="10">
                  <c:v>68.864000000000004</c:v>
                </c:pt>
                <c:pt idx="11">
                  <c:v>69.757000000000005</c:v>
                </c:pt>
                <c:pt idx="12">
                  <c:v>70.337999999999994</c:v>
                </c:pt>
                <c:pt idx="16">
                  <c:v>68.778000000000006</c:v>
                </c:pt>
                <c:pt idx="17">
                  <c:v>69.546000000000006</c:v>
                </c:pt>
                <c:pt idx="18">
                  <c:v>67.37</c:v>
                </c:pt>
                <c:pt idx="19">
                  <c:v>65.772999999999996</c:v>
                </c:pt>
                <c:pt idx="20">
                  <c:v>65.281999999999996</c:v>
                </c:pt>
                <c:pt idx="24">
                  <c:v>86.897000000000006</c:v>
                </c:pt>
                <c:pt idx="25">
                  <c:v>72.39</c:v>
                </c:pt>
                <c:pt idx="26">
                  <c:v>70.614999999999995</c:v>
                </c:pt>
                <c:pt idx="27">
                  <c:v>70.378</c:v>
                </c:pt>
                <c:pt idx="31">
                  <c:v>67.948999999999998</c:v>
                </c:pt>
                <c:pt idx="32">
                  <c:v>68.394999999999996</c:v>
                </c:pt>
                <c:pt idx="33">
                  <c:v>70.614000000000004</c:v>
                </c:pt>
                <c:pt idx="37">
                  <c:v>68.575999999999993</c:v>
                </c:pt>
                <c:pt idx="38">
                  <c:v>67.028000000000006</c:v>
                </c:pt>
                <c:pt idx="39">
                  <c:v>69.13</c:v>
                </c:pt>
                <c:pt idx="40">
                  <c:v>65.239000000000004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0-4B79-9AE7-210E29A680CC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All!$FD$6:$FD$50</c:f>
              <c:numCache>
                <c:formatCode>General</c:formatCode>
                <c:ptCount val="45"/>
                <c:pt idx="0">
                  <c:v>17.725000000000001</c:v>
                </c:pt>
                <c:pt idx="1">
                  <c:v>60.716000000000001</c:v>
                </c:pt>
                <c:pt idx="2">
                  <c:v>62.256999999999998</c:v>
                </c:pt>
                <c:pt idx="3">
                  <c:v>62.656999999999996</c:v>
                </c:pt>
                <c:pt idx="4">
                  <c:v>63.32</c:v>
                </c:pt>
                <c:pt idx="8">
                  <c:v>62.256</c:v>
                </c:pt>
                <c:pt idx="9">
                  <c:v>61.45</c:v>
                </c:pt>
                <c:pt idx="10">
                  <c:v>63.499000000000002</c:v>
                </c:pt>
                <c:pt idx="11">
                  <c:v>64.521000000000001</c:v>
                </c:pt>
                <c:pt idx="12">
                  <c:v>64.778000000000006</c:v>
                </c:pt>
                <c:pt idx="16">
                  <c:v>64.200999999999993</c:v>
                </c:pt>
                <c:pt idx="17">
                  <c:v>64.260000000000005</c:v>
                </c:pt>
                <c:pt idx="18">
                  <c:v>62.777000000000001</c:v>
                </c:pt>
                <c:pt idx="19">
                  <c:v>61.332999999999998</c:v>
                </c:pt>
                <c:pt idx="20">
                  <c:v>61.34</c:v>
                </c:pt>
                <c:pt idx="24">
                  <c:v>86.981999999999999</c:v>
                </c:pt>
                <c:pt idx="25">
                  <c:v>69.539000000000001</c:v>
                </c:pt>
                <c:pt idx="26">
                  <c:v>65.813999999999993</c:v>
                </c:pt>
                <c:pt idx="27">
                  <c:v>65.165999999999997</c:v>
                </c:pt>
                <c:pt idx="31">
                  <c:v>63.55</c:v>
                </c:pt>
                <c:pt idx="32">
                  <c:v>63.332000000000001</c:v>
                </c:pt>
                <c:pt idx="33">
                  <c:v>65.525000000000006</c:v>
                </c:pt>
                <c:pt idx="37">
                  <c:v>64.734999999999999</c:v>
                </c:pt>
                <c:pt idx="38">
                  <c:v>62.87</c:v>
                </c:pt>
                <c:pt idx="39">
                  <c:v>64.69</c:v>
                </c:pt>
                <c:pt idx="40">
                  <c:v>61.991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20-4B79-9AE7-210E29A680CC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All!$FE$6:$FE$50</c:f>
              <c:numCache>
                <c:formatCode>General</c:formatCode>
                <c:ptCount val="45"/>
                <c:pt idx="0">
                  <c:v>19.21</c:v>
                </c:pt>
                <c:pt idx="1">
                  <c:v>72.183999999999997</c:v>
                </c:pt>
                <c:pt idx="2">
                  <c:v>76.608000000000004</c:v>
                </c:pt>
                <c:pt idx="3">
                  <c:v>78.369</c:v>
                </c:pt>
                <c:pt idx="4">
                  <c:v>80.747</c:v>
                </c:pt>
                <c:pt idx="8">
                  <c:v>76.004000000000005</c:v>
                </c:pt>
                <c:pt idx="9">
                  <c:v>74</c:v>
                </c:pt>
                <c:pt idx="10">
                  <c:v>78.197000000000003</c:v>
                </c:pt>
                <c:pt idx="11">
                  <c:v>79.534999999999997</c:v>
                </c:pt>
                <c:pt idx="12">
                  <c:v>80.358000000000004</c:v>
                </c:pt>
                <c:pt idx="16">
                  <c:v>76.14</c:v>
                </c:pt>
                <c:pt idx="17">
                  <c:v>76.045000000000002</c:v>
                </c:pt>
                <c:pt idx="18">
                  <c:v>74.984999999999999</c:v>
                </c:pt>
                <c:pt idx="19">
                  <c:v>74.186000000000007</c:v>
                </c:pt>
                <c:pt idx="20">
                  <c:v>74.22</c:v>
                </c:pt>
                <c:pt idx="24">
                  <c:v>85.97</c:v>
                </c:pt>
                <c:pt idx="25">
                  <c:v>80.549000000000007</c:v>
                </c:pt>
                <c:pt idx="26">
                  <c:v>83.036000000000001</c:v>
                </c:pt>
                <c:pt idx="27">
                  <c:v>84.025000000000006</c:v>
                </c:pt>
                <c:pt idx="31">
                  <c:v>76.501000000000005</c:v>
                </c:pt>
                <c:pt idx="32">
                  <c:v>76.537000000000006</c:v>
                </c:pt>
                <c:pt idx="33">
                  <c:v>81.846999999999994</c:v>
                </c:pt>
                <c:pt idx="37">
                  <c:v>76.375</c:v>
                </c:pt>
                <c:pt idx="38">
                  <c:v>75.274000000000001</c:v>
                </c:pt>
                <c:pt idx="39">
                  <c:v>78.762</c:v>
                </c:pt>
                <c:pt idx="40">
                  <c:v>72.183000000000007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0-4B79-9AE7-210E29A680CC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All!$FF$6:$FF$50</c:f>
              <c:numCache>
                <c:formatCode>General</c:formatCode>
                <c:ptCount val="45"/>
                <c:pt idx="0">
                  <c:v>20.542999999999999</c:v>
                </c:pt>
                <c:pt idx="1">
                  <c:v>71.347999999999999</c:v>
                </c:pt>
                <c:pt idx="2">
                  <c:v>75.126000000000005</c:v>
                </c:pt>
                <c:pt idx="3">
                  <c:v>76.707999999999998</c:v>
                </c:pt>
                <c:pt idx="4">
                  <c:v>78.831000000000003</c:v>
                </c:pt>
                <c:pt idx="8">
                  <c:v>74.438999999999993</c:v>
                </c:pt>
                <c:pt idx="9">
                  <c:v>73.507000000000005</c:v>
                </c:pt>
                <c:pt idx="10">
                  <c:v>77.284000000000006</c:v>
                </c:pt>
                <c:pt idx="11">
                  <c:v>78.593999999999994</c:v>
                </c:pt>
                <c:pt idx="12">
                  <c:v>79.242999999999995</c:v>
                </c:pt>
                <c:pt idx="16">
                  <c:v>75.125</c:v>
                </c:pt>
                <c:pt idx="17">
                  <c:v>74.302000000000007</c:v>
                </c:pt>
                <c:pt idx="18">
                  <c:v>73.225999999999999</c:v>
                </c:pt>
                <c:pt idx="19">
                  <c:v>72.84</c:v>
                </c:pt>
                <c:pt idx="20">
                  <c:v>73.019000000000005</c:v>
                </c:pt>
                <c:pt idx="24">
                  <c:v>83.757000000000005</c:v>
                </c:pt>
                <c:pt idx="25">
                  <c:v>78.122</c:v>
                </c:pt>
                <c:pt idx="26">
                  <c:v>80.228999999999999</c:v>
                </c:pt>
                <c:pt idx="27">
                  <c:v>81.611999999999995</c:v>
                </c:pt>
                <c:pt idx="31">
                  <c:v>75.245999999999995</c:v>
                </c:pt>
                <c:pt idx="32">
                  <c:v>74.695999999999998</c:v>
                </c:pt>
                <c:pt idx="33">
                  <c:v>79.366</c:v>
                </c:pt>
                <c:pt idx="37">
                  <c:v>75.260999999999996</c:v>
                </c:pt>
                <c:pt idx="38">
                  <c:v>74.150999999999996</c:v>
                </c:pt>
                <c:pt idx="39">
                  <c:v>76.777000000000001</c:v>
                </c:pt>
                <c:pt idx="40">
                  <c:v>70.873000000000005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0-4B79-9AE7-210E29A68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13984"/>
        <c:axId val="1225914400"/>
      </c:scatterChart>
      <c:valAx>
        <c:axId val="1225913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4400"/>
        <c:crosses val="autoZero"/>
        <c:crossBetween val="midCat"/>
      </c:valAx>
      <c:valAx>
        <c:axId val="1225914400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13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0.1</c:v>
                </c:pt>
                <c:pt idx="4">
                  <c:v>0</c:v>
                </c:pt>
                <c:pt idx="8">
                  <c:v>0</c:v>
                </c:pt>
                <c:pt idx="9">
                  <c:v>0.1</c:v>
                </c:pt>
                <c:pt idx="10">
                  <c:v>0.4</c:v>
                </c:pt>
                <c:pt idx="11">
                  <c:v>0</c:v>
                </c:pt>
                <c:pt idx="12">
                  <c:v>0.1</c:v>
                </c:pt>
                <c:pt idx="16">
                  <c:v>0.1</c:v>
                </c:pt>
                <c:pt idx="17">
                  <c:v>0.2</c:v>
                </c:pt>
                <c:pt idx="18">
                  <c:v>0.5</c:v>
                </c:pt>
                <c:pt idx="19">
                  <c:v>0.1</c:v>
                </c:pt>
                <c:pt idx="20">
                  <c:v>0.3</c:v>
                </c:pt>
                <c:pt idx="24">
                  <c:v>0</c:v>
                </c:pt>
                <c:pt idx="25">
                  <c:v>0</c:v>
                </c:pt>
                <c:pt idx="26">
                  <c:v>0.1</c:v>
                </c:pt>
                <c:pt idx="27">
                  <c:v>0.2</c:v>
                </c:pt>
                <c:pt idx="31">
                  <c:v>0.2</c:v>
                </c:pt>
                <c:pt idx="32">
                  <c:v>0.1</c:v>
                </c:pt>
                <c:pt idx="33">
                  <c:v>0</c:v>
                </c:pt>
                <c:pt idx="37">
                  <c:v>0</c:v>
                </c:pt>
                <c:pt idx="38">
                  <c:v>0.1</c:v>
                </c:pt>
                <c:pt idx="39">
                  <c:v>0.2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8E-4B1A-AD63-224B4B2A5B4D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All!$CM$6:$CM$50</c:f>
              <c:numCache>
                <c:formatCode>General</c:formatCode>
                <c:ptCount val="45"/>
                <c:pt idx="0">
                  <c:v>0.1</c:v>
                </c:pt>
                <c:pt idx="1">
                  <c:v>0.2</c:v>
                </c:pt>
                <c:pt idx="2">
                  <c:v>0.4</c:v>
                </c:pt>
                <c:pt idx="3">
                  <c:v>1</c:v>
                </c:pt>
                <c:pt idx="4">
                  <c:v>3.2</c:v>
                </c:pt>
                <c:pt idx="8">
                  <c:v>1.5</c:v>
                </c:pt>
                <c:pt idx="9">
                  <c:v>0.6</c:v>
                </c:pt>
                <c:pt idx="10">
                  <c:v>0.6</c:v>
                </c:pt>
                <c:pt idx="11">
                  <c:v>2.8</c:v>
                </c:pt>
                <c:pt idx="12">
                  <c:v>0</c:v>
                </c:pt>
                <c:pt idx="16">
                  <c:v>0.4</c:v>
                </c:pt>
                <c:pt idx="17">
                  <c:v>0.1</c:v>
                </c:pt>
                <c:pt idx="18">
                  <c:v>0.9</c:v>
                </c:pt>
                <c:pt idx="19">
                  <c:v>0.6</c:v>
                </c:pt>
                <c:pt idx="20">
                  <c:v>0</c:v>
                </c:pt>
                <c:pt idx="24">
                  <c:v>0.1</c:v>
                </c:pt>
                <c:pt idx="25">
                  <c:v>0.1</c:v>
                </c:pt>
                <c:pt idx="26">
                  <c:v>0.9</c:v>
                </c:pt>
                <c:pt idx="27">
                  <c:v>0.4</c:v>
                </c:pt>
                <c:pt idx="31">
                  <c:v>0.5</c:v>
                </c:pt>
                <c:pt idx="32">
                  <c:v>0.7</c:v>
                </c:pt>
                <c:pt idx="33">
                  <c:v>0.8</c:v>
                </c:pt>
                <c:pt idx="37">
                  <c:v>0.2</c:v>
                </c:pt>
                <c:pt idx="38">
                  <c:v>0.3</c:v>
                </c:pt>
                <c:pt idx="39">
                  <c:v>0.5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8E-4B1A-AD63-224B4B2A5B4D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8E-4B1A-AD63-224B4B2A5B4D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58E-4B1A-AD63-224B4B2A5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18400"/>
        <c:axId val="1226025472"/>
      </c:scatterChart>
      <c:valAx>
        <c:axId val="12260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5472"/>
        <c:crosses val="autoZero"/>
        <c:crossBetween val="midCat"/>
      </c:valAx>
      <c:valAx>
        <c:axId val="12260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1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All!$V$6:$V$50</c:f>
              <c:numCache>
                <c:formatCode>General</c:formatCode>
                <c:ptCount val="45"/>
                <c:pt idx="0">
                  <c:v>60</c:v>
                </c:pt>
                <c:pt idx="1">
                  <c:v>211.66</c:v>
                </c:pt>
                <c:pt idx="2">
                  <c:v>213.34</c:v>
                </c:pt>
                <c:pt idx="3">
                  <c:v>225</c:v>
                </c:pt>
                <c:pt idx="4">
                  <c:v>228.34</c:v>
                </c:pt>
                <c:pt idx="8">
                  <c:v>165</c:v>
                </c:pt>
                <c:pt idx="9">
                  <c:v>228.34</c:v>
                </c:pt>
                <c:pt idx="10">
                  <c:v>230</c:v>
                </c:pt>
                <c:pt idx="11">
                  <c:v>245</c:v>
                </c:pt>
                <c:pt idx="12">
                  <c:v>230</c:v>
                </c:pt>
                <c:pt idx="16">
                  <c:v>218.34</c:v>
                </c:pt>
                <c:pt idx="17">
                  <c:v>203.34</c:v>
                </c:pt>
                <c:pt idx="18">
                  <c:v>225</c:v>
                </c:pt>
                <c:pt idx="19">
                  <c:v>228.34</c:v>
                </c:pt>
                <c:pt idx="20">
                  <c:v>70</c:v>
                </c:pt>
                <c:pt idx="24">
                  <c:v>70</c:v>
                </c:pt>
                <c:pt idx="25">
                  <c:v>225</c:v>
                </c:pt>
                <c:pt idx="26">
                  <c:v>223.34</c:v>
                </c:pt>
                <c:pt idx="27">
                  <c:v>231.66</c:v>
                </c:pt>
                <c:pt idx="31">
                  <c:v>203.34</c:v>
                </c:pt>
                <c:pt idx="32">
                  <c:v>240</c:v>
                </c:pt>
                <c:pt idx="33">
                  <c:v>250</c:v>
                </c:pt>
                <c:pt idx="37">
                  <c:v>170</c:v>
                </c:pt>
                <c:pt idx="38">
                  <c:v>230</c:v>
                </c:pt>
                <c:pt idx="39">
                  <c:v>231.66</c:v>
                </c:pt>
                <c:pt idx="40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BC-4F7E-A48F-F53F98C1B2BE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All!$W$6:$W$50</c:f>
              <c:numCache>
                <c:formatCode>General</c:formatCode>
                <c:ptCount val="45"/>
                <c:pt idx="0">
                  <c:v>40</c:v>
                </c:pt>
                <c:pt idx="1">
                  <c:v>225</c:v>
                </c:pt>
                <c:pt idx="2">
                  <c:v>231.66</c:v>
                </c:pt>
                <c:pt idx="3">
                  <c:v>241.66</c:v>
                </c:pt>
                <c:pt idx="4">
                  <c:v>255</c:v>
                </c:pt>
                <c:pt idx="8">
                  <c:v>192.5</c:v>
                </c:pt>
                <c:pt idx="9">
                  <c:v>253.34</c:v>
                </c:pt>
                <c:pt idx="10">
                  <c:v>260</c:v>
                </c:pt>
                <c:pt idx="11">
                  <c:v>278.33999999999997</c:v>
                </c:pt>
                <c:pt idx="12">
                  <c:v>261.66000000000003</c:v>
                </c:pt>
                <c:pt idx="16">
                  <c:v>235</c:v>
                </c:pt>
                <c:pt idx="17">
                  <c:v>231.66</c:v>
                </c:pt>
                <c:pt idx="18">
                  <c:v>248.34</c:v>
                </c:pt>
                <c:pt idx="19">
                  <c:v>248.34</c:v>
                </c:pt>
                <c:pt idx="20">
                  <c:v>40</c:v>
                </c:pt>
                <c:pt idx="24">
                  <c:v>40</c:v>
                </c:pt>
                <c:pt idx="25">
                  <c:v>245</c:v>
                </c:pt>
                <c:pt idx="26">
                  <c:v>243.34</c:v>
                </c:pt>
                <c:pt idx="27">
                  <c:v>251.66</c:v>
                </c:pt>
                <c:pt idx="31">
                  <c:v>213.34</c:v>
                </c:pt>
                <c:pt idx="32">
                  <c:v>263.33999999999997</c:v>
                </c:pt>
                <c:pt idx="33">
                  <c:v>270</c:v>
                </c:pt>
                <c:pt idx="37">
                  <c:v>187.5</c:v>
                </c:pt>
                <c:pt idx="38">
                  <c:v>246.66</c:v>
                </c:pt>
                <c:pt idx="39">
                  <c:v>241.66</c:v>
                </c:pt>
                <c:pt idx="4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BC-4F7E-A48F-F53F98C1B2BE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All!$X$6:$X$50</c:f>
              <c:numCache>
                <c:formatCode>General</c:formatCode>
                <c:ptCount val="45"/>
                <c:pt idx="0">
                  <c:v>80</c:v>
                </c:pt>
                <c:pt idx="1">
                  <c:v>162.5</c:v>
                </c:pt>
                <c:pt idx="2">
                  <c:v>150</c:v>
                </c:pt>
                <c:pt idx="3">
                  <c:v>165</c:v>
                </c:pt>
                <c:pt idx="4">
                  <c:v>175</c:v>
                </c:pt>
                <c:pt idx="8">
                  <c:v>122.5</c:v>
                </c:pt>
                <c:pt idx="9">
                  <c:v>152.5</c:v>
                </c:pt>
                <c:pt idx="10">
                  <c:v>165</c:v>
                </c:pt>
                <c:pt idx="11">
                  <c:v>170</c:v>
                </c:pt>
                <c:pt idx="12">
                  <c:v>165</c:v>
                </c:pt>
                <c:pt idx="16">
                  <c:v>140</c:v>
                </c:pt>
                <c:pt idx="17">
                  <c:v>185</c:v>
                </c:pt>
                <c:pt idx="18">
                  <c:v>162.5</c:v>
                </c:pt>
                <c:pt idx="19">
                  <c:v>150</c:v>
                </c:pt>
                <c:pt idx="20">
                  <c:v>90</c:v>
                </c:pt>
                <c:pt idx="24">
                  <c:v>80</c:v>
                </c:pt>
                <c:pt idx="25">
                  <c:v>185</c:v>
                </c:pt>
                <c:pt idx="26">
                  <c:v>187.5</c:v>
                </c:pt>
                <c:pt idx="27">
                  <c:v>175</c:v>
                </c:pt>
                <c:pt idx="31">
                  <c:v>127.5</c:v>
                </c:pt>
                <c:pt idx="32">
                  <c:v>172.5</c:v>
                </c:pt>
                <c:pt idx="33">
                  <c:v>187.5</c:v>
                </c:pt>
                <c:pt idx="37">
                  <c:v>130</c:v>
                </c:pt>
                <c:pt idx="38">
                  <c:v>165</c:v>
                </c:pt>
                <c:pt idx="39">
                  <c:v>165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BC-4F7E-A48F-F53F98C1B2BE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All!$Y$6:$Y$50</c:f>
              <c:numCache>
                <c:formatCode>General</c:formatCode>
                <c:ptCount val="45"/>
                <c:pt idx="0">
                  <c:v>70</c:v>
                </c:pt>
                <c:pt idx="1">
                  <c:v>205</c:v>
                </c:pt>
                <c:pt idx="2">
                  <c:v>190</c:v>
                </c:pt>
                <c:pt idx="3">
                  <c:v>210</c:v>
                </c:pt>
                <c:pt idx="4">
                  <c:v>220</c:v>
                </c:pt>
                <c:pt idx="8">
                  <c:v>147.5</c:v>
                </c:pt>
                <c:pt idx="9">
                  <c:v>200</c:v>
                </c:pt>
                <c:pt idx="10">
                  <c:v>213.34</c:v>
                </c:pt>
                <c:pt idx="11">
                  <c:v>216.66</c:v>
                </c:pt>
                <c:pt idx="12">
                  <c:v>208.34</c:v>
                </c:pt>
                <c:pt idx="16">
                  <c:v>167.5</c:v>
                </c:pt>
                <c:pt idx="17">
                  <c:v>220</c:v>
                </c:pt>
                <c:pt idx="18">
                  <c:v>210</c:v>
                </c:pt>
                <c:pt idx="19">
                  <c:v>200</c:v>
                </c:pt>
                <c:pt idx="20">
                  <c:v>90</c:v>
                </c:pt>
                <c:pt idx="24">
                  <c:v>90</c:v>
                </c:pt>
                <c:pt idx="25">
                  <c:v>225</c:v>
                </c:pt>
                <c:pt idx="26">
                  <c:v>230</c:v>
                </c:pt>
                <c:pt idx="27">
                  <c:v>221.66</c:v>
                </c:pt>
                <c:pt idx="31">
                  <c:v>155</c:v>
                </c:pt>
                <c:pt idx="32">
                  <c:v>213.34</c:v>
                </c:pt>
                <c:pt idx="33">
                  <c:v>225</c:v>
                </c:pt>
                <c:pt idx="37">
                  <c:v>152.5</c:v>
                </c:pt>
                <c:pt idx="38">
                  <c:v>206.66</c:v>
                </c:pt>
                <c:pt idx="39">
                  <c:v>203.34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BC-4F7E-A48F-F53F98C1B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923968"/>
        <c:axId val="1225907744"/>
      </c:scatterChart>
      <c:valAx>
        <c:axId val="122592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07744"/>
        <c:crosses val="autoZero"/>
        <c:crossBetween val="midCat"/>
      </c:valAx>
      <c:valAx>
        <c:axId val="1225907744"/>
        <c:scaling>
          <c:orientation val="minMax"/>
          <c:max val="42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59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All!$Z$6:$Z$50</c:f>
              <c:numCache>
                <c:formatCode>General</c:formatCode>
                <c:ptCount val="45"/>
                <c:pt idx="0">
                  <c:v>124.77</c:v>
                </c:pt>
                <c:pt idx="1">
                  <c:v>369.5</c:v>
                </c:pt>
                <c:pt idx="2">
                  <c:v>354.84</c:v>
                </c:pt>
                <c:pt idx="3">
                  <c:v>372.54</c:v>
                </c:pt>
                <c:pt idx="4">
                  <c:v>366.75</c:v>
                </c:pt>
                <c:pt idx="8">
                  <c:v>322.42</c:v>
                </c:pt>
                <c:pt idx="9">
                  <c:v>378.25</c:v>
                </c:pt>
                <c:pt idx="10">
                  <c:v>382.41</c:v>
                </c:pt>
                <c:pt idx="11">
                  <c:v>381.35</c:v>
                </c:pt>
                <c:pt idx="12">
                  <c:v>369.09</c:v>
                </c:pt>
                <c:pt idx="16">
                  <c:v>343.51</c:v>
                </c:pt>
                <c:pt idx="17">
                  <c:v>382.33</c:v>
                </c:pt>
                <c:pt idx="18">
                  <c:v>364.18</c:v>
                </c:pt>
                <c:pt idx="19">
                  <c:v>384</c:v>
                </c:pt>
                <c:pt idx="20">
                  <c:v>210.16</c:v>
                </c:pt>
                <c:pt idx="24">
                  <c:v>241.73</c:v>
                </c:pt>
                <c:pt idx="25">
                  <c:v>377.59</c:v>
                </c:pt>
                <c:pt idx="26">
                  <c:v>372.54</c:v>
                </c:pt>
                <c:pt idx="27">
                  <c:v>361.01</c:v>
                </c:pt>
                <c:pt idx="31">
                  <c:v>340.11</c:v>
                </c:pt>
                <c:pt idx="32">
                  <c:v>384.97</c:v>
                </c:pt>
                <c:pt idx="33">
                  <c:v>380.78</c:v>
                </c:pt>
                <c:pt idx="37">
                  <c:v>327.14</c:v>
                </c:pt>
                <c:pt idx="38">
                  <c:v>377.99</c:v>
                </c:pt>
                <c:pt idx="39">
                  <c:v>373.06</c:v>
                </c:pt>
                <c:pt idx="40">
                  <c:v>195.5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7D-45B9-97E1-07F2D05753EB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All!$AA$6:$AA$50</c:f>
              <c:numCache>
                <c:formatCode>General</c:formatCode>
                <c:ptCount val="45"/>
                <c:pt idx="0">
                  <c:v>119.02</c:v>
                </c:pt>
                <c:pt idx="1">
                  <c:v>380.52</c:v>
                </c:pt>
                <c:pt idx="2">
                  <c:v>370.31</c:v>
                </c:pt>
                <c:pt idx="3">
                  <c:v>382.47</c:v>
                </c:pt>
                <c:pt idx="4">
                  <c:v>380.79</c:v>
                </c:pt>
                <c:pt idx="8">
                  <c:v>341.2</c:v>
                </c:pt>
                <c:pt idx="9">
                  <c:v>405.65</c:v>
                </c:pt>
                <c:pt idx="10">
                  <c:v>409.94</c:v>
                </c:pt>
                <c:pt idx="11">
                  <c:v>407.83</c:v>
                </c:pt>
                <c:pt idx="12">
                  <c:v>395.64</c:v>
                </c:pt>
                <c:pt idx="16">
                  <c:v>366.32</c:v>
                </c:pt>
                <c:pt idx="17">
                  <c:v>409.23</c:v>
                </c:pt>
                <c:pt idx="18">
                  <c:v>389.95</c:v>
                </c:pt>
                <c:pt idx="19">
                  <c:v>407.3</c:v>
                </c:pt>
                <c:pt idx="20">
                  <c:v>222.65</c:v>
                </c:pt>
                <c:pt idx="24">
                  <c:v>247.09</c:v>
                </c:pt>
                <c:pt idx="25">
                  <c:v>397.02</c:v>
                </c:pt>
                <c:pt idx="26">
                  <c:v>390.41</c:v>
                </c:pt>
                <c:pt idx="27">
                  <c:v>376.94</c:v>
                </c:pt>
                <c:pt idx="31">
                  <c:v>352.89</c:v>
                </c:pt>
                <c:pt idx="32">
                  <c:v>403.85</c:v>
                </c:pt>
                <c:pt idx="33">
                  <c:v>398.6</c:v>
                </c:pt>
                <c:pt idx="37">
                  <c:v>338.9</c:v>
                </c:pt>
                <c:pt idx="38">
                  <c:v>389.08</c:v>
                </c:pt>
                <c:pt idx="39">
                  <c:v>386.24</c:v>
                </c:pt>
                <c:pt idx="40">
                  <c:v>200.41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7D-45B9-97E1-07F2D05753EB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All!$AB$6:$AB$50</c:f>
              <c:numCache>
                <c:formatCode>General</c:formatCode>
                <c:ptCount val="45"/>
                <c:pt idx="0">
                  <c:v>111.72</c:v>
                </c:pt>
                <c:pt idx="1">
                  <c:v>271.81</c:v>
                </c:pt>
                <c:pt idx="2">
                  <c:v>249.33</c:v>
                </c:pt>
                <c:pt idx="3">
                  <c:v>271.33999999999997</c:v>
                </c:pt>
                <c:pt idx="4">
                  <c:v>274.54000000000002</c:v>
                </c:pt>
                <c:pt idx="8">
                  <c:v>217.3</c:v>
                </c:pt>
                <c:pt idx="9">
                  <c:v>273.27</c:v>
                </c:pt>
                <c:pt idx="10">
                  <c:v>285.05</c:v>
                </c:pt>
                <c:pt idx="11">
                  <c:v>270.57</c:v>
                </c:pt>
                <c:pt idx="12">
                  <c:v>274.7</c:v>
                </c:pt>
                <c:pt idx="16">
                  <c:v>219.12</c:v>
                </c:pt>
                <c:pt idx="17">
                  <c:v>297.18</c:v>
                </c:pt>
                <c:pt idx="18">
                  <c:v>274.14</c:v>
                </c:pt>
                <c:pt idx="19">
                  <c:v>280.67</c:v>
                </c:pt>
                <c:pt idx="20">
                  <c:v>185.1</c:v>
                </c:pt>
                <c:pt idx="24">
                  <c:v>193.97</c:v>
                </c:pt>
                <c:pt idx="25">
                  <c:v>312.33999999999997</c:v>
                </c:pt>
                <c:pt idx="26">
                  <c:v>303.69</c:v>
                </c:pt>
                <c:pt idx="27">
                  <c:v>270.36</c:v>
                </c:pt>
                <c:pt idx="31">
                  <c:v>213.73</c:v>
                </c:pt>
                <c:pt idx="32">
                  <c:v>296.8</c:v>
                </c:pt>
                <c:pt idx="33">
                  <c:v>286.33999999999997</c:v>
                </c:pt>
                <c:pt idx="37">
                  <c:v>226.18</c:v>
                </c:pt>
                <c:pt idx="38">
                  <c:v>279.22000000000003</c:v>
                </c:pt>
                <c:pt idx="39">
                  <c:v>255.94</c:v>
                </c:pt>
                <c:pt idx="40">
                  <c:v>152.16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7D-45B9-97E1-07F2D05753EB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All!$AC$6:$AC$50</c:f>
              <c:numCache>
                <c:formatCode>General</c:formatCode>
                <c:ptCount val="45"/>
                <c:pt idx="0">
                  <c:v>121.77</c:v>
                </c:pt>
                <c:pt idx="1">
                  <c:v>339.08</c:v>
                </c:pt>
                <c:pt idx="2">
                  <c:v>316.01</c:v>
                </c:pt>
                <c:pt idx="3">
                  <c:v>342.45</c:v>
                </c:pt>
                <c:pt idx="4">
                  <c:v>344.46</c:v>
                </c:pt>
                <c:pt idx="8">
                  <c:v>276.20999999999998</c:v>
                </c:pt>
                <c:pt idx="9">
                  <c:v>344.6</c:v>
                </c:pt>
                <c:pt idx="10">
                  <c:v>357.48</c:v>
                </c:pt>
                <c:pt idx="11">
                  <c:v>342.74</c:v>
                </c:pt>
                <c:pt idx="12">
                  <c:v>339.75</c:v>
                </c:pt>
                <c:pt idx="16">
                  <c:v>270.56</c:v>
                </c:pt>
                <c:pt idx="17">
                  <c:v>358.71</c:v>
                </c:pt>
                <c:pt idx="18">
                  <c:v>351.72</c:v>
                </c:pt>
                <c:pt idx="19">
                  <c:v>357.44</c:v>
                </c:pt>
                <c:pt idx="20">
                  <c:v>221.51</c:v>
                </c:pt>
                <c:pt idx="24">
                  <c:v>236.91</c:v>
                </c:pt>
                <c:pt idx="25">
                  <c:v>381.34</c:v>
                </c:pt>
                <c:pt idx="26">
                  <c:v>375.01</c:v>
                </c:pt>
                <c:pt idx="27">
                  <c:v>338.84</c:v>
                </c:pt>
                <c:pt idx="31">
                  <c:v>273.85000000000002</c:v>
                </c:pt>
                <c:pt idx="32">
                  <c:v>362.16</c:v>
                </c:pt>
                <c:pt idx="33">
                  <c:v>344.41</c:v>
                </c:pt>
                <c:pt idx="37">
                  <c:v>283.89999999999998</c:v>
                </c:pt>
                <c:pt idx="38">
                  <c:v>345.88</c:v>
                </c:pt>
                <c:pt idx="39">
                  <c:v>318.66000000000003</c:v>
                </c:pt>
                <c:pt idx="40">
                  <c:v>181.05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7D-45B9-97E1-07F2D0575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026304"/>
        <c:axId val="1226027136"/>
      </c:scatterChart>
      <c:valAx>
        <c:axId val="122602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7136"/>
        <c:crosses val="autoZero"/>
        <c:crossBetween val="midCat"/>
      </c:valAx>
      <c:valAx>
        <c:axId val="1226027136"/>
        <c:scaling>
          <c:orientation val="minMax"/>
          <c:max val="5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602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All!$T$6:$T$50</c:f>
              <c:numCache>
                <c:formatCode>General</c:formatCode>
                <c:ptCount val="45"/>
                <c:pt idx="0">
                  <c:v>69</c:v>
                </c:pt>
                <c:pt idx="1">
                  <c:v>80.97</c:v>
                </c:pt>
                <c:pt idx="2">
                  <c:v>73.19</c:v>
                </c:pt>
                <c:pt idx="3">
                  <c:v>90.5</c:v>
                </c:pt>
                <c:pt idx="4">
                  <c:v>84.18</c:v>
                </c:pt>
                <c:pt idx="8">
                  <c:v>59.75</c:v>
                </c:pt>
                <c:pt idx="9">
                  <c:v>63.63</c:v>
                </c:pt>
                <c:pt idx="10">
                  <c:v>72.66</c:v>
                </c:pt>
                <c:pt idx="11">
                  <c:v>70.56</c:v>
                </c:pt>
                <c:pt idx="12">
                  <c:v>74.3</c:v>
                </c:pt>
                <c:pt idx="16">
                  <c:v>55.09</c:v>
                </c:pt>
                <c:pt idx="17">
                  <c:v>62.41</c:v>
                </c:pt>
                <c:pt idx="18">
                  <c:v>73.3</c:v>
                </c:pt>
                <c:pt idx="19">
                  <c:v>76.39</c:v>
                </c:pt>
                <c:pt idx="20">
                  <c:v>75.92</c:v>
                </c:pt>
                <c:pt idx="24">
                  <c:v>76.14</c:v>
                </c:pt>
                <c:pt idx="25">
                  <c:v>84.45</c:v>
                </c:pt>
                <c:pt idx="26">
                  <c:v>91.27</c:v>
                </c:pt>
                <c:pt idx="27">
                  <c:v>83.06</c:v>
                </c:pt>
                <c:pt idx="31">
                  <c:v>65.28</c:v>
                </c:pt>
                <c:pt idx="32">
                  <c:v>78.73</c:v>
                </c:pt>
                <c:pt idx="33">
                  <c:v>75.36</c:v>
                </c:pt>
                <c:pt idx="37">
                  <c:v>59.96</c:v>
                </c:pt>
                <c:pt idx="38">
                  <c:v>71.72</c:v>
                </c:pt>
                <c:pt idx="39">
                  <c:v>71.569999999999993</c:v>
                </c:pt>
                <c:pt idx="40">
                  <c:v>72.13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9-4CD7-B689-2189DAC0B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27984"/>
        <c:axId val="1117630064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All!$U$6:$U$50</c:f>
              <c:numCache>
                <c:formatCode>General</c:formatCode>
                <c:ptCount val="45"/>
                <c:pt idx="0">
                  <c:v>60.28</c:v>
                </c:pt>
                <c:pt idx="1">
                  <c:v>60.444000000000003</c:v>
                </c:pt>
                <c:pt idx="2">
                  <c:v>60.557000000000002</c:v>
                </c:pt>
                <c:pt idx="3">
                  <c:v>60.509</c:v>
                </c:pt>
                <c:pt idx="4">
                  <c:v>60.496000000000002</c:v>
                </c:pt>
                <c:pt idx="8">
                  <c:v>61.497999999999998</c:v>
                </c:pt>
                <c:pt idx="9">
                  <c:v>60.412999999999997</c:v>
                </c:pt>
                <c:pt idx="10">
                  <c:v>60.43</c:v>
                </c:pt>
                <c:pt idx="11">
                  <c:v>60.451999999999998</c:v>
                </c:pt>
                <c:pt idx="12">
                  <c:v>60.576000000000001</c:v>
                </c:pt>
                <c:pt idx="16">
                  <c:v>60.917000000000002</c:v>
                </c:pt>
                <c:pt idx="17">
                  <c:v>60.054000000000002</c:v>
                </c:pt>
                <c:pt idx="18">
                  <c:v>60.319000000000003</c:v>
                </c:pt>
                <c:pt idx="19">
                  <c:v>60.238</c:v>
                </c:pt>
                <c:pt idx="20">
                  <c:v>60.814999999999998</c:v>
                </c:pt>
                <c:pt idx="24">
                  <c:v>60.688000000000002</c:v>
                </c:pt>
                <c:pt idx="25">
                  <c:v>60.088000000000001</c:v>
                </c:pt>
                <c:pt idx="26">
                  <c:v>60.052999999999997</c:v>
                </c:pt>
                <c:pt idx="27">
                  <c:v>60.338000000000001</c:v>
                </c:pt>
                <c:pt idx="31">
                  <c:v>61.334000000000003</c:v>
                </c:pt>
                <c:pt idx="32">
                  <c:v>60.177</c:v>
                </c:pt>
                <c:pt idx="33">
                  <c:v>60.167000000000002</c:v>
                </c:pt>
                <c:pt idx="37">
                  <c:v>60.444000000000003</c:v>
                </c:pt>
                <c:pt idx="38">
                  <c:v>60.015000000000001</c:v>
                </c:pt>
                <c:pt idx="39">
                  <c:v>60.109000000000002</c:v>
                </c:pt>
                <c:pt idx="40">
                  <c:v>60.433999999999997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59-4CD7-B689-2189DAC0B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9632"/>
        <c:axId val="1117643792"/>
      </c:scatterChart>
      <c:valAx>
        <c:axId val="1117627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0064"/>
        <c:crosses val="autoZero"/>
        <c:crossBetween val="midCat"/>
      </c:valAx>
      <c:valAx>
        <c:axId val="1117630064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7984"/>
        <c:crosses val="autoZero"/>
        <c:crossBetween val="midCat"/>
      </c:valAx>
      <c:valAx>
        <c:axId val="1117643792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9632"/>
        <c:crosses val="max"/>
        <c:crossBetween val="midCat"/>
      </c:valAx>
      <c:valAx>
        <c:axId val="1117639632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3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All!$BN$6:$BN$50</c:f>
              <c:numCache>
                <c:formatCode>General</c:formatCode>
                <c:ptCount val="45"/>
                <c:pt idx="0">
                  <c:v>77.944000000000003</c:v>
                </c:pt>
                <c:pt idx="1">
                  <c:v>94.567999999999998</c:v>
                </c:pt>
                <c:pt idx="2">
                  <c:v>95.927999999999997</c:v>
                </c:pt>
                <c:pt idx="3">
                  <c:v>94.712000000000003</c:v>
                </c:pt>
                <c:pt idx="4">
                  <c:v>109.496</c:v>
                </c:pt>
                <c:pt idx="8">
                  <c:v>132.63200000000001</c:v>
                </c:pt>
                <c:pt idx="9">
                  <c:v>98.903999999999996</c:v>
                </c:pt>
                <c:pt idx="10">
                  <c:v>99.944000000000003</c:v>
                </c:pt>
                <c:pt idx="11">
                  <c:v>103.032</c:v>
                </c:pt>
                <c:pt idx="12">
                  <c:v>117.464</c:v>
                </c:pt>
                <c:pt idx="16">
                  <c:v>133.672</c:v>
                </c:pt>
                <c:pt idx="17">
                  <c:v>128.072</c:v>
                </c:pt>
                <c:pt idx="18">
                  <c:v>115.048</c:v>
                </c:pt>
                <c:pt idx="19">
                  <c:v>102.392</c:v>
                </c:pt>
                <c:pt idx="20">
                  <c:v>118.92</c:v>
                </c:pt>
                <c:pt idx="24">
                  <c:v>80.391999999999996</c:v>
                </c:pt>
                <c:pt idx="25">
                  <c:v>95.671999999999997</c:v>
                </c:pt>
                <c:pt idx="26">
                  <c:v>97.24</c:v>
                </c:pt>
                <c:pt idx="27">
                  <c:v>109.176</c:v>
                </c:pt>
                <c:pt idx="31">
                  <c:v>128.66399999999999</c:v>
                </c:pt>
                <c:pt idx="32">
                  <c:v>100.47199999999999</c:v>
                </c:pt>
                <c:pt idx="33">
                  <c:v>115.91200000000001</c:v>
                </c:pt>
                <c:pt idx="37">
                  <c:v>131.99199999999999</c:v>
                </c:pt>
                <c:pt idx="38">
                  <c:v>96.855999999999995</c:v>
                </c:pt>
                <c:pt idx="39">
                  <c:v>98.792000000000002</c:v>
                </c:pt>
                <c:pt idx="40">
                  <c:v>107.72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8-4F4B-BC60-2BF45D44A237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All!$BO$6:$BO$50</c:f>
              <c:numCache>
                <c:formatCode>General</c:formatCode>
                <c:ptCount val="45"/>
                <c:pt idx="0">
                  <c:v>75.784000000000006</c:v>
                </c:pt>
                <c:pt idx="1">
                  <c:v>94.231999999999999</c:v>
                </c:pt>
                <c:pt idx="2">
                  <c:v>97.016000000000005</c:v>
                </c:pt>
                <c:pt idx="3">
                  <c:v>95.304000000000002</c:v>
                </c:pt>
                <c:pt idx="4">
                  <c:v>108.63200000000001</c:v>
                </c:pt>
                <c:pt idx="8">
                  <c:v>133.4</c:v>
                </c:pt>
                <c:pt idx="9">
                  <c:v>99.575999999999993</c:v>
                </c:pt>
                <c:pt idx="10">
                  <c:v>102.52</c:v>
                </c:pt>
                <c:pt idx="11">
                  <c:v>107.08</c:v>
                </c:pt>
                <c:pt idx="12">
                  <c:v>120.47199999999999</c:v>
                </c:pt>
                <c:pt idx="16">
                  <c:v>139.68799999999999</c:v>
                </c:pt>
                <c:pt idx="17">
                  <c:v>130.26400000000001</c:v>
                </c:pt>
                <c:pt idx="18">
                  <c:v>117.64</c:v>
                </c:pt>
                <c:pt idx="19">
                  <c:v>104.024</c:v>
                </c:pt>
                <c:pt idx="20">
                  <c:v>121.752</c:v>
                </c:pt>
                <c:pt idx="24">
                  <c:v>80.087999999999994</c:v>
                </c:pt>
                <c:pt idx="25">
                  <c:v>95.896000000000001</c:v>
                </c:pt>
                <c:pt idx="26">
                  <c:v>97.784000000000006</c:v>
                </c:pt>
                <c:pt idx="27">
                  <c:v>109.08</c:v>
                </c:pt>
                <c:pt idx="31">
                  <c:v>127.16</c:v>
                </c:pt>
                <c:pt idx="32">
                  <c:v>99.128</c:v>
                </c:pt>
                <c:pt idx="33">
                  <c:v>120.47199999999999</c:v>
                </c:pt>
                <c:pt idx="37">
                  <c:v>139.19200000000001</c:v>
                </c:pt>
                <c:pt idx="38">
                  <c:v>98.152000000000001</c:v>
                </c:pt>
                <c:pt idx="39">
                  <c:v>98.2</c:v>
                </c:pt>
                <c:pt idx="40">
                  <c:v>109.27200000000001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88-4F4B-BC60-2BF45D44A237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All!$BP$6:$BP$50</c:f>
              <c:numCache>
                <c:formatCode>General</c:formatCode>
                <c:ptCount val="45"/>
                <c:pt idx="0">
                  <c:v>92.6</c:v>
                </c:pt>
                <c:pt idx="1">
                  <c:v>112.04</c:v>
                </c:pt>
                <c:pt idx="2">
                  <c:v>111.91200000000001</c:v>
                </c:pt>
                <c:pt idx="3">
                  <c:v>114.872</c:v>
                </c:pt>
                <c:pt idx="4">
                  <c:v>127.4</c:v>
                </c:pt>
                <c:pt idx="8">
                  <c:v>126.248</c:v>
                </c:pt>
                <c:pt idx="9">
                  <c:v>116.42400000000001</c:v>
                </c:pt>
                <c:pt idx="10">
                  <c:v>121.752</c:v>
                </c:pt>
                <c:pt idx="11">
                  <c:v>122.024</c:v>
                </c:pt>
                <c:pt idx="12">
                  <c:v>132.77600000000001</c:v>
                </c:pt>
                <c:pt idx="16">
                  <c:v>129.72</c:v>
                </c:pt>
                <c:pt idx="17">
                  <c:v>148.52000000000001</c:v>
                </c:pt>
                <c:pt idx="18">
                  <c:v>137.36799999999999</c:v>
                </c:pt>
                <c:pt idx="19">
                  <c:v>124.712</c:v>
                </c:pt>
                <c:pt idx="20">
                  <c:v>144.24799999999999</c:v>
                </c:pt>
                <c:pt idx="24">
                  <c:v>96.936000000000007</c:v>
                </c:pt>
                <c:pt idx="25">
                  <c:v>124.84</c:v>
                </c:pt>
                <c:pt idx="26">
                  <c:v>128.93600000000001</c:v>
                </c:pt>
                <c:pt idx="27">
                  <c:v>125.8</c:v>
                </c:pt>
                <c:pt idx="31">
                  <c:v>127.032</c:v>
                </c:pt>
                <c:pt idx="32">
                  <c:v>123.11199999999999</c:v>
                </c:pt>
                <c:pt idx="33">
                  <c:v>134.55199999999999</c:v>
                </c:pt>
                <c:pt idx="37">
                  <c:v>134.584</c:v>
                </c:pt>
                <c:pt idx="38">
                  <c:v>117.464</c:v>
                </c:pt>
                <c:pt idx="39">
                  <c:v>115.416</c:v>
                </c:pt>
                <c:pt idx="40">
                  <c:v>118.872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88-4F4B-BC60-2BF45D44A237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All!$BQ$6:$BQ$50</c:f>
              <c:numCache>
                <c:formatCode>General</c:formatCode>
                <c:ptCount val="45"/>
                <c:pt idx="0">
                  <c:v>94.376000000000005</c:v>
                </c:pt>
                <c:pt idx="1">
                  <c:v>115.416</c:v>
                </c:pt>
                <c:pt idx="2">
                  <c:v>117.91200000000001</c:v>
                </c:pt>
                <c:pt idx="3">
                  <c:v>119.512</c:v>
                </c:pt>
                <c:pt idx="4">
                  <c:v>131.72</c:v>
                </c:pt>
                <c:pt idx="8">
                  <c:v>131.89599999999999</c:v>
                </c:pt>
                <c:pt idx="9">
                  <c:v>121.11199999999999</c:v>
                </c:pt>
                <c:pt idx="10">
                  <c:v>126.712</c:v>
                </c:pt>
                <c:pt idx="11">
                  <c:v>126.88800000000001</c:v>
                </c:pt>
                <c:pt idx="12">
                  <c:v>134.136</c:v>
                </c:pt>
                <c:pt idx="16">
                  <c:v>131.864</c:v>
                </c:pt>
                <c:pt idx="17">
                  <c:v>147.624</c:v>
                </c:pt>
                <c:pt idx="18">
                  <c:v>140.96799999999999</c:v>
                </c:pt>
                <c:pt idx="19">
                  <c:v>130.12</c:v>
                </c:pt>
                <c:pt idx="20">
                  <c:v>148.71199999999999</c:v>
                </c:pt>
                <c:pt idx="24">
                  <c:v>100.84</c:v>
                </c:pt>
                <c:pt idx="25">
                  <c:v>129.08000000000001</c:v>
                </c:pt>
                <c:pt idx="26">
                  <c:v>133.672</c:v>
                </c:pt>
                <c:pt idx="27">
                  <c:v>130.68</c:v>
                </c:pt>
                <c:pt idx="31">
                  <c:v>130.68</c:v>
                </c:pt>
                <c:pt idx="32">
                  <c:v>125.57599999999999</c:v>
                </c:pt>
                <c:pt idx="33">
                  <c:v>135</c:v>
                </c:pt>
                <c:pt idx="37">
                  <c:v>135.17599999999999</c:v>
                </c:pt>
                <c:pt idx="38">
                  <c:v>121.928</c:v>
                </c:pt>
                <c:pt idx="39">
                  <c:v>120.056</c:v>
                </c:pt>
                <c:pt idx="40">
                  <c:v>120.92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88-4F4B-BC60-2BF45D44A237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All!$CP$6:$CP$50</c:f>
              <c:numCache>
                <c:formatCode>General</c:formatCode>
                <c:ptCount val="45"/>
                <c:pt idx="0">
                  <c:v>35.908000000000001</c:v>
                </c:pt>
                <c:pt idx="1">
                  <c:v>86.096000000000004</c:v>
                </c:pt>
                <c:pt idx="2">
                  <c:v>91.620999999999995</c:v>
                </c:pt>
                <c:pt idx="3">
                  <c:v>91.215999999999994</c:v>
                </c:pt>
                <c:pt idx="4">
                  <c:v>93.465000000000003</c:v>
                </c:pt>
                <c:pt idx="8">
                  <c:v>105.851</c:v>
                </c:pt>
                <c:pt idx="9">
                  <c:v>94.066000000000003</c:v>
                </c:pt>
                <c:pt idx="10">
                  <c:v>95.63</c:v>
                </c:pt>
                <c:pt idx="11">
                  <c:v>96.852999999999994</c:v>
                </c:pt>
                <c:pt idx="12">
                  <c:v>96.768000000000001</c:v>
                </c:pt>
                <c:pt idx="16">
                  <c:v>109.23399999999999</c:v>
                </c:pt>
                <c:pt idx="17">
                  <c:v>109.16</c:v>
                </c:pt>
                <c:pt idx="18">
                  <c:v>100.672</c:v>
                </c:pt>
                <c:pt idx="19">
                  <c:v>95.433000000000007</c:v>
                </c:pt>
                <c:pt idx="20">
                  <c:v>94.742000000000004</c:v>
                </c:pt>
                <c:pt idx="24">
                  <c:v>60.435000000000002</c:v>
                </c:pt>
                <c:pt idx="25">
                  <c:v>86.918999999999997</c:v>
                </c:pt>
                <c:pt idx="26">
                  <c:v>92.492999999999995</c:v>
                </c:pt>
                <c:pt idx="27">
                  <c:v>94.141999999999996</c:v>
                </c:pt>
                <c:pt idx="31">
                  <c:v>105.846</c:v>
                </c:pt>
                <c:pt idx="32">
                  <c:v>95.4</c:v>
                </c:pt>
                <c:pt idx="33">
                  <c:v>97.188000000000002</c:v>
                </c:pt>
                <c:pt idx="37">
                  <c:v>105.282</c:v>
                </c:pt>
                <c:pt idx="38">
                  <c:v>92.578000000000003</c:v>
                </c:pt>
                <c:pt idx="39">
                  <c:v>93.757000000000005</c:v>
                </c:pt>
                <c:pt idx="40">
                  <c:v>87.899000000000001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88-4F4B-BC60-2BF45D44A237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All!$CQ$6:$CQ$50</c:f>
              <c:numCache>
                <c:formatCode>General</c:formatCode>
                <c:ptCount val="45"/>
                <c:pt idx="0">
                  <c:v>34.481000000000002</c:v>
                </c:pt>
                <c:pt idx="1">
                  <c:v>86.427000000000007</c:v>
                </c:pt>
                <c:pt idx="2">
                  <c:v>92.914000000000001</c:v>
                </c:pt>
                <c:pt idx="3">
                  <c:v>92.259</c:v>
                </c:pt>
                <c:pt idx="4">
                  <c:v>93.841999999999999</c:v>
                </c:pt>
                <c:pt idx="8">
                  <c:v>106.821</c:v>
                </c:pt>
                <c:pt idx="9">
                  <c:v>96</c:v>
                </c:pt>
                <c:pt idx="10">
                  <c:v>98.686000000000007</c:v>
                </c:pt>
                <c:pt idx="11">
                  <c:v>99.968999999999994</c:v>
                </c:pt>
                <c:pt idx="12">
                  <c:v>99.141000000000005</c:v>
                </c:pt>
                <c:pt idx="16">
                  <c:v>112.61799999999999</c:v>
                </c:pt>
                <c:pt idx="17">
                  <c:v>110.755</c:v>
                </c:pt>
                <c:pt idx="18">
                  <c:v>103.505</c:v>
                </c:pt>
                <c:pt idx="19">
                  <c:v>97.16</c:v>
                </c:pt>
                <c:pt idx="20">
                  <c:v>98.176000000000002</c:v>
                </c:pt>
                <c:pt idx="24">
                  <c:v>61.542999999999999</c:v>
                </c:pt>
                <c:pt idx="25">
                  <c:v>88.278999999999996</c:v>
                </c:pt>
                <c:pt idx="26">
                  <c:v>93.641000000000005</c:v>
                </c:pt>
                <c:pt idx="27">
                  <c:v>94.671999999999997</c:v>
                </c:pt>
                <c:pt idx="31">
                  <c:v>105.628</c:v>
                </c:pt>
                <c:pt idx="32">
                  <c:v>95.899000000000001</c:v>
                </c:pt>
                <c:pt idx="33">
                  <c:v>98.480999999999995</c:v>
                </c:pt>
                <c:pt idx="37">
                  <c:v>108.79900000000001</c:v>
                </c:pt>
                <c:pt idx="38">
                  <c:v>93.799000000000007</c:v>
                </c:pt>
                <c:pt idx="39">
                  <c:v>94.307000000000002</c:v>
                </c:pt>
                <c:pt idx="40">
                  <c:v>89.2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88-4F4B-BC60-2BF45D44A237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All!$CR$6:$CR$50</c:f>
              <c:numCache>
                <c:formatCode>General</c:formatCode>
                <c:ptCount val="45"/>
                <c:pt idx="0">
                  <c:v>39.75</c:v>
                </c:pt>
                <c:pt idx="1">
                  <c:v>102.047</c:v>
                </c:pt>
                <c:pt idx="2">
                  <c:v>105.651</c:v>
                </c:pt>
                <c:pt idx="3">
                  <c:v>106.741</c:v>
                </c:pt>
                <c:pt idx="4">
                  <c:v>114.06100000000001</c:v>
                </c:pt>
                <c:pt idx="8">
                  <c:v>109.239</c:v>
                </c:pt>
                <c:pt idx="9">
                  <c:v>106.97799999999999</c:v>
                </c:pt>
                <c:pt idx="10">
                  <c:v>114.602</c:v>
                </c:pt>
                <c:pt idx="11">
                  <c:v>114.70399999999999</c:v>
                </c:pt>
                <c:pt idx="12">
                  <c:v>116.035</c:v>
                </c:pt>
                <c:pt idx="16">
                  <c:v>110.258</c:v>
                </c:pt>
                <c:pt idx="17">
                  <c:v>124.80800000000001</c:v>
                </c:pt>
                <c:pt idx="18">
                  <c:v>122.47799999999999</c:v>
                </c:pt>
                <c:pt idx="19">
                  <c:v>113.148</c:v>
                </c:pt>
                <c:pt idx="20">
                  <c:v>115.286</c:v>
                </c:pt>
                <c:pt idx="24">
                  <c:v>71.962999999999994</c:v>
                </c:pt>
                <c:pt idx="25">
                  <c:v>110.631</c:v>
                </c:pt>
                <c:pt idx="26">
                  <c:v>121.28</c:v>
                </c:pt>
                <c:pt idx="27">
                  <c:v>118.43</c:v>
                </c:pt>
                <c:pt idx="31">
                  <c:v>107.294</c:v>
                </c:pt>
                <c:pt idx="32">
                  <c:v>110.965</c:v>
                </c:pt>
                <c:pt idx="33">
                  <c:v>119.557</c:v>
                </c:pt>
                <c:pt idx="37">
                  <c:v>113.35</c:v>
                </c:pt>
                <c:pt idx="38">
                  <c:v>109.032</c:v>
                </c:pt>
                <c:pt idx="39">
                  <c:v>109.367</c:v>
                </c:pt>
                <c:pt idx="40">
                  <c:v>96.882999999999996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88-4F4B-BC60-2BF45D44A237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All!$CS$6:$CS$50</c:f>
              <c:numCache>
                <c:formatCode>General</c:formatCode>
                <c:ptCount val="45"/>
                <c:pt idx="0">
                  <c:v>37.417000000000002</c:v>
                </c:pt>
                <c:pt idx="1">
                  <c:v>106.348</c:v>
                </c:pt>
                <c:pt idx="2">
                  <c:v>112.014</c:v>
                </c:pt>
                <c:pt idx="3">
                  <c:v>113.67700000000001</c:v>
                </c:pt>
                <c:pt idx="4">
                  <c:v>120.34</c:v>
                </c:pt>
                <c:pt idx="8">
                  <c:v>115.483</c:v>
                </c:pt>
                <c:pt idx="9">
                  <c:v>114.32</c:v>
                </c:pt>
                <c:pt idx="10">
                  <c:v>120.753</c:v>
                </c:pt>
                <c:pt idx="11">
                  <c:v>120.866</c:v>
                </c:pt>
                <c:pt idx="12">
                  <c:v>121.15300000000001</c:v>
                </c:pt>
                <c:pt idx="16">
                  <c:v>113.425</c:v>
                </c:pt>
                <c:pt idx="17">
                  <c:v>126.488</c:v>
                </c:pt>
                <c:pt idx="18">
                  <c:v>127.776</c:v>
                </c:pt>
                <c:pt idx="19">
                  <c:v>120.87</c:v>
                </c:pt>
                <c:pt idx="20">
                  <c:v>120.45399999999999</c:v>
                </c:pt>
                <c:pt idx="24">
                  <c:v>73.867000000000004</c:v>
                </c:pt>
                <c:pt idx="25">
                  <c:v>116.056</c:v>
                </c:pt>
                <c:pt idx="26">
                  <c:v>127.18</c:v>
                </c:pt>
                <c:pt idx="27">
                  <c:v>124.753</c:v>
                </c:pt>
                <c:pt idx="31">
                  <c:v>111.90600000000001</c:v>
                </c:pt>
                <c:pt idx="32">
                  <c:v>116.298</c:v>
                </c:pt>
                <c:pt idx="33">
                  <c:v>122.593</c:v>
                </c:pt>
                <c:pt idx="37">
                  <c:v>116.307</c:v>
                </c:pt>
                <c:pt idx="38">
                  <c:v>115.566</c:v>
                </c:pt>
                <c:pt idx="39">
                  <c:v>113.54600000000001</c:v>
                </c:pt>
                <c:pt idx="40">
                  <c:v>99.947999999999993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88-4F4B-BC60-2BF45D44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8000"/>
        <c:axId val="1117631312"/>
      </c:scatterChart>
      <c:valAx>
        <c:axId val="111761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1312"/>
        <c:crosses val="autoZero"/>
        <c:crossBetween val="midCat"/>
      </c:valAx>
      <c:valAx>
        <c:axId val="1117631312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[mm/lap]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Brk_Wear_FL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All!$IQ$6:$IQ$50</c:f>
              <c:numCache>
                <c:formatCode>General</c:formatCode>
                <c:ptCount val="45"/>
                <c:pt idx="0">
                  <c:v>2.9000000000000001E-2</c:v>
                </c:pt>
                <c:pt idx="1">
                  <c:v>1.0999999999999999E-2</c:v>
                </c:pt>
                <c:pt idx="2">
                  <c:v>8.9999999999999993E-3</c:v>
                </c:pt>
                <c:pt idx="3">
                  <c:v>7.0000000000000001E-3</c:v>
                </c:pt>
                <c:pt idx="4">
                  <c:v>0</c:v>
                </c:pt>
                <c:pt idx="8">
                  <c:v>3.0000000000000001E-3</c:v>
                </c:pt>
                <c:pt idx="9">
                  <c:v>5.0000000000000001E-3</c:v>
                </c:pt>
                <c:pt idx="10">
                  <c:v>4.0000000000000001E-3</c:v>
                </c:pt>
                <c:pt idx="11">
                  <c:v>8.9999999999999993E-3</c:v>
                </c:pt>
                <c:pt idx="12">
                  <c:v>0</c:v>
                </c:pt>
                <c:pt idx="16">
                  <c:v>8.9999999999999993E-3</c:v>
                </c:pt>
                <c:pt idx="17">
                  <c:v>6.0000000000000001E-3</c:v>
                </c:pt>
                <c:pt idx="18">
                  <c:v>2E-3</c:v>
                </c:pt>
                <c:pt idx="19">
                  <c:v>1.2999999999999999E-2</c:v>
                </c:pt>
                <c:pt idx="20">
                  <c:v>0</c:v>
                </c:pt>
                <c:pt idx="24">
                  <c:v>1.4999999999999999E-2</c:v>
                </c:pt>
                <c:pt idx="25">
                  <c:v>1.2E-2</c:v>
                </c:pt>
                <c:pt idx="26">
                  <c:v>0.01</c:v>
                </c:pt>
                <c:pt idx="27">
                  <c:v>0</c:v>
                </c:pt>
                <c:pt idx="31">
                  <c:v>3.0000000000000001E-3</c:v>
                </c:pt>
                <c:pt idx="32">
                  <c:v>8.0000000000000002E-3</c:v>
                </c:pt>
                <c:pt idx="33">
                  <c:v>0</c:v>
                </c:pt>
                <c:pt idx="37">
                  <c:v>0.01</c:v>
                </c:pt>
                <c:pt idx="38">
                  <c:v>8.9999999999999993E-3</c:v>
                </c:pt>
                <c:pt idx="39">
                  <c:v>1.4999999999999999E-2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77-4CFC-878C-051E22D9BEAB}"/>
            </c:ext>
          </c:extLst>
        </c:ser>
        <c:ser>
          <c:idx val="1"/>
          <c:order val="1"/>
          <c:tx>
            <c:v>Lap-Diff Brk_Wear_FR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All!$IR$6:$IR$50</c:f>
              <c:numCache>
                <c:formatCode>General</c:formatCode>
                <c:ptCount val="45"/>
                <c:pt idx="0">
                  <c:v>4.2000000000000003E-2</c:v>
                </c:pt>
                <c:pt idx="1">
                  <c:v>0.01</c:v>
                </c:pt>
                <c:pt idx="2">
                  <c:v>6.0000000000000001E-3</c:v>
                </c:pt>
                <c:pt idx="3">
                  <c:v>5.0000000000000001E-3</c:v>
                </c:pt>
                <c:pt idx="4">
                  <c:v>0</c:v>
                </c:pt>
                <c:pt idx="8">
                  <c:v>-1E-3</c:v>
                </c:pt>
                <c:pt idx="9">
                  <c:v>7.0000000000000001E-3</c:v>
                </c:pt>
                <c:pt idx="10">
                  <c:v>1E-3</c:v>
                </c:pt>
                <c:pt idx="11">
                  <c:v>7.0000000000000001E-3</c:v>
                </c:pt>
                <c:pt idx="12">
                  <c:v>0</c:v>
                </c:pt>
                <c:pt idx="16">
                  <c:v>4.0000000000000001E-3</c:v>
                </c:pt>
                <c:pt idx="17">
                  <c:v>6.0000000000000001E-3</c:v>
                </c:pt>
                <c:pt idx="18">
                  <c:v>4.0000000000000001E-3</c:v>
                </c:pt>
                <c:pt idx="19">
                  <c:v>7.0000000000000001E-3</c:v>
                </c:pt>
                <c:pt idx="20">
                  <c:v>0</c:v>
                </c:pt>
                <c:pt idx="24">
                  <c:v>1E-3</c:v>
                </c:pt>
                <c:pt idx="25">
                  <c:v>0</c:v>
                </c:pt>
                <c:pt idx="26">
                  <c:v>7.0000000000000001E-3</c:v>
                </c:pt>
                <c:pt idx="27">
                  <c:v>0</c:v>
                </c:pt>
                <c:pt idx="31">
                  <c:v>4.0000000000000001E-3</c:v>
                </c:pt>
                <c:pt idx="32">
                  <c:v>4.0000000000000001E-3</c:v>
                </c:pt>
                <c:pt idx="33">
                  <c:v>0</c:v>
                </c:pt>
                <c:pt idx="37">
                  <c:v>5.0000000000000001E-3</c:v>
                </c:pt>
                <c:pt idx="38">
                  <c:v>6.0000000000000001E-3</c:v>
                </c:pt>
                <c:pt idx="39">
                  <c:v>8.0000000000000002E-3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77-4CFC-878C-051E22D9B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6304"/>
        <c:axId val="1117615920"/>
      </c:scatterChart>
      <c:valAx>
        <c:axId val="11176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920"/>
        <c:crosses val="autoZero"/>
        <c:crossBetween val="midCat"/>
      </c:valAx>
      <c:valAx>
        <c:axId val="1117615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wear total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Disk wear 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All!$IS$6:$IS$50</c:f>
              <c:numCache>
                <c:formatCode>General</c:formatCode>
                <c:ptCount val="45"/>
                <c:pt idx="0">
                  <c:v>2.9000000000000001E-2</c:v>
                </c:pt>
                <c:pt idx="1">
                  <c:v>0.22500000000000001</c:v>
                </c:pt>
                <c:pt idx="2">
                  <c:v>0.23400000000000001</c:v>
                </c:pt>
                <c:pt idx="3">
                  <c:v>0.24100000000000002</c:v>
                </c:pt>
                <c:pt idx="4">
                  <c:v>0.24100000000000002</c:v>
                </c:pt>
                <c:pt idx="5">
                  <c:v>0.24100000000000002</c:v>
                </c:pt>
                <c:pt idx="6">
                  <c:v>0.24100000000000002</c:v>
                </c:pt>
                <c:pt idx="7">
                  <c:v>0.24100000000000002</c:v>
                </c:pt>
                <c:pt idx="8">
                  <c:v>0.24100000000000002</c:v>
                </c:pt>
                <c:pt idx="9">
                  <c:v>0.24600000000000002</c:v>
                </c:pt>
                <c:pt idx="10">
                  <c:v>0.25</c:v>
                </c:pt>
                <c:pt idx="11">
                  <c:v>0.25900000000000001</c:v>
                </c:pt>
                <c:pt idx="12">
                  <c:v>0.25900000000000001</c:v>
                </c:pt>
                <c:pt idx="13">
                  <c:v>0.25900000000000001</c:v>
                </c:pt>
                <c:pt idx="14">
                  <c:v>0.25900000000000001</c:v>
                </c:pt>
                <c:pt idx="15">
                  <c:v>0.25900000000000001</c:v>
                </c:pt>
                <c:pt idx="16">
                  <c:v>0.25900000000000001</c:v>
                </c:pt>
                <c:pt idx="17">
                  <c:v>0.26500000000000001</c:v>
                </c:pt>
                <c:pt idx="18">
                  <c:v>0.26700000000000002</c:v>
                </c:pt>
                <c:pt idx="19">
                  <c:v>0.28000000000000003</c:v>
                </c:pt>
                <c:pt idx="20">
                  <c:v>0.28000000000000003</c:v>
                </c:pt>
                <c:pt idx="21">
                  <c:v>0.28000000000000003</c:v>
                </c:pt>
                <c:pt idx="22">
                  <c:v>0.28000000000000003</c:v>
                </c:pt>
                <c:pt idx="23">
                  <c:v>0.28000000000000003</c:v>
                </c:pt>
                <c:pt idx="24">
                  <c:v>0.28000000000000003</c:v>
                </c:pt>
                <c:pt idx="25">
                  <c:v>0.29200000000000004</c:v>
                </c:pt>
                <c:pt idx="26">
                  <c:v>0.30200000000000005</c:v>
                </c:pt>
                <c:pt idx="27">
                  <c:v>0.30200000000000005</c:v>
                </c:pt>
                <c:pt idx="28">
                  <c:v>0.30200000000000005</c:v>
                </c:pt>
                <c:pt idx="29">
                  <c:v>0.30200000000000005</c:v>
                </c:pt>
                <c:pt idx="30">
                  <c:v>0.30200000000000005</c:v>
                </c:pt>
                <c:pt idx="31">
                  <c:v>0.30200000000000005</c:v>
                </c:pt>
                <c:pt idx="32">
                  <c:v>0.31000000000000005</c:v>
                </c:pt>
                <c:pt idx="33">
                  <c:v>0.31000000000000005</c:v>
                </c:pt>
                <c:pt idx="34">
                  <c:v>0.31000000000000005</c:v>
                </c:pt>
                <c:pt idx="35">
                  <c:v>0.31000000000000005</c:v>
                </c:pt>
                <c:pt idx="36">
                  <c:v>0.31000000000000005</c:v>
                </c:pt>
                <c:pt idx="37">
                  <c:v>0.31000000000000005</c:v>
                </c:pt>
                <c:pt idx="38">
                  <c:v>0.31900000000000006</c:v>
                </c:pt>
                <c:pt idx="39">
                  <c:v>0.33400000000000007</c:v>
                </c:pt>
                <c:pt idx="40">
                  <c:v>0.33400000000000007</c:v>
                </c:pt>
                <c:pt idx="41">
                  <c:v>0.33400000000000007</c:v>
                </c:pt>
                <c:pt idx="42">
                  <c:v>0.33400000000000007</c:v>
                </c:pt>
                <c:pt idx="43">
                  <c:v>0.33400000000000007</c:v>
                </c:pt>
                <c:pt idx="44">
                  <c:v>0.33400000000000007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5E-4DF7-91FB-4F6F61FB7953}"/>
            </c:ext>
          </c:extLst>
        </c:ser>
        <c:ser>
          <c:idx val="1"/>
          <c:order val="1"/>
          <c:tx>
            <c:v>Disk wear 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All!$IT$6:$IT$50</c:f>
              <c:numCache>
                <c:formatCode>General</c:formatCode>
                <c:ptCount val="45"/>
                <c:pt idx="0">
                  <c:v>4.2000000000000003E-2</c:v>
                </c:pt>
                <c:pt idx="1">
                  <c:v>9.9000000000000005E-2</c:v>
                </c:pt>
                <c:pt idx="2">
                  <c:v>0.10500000000000001</c:v>
                </c:pt>
                <c:pt idx="3">
                  <c:v>0.11000000000000001</c:v>
                </c:pt>
                <c:pt idx="4">
                  <c:v>0.11000000000000001</c:v>
                </c:pt>
                <c:pt idx="5">
                  <c:v>0.11000000000000001</c:v>
                </c:pt>
                <c:pt idx="6">
                  <c:v>0.11000000000000001</c:v>
                </c:pt>
                <c:pt idx="7">
                  <c:v>0.11000000000000001</c:v>
                </c:pt>
                <c:pt idx="8">
                  <c:v>0.11000000000000001</c:v>
                </c:pt>
                <c:pt idx="9">
                  <c:v>0.11700000000000002</c:v>
                </c:pt>
                <c:pt idx="10">
                  <c:v>0.11800000000000002</c:v>
                </c:pt>
                <c:pt idx="11">
                  <c:v>0.12500000000000003</c:v>
                </c:pt>
                <c:pt idx="12">
                  <c:v>0.12500000000000003</c:v>
                </c:pt>
                <c:pt idx="13">
                  <c:v>0.12500000000000003</c:v>
                </c:pt>
                <c:pt idx="14">
                  <c:v>0.12500000000000003</c:v>
                </c:pt>
                <c:pt idx="15">
                  <c:v>0.12500000000000003</c:v>
                </c:pt>
                <c:pt idx="16">
                  <c:v>0.12500000000000003</c:v>
                </c:pt>
                <c:pt idx="17">
                  <c:v>0.13100000000000003</c:v>
                </c:pt>
                <c:pt idx="18">
                  <c:v>0.13500000000000004</c:v>
                </c:pt>
                <c:pt idx="19">
                  <c:v>0.14200000000000004</c:v>
                </c:pt>
                <c:pt idx="20">
                  <c:v>0.14200000000000004</c:v>
                </c:pt>
                <c:pt idx="21">
                  <c:v>0.14200000000000004</c:v>
                </c:pt>
                <c:pt idx="22">
                  <c:v>0.14200000000000004</c:v>
                </c:pt>
                <c:pt idx="23">
                  <c:v>0.14200000000000004</c:v>
                </c:pt>
                <c:pt idx="24">
                  <c:v>0.14200000000000004</c:v>
                </c:pt>
                <c:pt idx="25">
                  <c:v>0.14200000000000004</c:v>
                </c:pt>
                <c:pt idx="26">
                  <c:v>0.14900000000000005</c:v>
                </c:pt>
                <c:pt idx="27">
                  <c:v>0.14900000000000005</c:v>
                </c:pt>
                <c:pt idx="28">
                  <c:v>0.14900000000000005</c:v>
                </c:pt>
                <c:pt idx="29">
                  <c:v>0.14900000000000005</c:v>
                </c:pt>
                <c:pt idx="30">
                  <c:v>0.14900000000000005</c:v>
                </c:pt>
                <c:pt idx="31">
                  <c:v>0.14900000000000005</c:v>
                </c:pt>
                <c:pt idx="32">
                  <c:v>0.15300000000000005</c:v>
                </c:pt>
                <c:pt idx="33">
                  <c:v>0.15300000000000005</c:v>
                </c:pt>
                <c:pt idx="34">
                  <c:v>0.15300000000000005</c:v>
                </c:pt>
                <c:pt idx="35">
                  <c:v>0.15300000000000005</c:v>
                </c:pt>
                <c:pt idx="36">
                  <c:v>0.15300000000000005</c:v>
                </c:pt>
                <c:pt idx="37">
                  <c:v>0.15300000000000005</c:v>
                </c:pt>
                <c:pt idx="38">
                  <c:v>0.15900000000000006</c:v>
                </c:pt>
                <c:pt idx="39">
                  <c:v>0.16700000000000007</c:v>
                </c:pt>
                <c:pt idx="40">
                  <c:v>0.16700000000000007</c:v>
                </c:pt>
                <c:pt idx="41">
                  <c:v>0.16700000000000007</c:v>
                </c:pt>
                <c:pt idx="42">
                  <c:v>0.16700000000000007</c:v>
                </c:pt>
                <c:pt idx="43">
                  <c:v>0.16700000000000007</c:v>
                </c:pt>
                <c:pt idx="44">
                  <c:v>0.16700000000000007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5E-4DF7-91FB-4F6F61FB7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8384"/>
        <c:axId val="1117619664"/>
      </c:scatterChart>
      <c:valAx>
        <c:axId val="111763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9664"/>
        <c:crosses val="autoZero"/>
        <c:crossBetween val="midCat"/>
      </c:valAx>
      <c:valAx>
        <c:axId val="11176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All!$AV$6:$AV$50</c:f>
              <c:numCache>
                <c:formatCode>General</c:formatCode>
                <c:ptCount val="45"/>
                <c:pt idx="0">
                  <c:v>2.0085000000000002</c:v>
                </c:pt>
                <c:pt idx="1">
                  <c:v>1.8674999999999999</c:v>
                </c:pt>
                <c:pt idx="2">
                  <c:v>1.7769999999999999</c:v>
                </c:pt>
                <c:pt idx="3">
                  <c:v>1.69</c:v>
                </c:pt>
                <c:pt idx="4">
                  <c:v>1.6445000000000001</c:v>
                </c:pt>
                <c:pt idx="8">
                  <c:v>1.6975</c:v>
                </c:pt>
                <c:pt idx="9">
                  <c:v>1.6445000000000001</c:v>
                </c:pt>
                <c:pt idx="10">
                  <c:v>1.7430000000000001</c:v>
                </c:pt>
                <c:pt idx="11">
                  <c:v>1.6595</c:v>
                </c:pt>
                <c:pt idx="12">
                  <c:v>1.5085</c:v>
                </c:pt>
                <c:pt idx="16">
                  <c:v>1.5805</c:v>
                </c:pt>
                <c:pt idx="17">
                  <c:v>2.2519999999999998</c:v>
                </c:pt>
                <c:pt idx="18">
                  <c:v>1.8485</c:v>
                </c:pt>
                <c:pt idx="19">
                  <c:v>1.3839999999999999</c:v>
                </c:pt>
                <c:pt idx="20">
                  <c:v>2.3290000000000002</c:v>
                </c:pt>
                <c:pt idx="24">
                  <c:v>1.8109999999999999</c:v>
                </c:pt>
                <c:pt idx="25">
                  <c:v>1.3839999999999999</c:v>
                </c:pt>
                <c:pt idx="26">
                  <c:v>1.331</c:v>
                </c:pt>
                <c:pt idx="27">
                  <c:v>1.361</c:v>
                </c:pt>
                <c:pt idx="31">
                  <c:v>1.5385</c:v>
                </c:pt>
                <c:pt idx="32">
                  <c:v>1.244</c:v>
                </c:pt>
                <c:pt idx="33">
                  <c:v>1.331</c:v>
                </c:pt>
                <c:pt idx="37">
                  <c:v>1.4365000000000001</c:v>
                </c:pt>
                <c:pt idx="38">
                  <c:v>1.2855000000000001</c:v>
                </c:pt>
                <c:pt idx="39">
                  <c:v>1.3759999999999999</c:v>
                </c:pt>
                <c:pt idx="40">
                  <c:v>1.966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1-4344-B04D-DDDFA3FEDA1B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All!$AW$6:$AW$50</c:f>
              <c:numCache>
                <c:formatCode>General</c:formatCode>
                <c:ptCount val="45"/>
                <c:pt idx="0">
                  <c:v>5.3992000000000004</c:v>
                </c:pt>
                <c:pt idx="1">
                  <c:v>4.9352999999999998</c:v>
                </c:pt>
                <c:pt idx="2">
                  <c:v>4.9229000000000003</c:v>
                </c:pt>
                <c:pt idx="3">
                  <c:v>5.0046999999999997</c:v>
                </c:pt>
                <c:pt idx="4">
                  <c:v>4.7873000000000001</c:v>
                </c:pt>
                <c:pt idx="8">
                  <c:v>4.5468000000000002</c:v>
                </c:pt>
                <c:pt idx="9">
                  <c:v>4.8011999999999997</c:v>
                </c:pt>
                <c:pt idx="10">
                  <c:v>4.8494000000000002</c:v>
                </c:pt>
                <c:pt idx="11">
                  <c:v>4.8063000000000002</c:v>
                </c:pt>
                <c:pt idx="12">
                  <c:v>4.6585999999999999</c:v>
                </c:pt>
                <c:pt idx="16">
                  <c:v>4.4134000000000002</c:v>
                </c:pt>
                <c:pt idx="17">
                  <c:v>4.4794</c:v>
                </c:pt>
                <c:pt idx="18">
                  <c:v>4.5849000000000002</c:v>
                </c:pt>
                <c:pt idx="19">
                  <c:v>4.7634999999999996</c:v>
                </c:pt>
                <c:pt idx="20">
                  <c:v>4.6193999999999997</c:v>
                </c:pt>
                <c:pt idx="24">
                  <c:v>4.8564999999999996</c:v>
                </c:pt>
                <c:pt idx="25">
                  <c:v>4.7845000000000004</c:v>
                </c:pt>
                <c:pt idx="26">
                  <c:v>4.7579000000000002</c:v>
                </c:pt>
                <c:pt idx="27">
                  <c:v>4.5216000000000003</c:v>
                </c:pt>
                <c:pt idx="31">
                  <c:v>4.3726000000000003</c:v>
                </c:pt>
                <c:pt idx="32">
                  <c:v>4.7260999999999997</c:v>
                </c:pt>
                <c:pt idx="33">
                  <c:v>4.5163000000000002</c:v>
                </c:pt>
                <c:pt idx="37">
                  <c:v>4.3083</c:v>
                </c:pt>
                <c:pt idx="38">
                  <c:v>4.6193999999999997</c:v>
                </c:pt>
                <c:pt idx="39">
                  <c:v>4.5937000000000001</c:v>
                </c:pt>
                <c:pt idx="40">
                  <c:v>4.4268000000000001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01-4344-B04D-DDDFA3FEDA1B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All!$FS$6:$FS$50</c:f>
              <c:numCache>
                <c:formatCode>General</c:formatCode>
                <c:ptCount val="45"/>
                <c:pt idx="0">
                  <c:v>6.6455000000000002</c:v>
                </c:pt>
                <c:pt idx="1">
                  <c:v>6.694</c:v>
                </c:pt>
                <c:pt idx="2">
                  <c:v>6.7184999999999997</c:v>
                </c:pt>
                <c:pt idx="3">
                  <c:v>6.7220000000000004</c:v>
                </c:pt>
                <c:pt idx="4">
                  <c:v>6.6505000000000001</c:v>
                </c:pt>
                <c:pt idx="8">
                  <c:v>6.6455000000000002</c:v>
                </c:pt>
                <c:pt idx="9">
                  <c:v>6.6245000000000003</c:v>
                </c:pt>
                <c:pt idx="10">
                  <c:v>6.6820000000000004</c:v>
                </c:pt>
                <c:pt idx="11">
                  <c:v>6.6055000000000001</c:v>
                </c:pt>
                <c:pt idx="12">
                  <c:v>6.5759999999999996</c:v>
                </c:pt>
                <c:pt idx="16">
                  <c:v>6.5220000000000002</c:v>
                </c:pt>
                <c:pt idx="17">
                  <c:v>6.4335000000000004</c:v>
                </c:pt>
                <c:pt idx="18">
                  <c:v>6.3710000000000004</c:v>
                </c:pt>
                <c:pt idx="19">
                  <c:v>6.4489999999999998</c:v>
                </c:pt>
                <c:pt idx="20">
                  <c:v>6.4145000000000003</c:v>
                </c:pt>
                <c:pt idx="24">
                  <c:v>6.4335000000000004</c:v>
                </c:pt>
                <c:pt idx="25">
                  <c:v>6.6040000000000001</c:v>
                </c:pt>
                <c:pt idx="26">
                  <c:v>6.4995000000000003</c:v>
                </c:pt>
                <c:pt idx="27">
                  <c:v>6.5774999999999997</c:v>
                </c:pt>
                <c:pt idx="31">
                  <c:v>6.4684999999999997</c:v>
                </c:pt>
                <c:pt idx="32">
                  <c:v>6.4005000000000001</c:v>
                </c:pt>
                <c:pt idx="33">
                  <c:v>6.4390000000000001</c:v>
                </c:pt>
                <c:pt idx="37">
                  <c:v>6.5724999999999998</c:v>
                </c:pt>
                <c:pt idx="38">
                  <c:v>6.4820000000000002</c:v>
                </c:pt>
                <c:pt idx="39">
                  <c:v>6.6040000000000001</c:v>
                </c:pt>
                <c:pt idx="40">
                  <c:v>6.3765000000000001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01-4344-B04D-DDDFA3FE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5056"/>
        <c:axId val="1117636304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All!$FT$6:$FT$50</c:f>
              <c:numCache>
                <c:formatCode>General</c:formatCode>
                <c:ptCount val="45"/>
                <c:pt idx="0">
                  <c:v>1069.2</c:v>
                </c:pt>
                <c:pt idx="1">
                  <c:v>1073.9000000000001</c:v>
                </c:pt>
                <c:pt idx="2">
                  <c:v>1068.4000000000001</c:v>
                </c:pt>
                <c:pt idx="3">
                  <c:v>1075.3</c:v>
                </c:pt>
                <c:pt idx="4">
                  <c:v>1073.8</c:v>
                </c:pt>
                <c:pt idx="8">
                  <c:v>1073.5999999999999</c:v>
                </c:pt>
                <c:pt idx="9">
                  <c:v>1078.9000000000001</c:v>
                </c:pt>
                <c:pt idx="10">
                  <c:v>1069.8</c:v>
                </c:pt>
                <c:pt idx="11">
                  <c:v>1078.7</c:v>
                </c:pt>
                <c:pt idx="12">
                  <c:v>1071.5</c:v>
                </c:pt>
                <c:pt idx="16">
                  <c:v>1075.5</c:v>
                </c:pt>
                <c:pt idx="17">
                  <c:v>1076.3</c:v>
                </c:pt>
                <c:pt idx="18">
                  <c:v>1069.7</c:v>
                </c:pt>
                <c:pt idx="19">
                  <c:v>1071.7</c:v>
                </c:pt>
                <c:pt idx="20">
                  <c:v>1069.3</c:v>
                </c:pt>
                <c:pt idx="24">
                  <c:v>1071.4000000000001</c:v>
                </c:pt>
                <c:pt idx="25">
                  <c:v>1075.8</c:v>
                </c:pt>
                <c:pt idx="26">
                  <c:v>1077.4000000000001</c:v>
                </c:pt>
                <c:pt idx="27">
                  <c:v>1074</c:v>
                </c:pt>
                <c:pt idx="31">
                  <c:v>1071.2</c:v>
                </c:pt>
                <c:pt idx="32">
                  <c:v>1067.5</c:v>
                </c:pt>
                <c:pt idx="33">
                  <c:v>1069.7</c:v>
                </c:pt>
                <c:pt idx="37">
                  <c:v>1066.8</c:v>
                </c:pt>
                <c:pt idx="38">
                  <c:v>1068.5</c:v>
                </c:pt>
                <c:pt idx="39">
                  <c:v>1083</c:v>
                </c:pt>
                <c:pt idx="40">
                  <c:v>1073.5999999999999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01-4344-B04D-DDDFA3FED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4208"/>
        <c:axId val="1117650032"/>
      </c:scatterChart>
      <c:valAx>
        <c:axId val="11176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6304"/>
        <c:crosses val="autoZero"/>
        <c:crossBetween val="midCat"/>
      </c:valAx>
      <c:valAx>
        <c:axId val="1117636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5056"/>
        <c:crosses val="autoZero"/>
        <c:crossBetween val="midCat"/>
      </c:valAx>
      <c:valAx>
        <c:axId val="1117650032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4208"/>
        <c:crosses val="max"/>
        <c:crossBetween val="midCat"/>
      </c:valAx>
      <c:valAx>
        <c:axId val="1117644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5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All!$AT$6:$AT$50</c:f>
              <c:numCache>
                <c:formatCode>General</c:formatCode>
                <c:ptCount val="45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8">
                  <c:v>85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4">
                  <c:v>82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31">
                  <c:v>84</c:v>
                </c:pt>
                <c:pt idx="32">
                  <c:v>83</c:v>
                </c:pt>
                <c:pt idx="33">
                  <c:v>83</c:v>
                </c:pt>
                <c:pt idx="37">
                  <c:v>85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4-407D-9F89-DA4231123B1E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All!$FL$6:$FL$50</c:f>
              <c:numCache>
                <c:formatCode>General</c:formatCode>
                <c:ptCount val="45"/>
                <c:pt idx="0">
                  <c:v>82</c:v>
                </c:pt>
                <c:pt idx="1">
                  <c:v>82</c:v>
                </c:pt>
                <c:pt idx="2">
                  <c:v>83</c:v>
                </c:pt>
                <c:pt idx="3">
                  <c:v>83</c:v>
                </c:pt>
                <c:pt idx="4">
                  <c:v>83</c:v>
                </c:pt>
                <c:pt idx="8">
                  <c:v>85</c:v>
                </c:pt>
                <c:pt idx="9">
                  <c:v>83</c:v>
                </c:pt>
                <c:pt idx="10">
                  <c:v>83</c:v>
                </c:pt>
                <c:pt idx="11">
                  <c:v>83</c:v>
                </c:pt>
                <c:pt idx="12">
                  <c:v>83</c:v>
                </c:pt>
                <c:pt idx="16">
                  <c:v>86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4">
                  <c:v>82</c:v>
                </c:pt>
                <c:pt idx="25">
                  <c:v>83</c:v>
                </c:pt>
                <c:pt idx="26">
                  <c:v>83</c:v>
                </c:pt>
                <c:pt idx="27">
                  <c:v>83</c:v>
                </c:pt>
                <c:pt idx="31">
                  <c:v>84</c:v>
                </c:pt>
                <c:pt idx="32">
                  <c:v>83</c:v>
                </c:pt>
                <c:pt idx="33">
                  <c:v>83</c:v>
                </c:pt>
                <c:pt idx="37">
                  <c:v>86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4-407D-9F89-DA4231123B1E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All!$AU$6:$AU$50</c:f>
              <c:numCache>
                <c:formatCode>General</c:formatCode>
                <c:ptCount val="45"/>
                <c:pt idx="0">
                  <c:v>90</c:v>
                </c:pt>
                <c:pt idx="1">
                  <c:v>104</c:v>
                </c:pt>
                <c:pt idx="2">
                  <c:v>110</c:v>
                </c:pt>
                <c:pt idx="3">
                  <c:v>116</c:v>
                </c:pt>
                <c:pt idx="4">
                  <c:v>118</c:v>
                </c:pt>
                <c:pt idx="8">
                  <c:v>114</c:v>
                </c:pt>
                <c:pt idx="9">
                  <c:v>117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6">
                  <c:v>116</c:v>
                </c:pt>
                <c:pt idx="17">
                  <c:v>118</c:v>
                </c:pt>
                <c:pt idx="18">
                  <c:v>115</c:v>
                </c:pt>
                <c:pt idx="19">
                  <c:v>115</c:v>
                </c:pt>
                <c:pt idx="20">
                  <c:v>117</c:v>
                </c:pt>
                <c:pt idx="24">
                  <c:v>100</c:v>
                </c:pt>
                <c:pt idx="25">
                  <c:v>112</c:v>
                </c:pt>
                <c:pt idx="26">
                  <c:v>117</c:v>
                </c:pt>
                <c:pt idx="27">
                  <c:v>119</c:v>
                </c:pt>
                <c:pt idx="31">
                  <c:v>116</c:v>
                </c:pt>
                <c:pt idx="32">
                  <c:v>120</c:v>
                </c:pt>
                <c:pt idx="33">
                  <c:v>122</c:v>
                </c:pt>
                <c:pt idx="37">
                  <c:v>118</c:v>
                </c:pt>
                <c:pt idx="38">
                  <c:v>120</c:v>
                </c:pt>
                <c:pt idx="39">
                  <c:v>121</c:v>
                </c:pt>
                <c:pt idx="40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4-407D-9F89-DA4231123B1E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All!$IC$6:$IC$50</c:f>
              <c:numCache>
                <c:formatCode>General</c:formatCode>
                <c:ptCount val="45"/>
                <c:pt idx="0">
                  <c:v>5.556</c:v>
                </c:pt>
                <c:pt idx="1">
                  <c:v>21.74</c:v>
                </c:pt>
                <c:pt idx="2">
                  <c:v>21.888999999999999</c:v>
                </c:pt>
                <c:pt idx="3">
                  <c:v>22.193999999999999</c:v>
                </c:pt>
                <c:pt idx="4">
                  <c:v>22.233000000000001</c:v>
                </c:pt>
                <c:pt idx="8">
                  <c:v>18.878</c:v>
                </c:pt>
                <c:pt idx="9">
                  <c:v>22.029</c:v>
                </c:pt>
                <c:pt idx="10">
                  <c:v>22.186</c:v>
                </c:pt>
                <c:pt idx="11">
                  <c:v>22.08</c:v>
                </c:pt>
                <c:pt idx="12">
                  <c:v>21.882999999999999</c:v>
                </c:pt>
                <c:pt idx="16">
                  <c:v>19.13</c:v>
                </c:pt>
                <c:pt idx="17">
                  <c:v>20.940999999999999</c:v>
                </c:pt>
                <c:pt idx="18">
                  <c:v>20.481000000000002</c:v>
                </c:pt>
                <c:pt idx="19">
                  <c:v>21.436</c:v>
                </c:pt>
                <c:pt idx="20">
                  <c:v>15.797000000000001</c:v>
                </c:pt>
                <c:pt idx="24">
                  <c:v>16.544</c:v>
                </c:pt>
                <c:pt idx="25">
                  <c:v>22.102</c:v>
                </c:pt>
                <c:pt idx="26">
                  <c:v>22.375</c:v>
                </c:pt>
                <c:pt idx="27">
                  <c:v>22.172999999999998</c:v>
                </c:pt>
                <c:pt idx="31">
                  <c:v>19.143000000000001</c:v>
                </c:pt>
                <c:pt idx="32">
                  <c:v>22.454000000000001</c:v>
                </c:pt>
                <c:pt idx="33">
                  <c:v>22.143999999999998</c:v>
                </c:pt>
                <c:pt idx="37">
                  <c:v>19.155000000000001</c:v>
                </c:pt>
                <c:pt idx="38">
                  <c:v>22.446999999999999</c:v>
                </c:pt>
                <c:pt idx="39">
                  <c:v>22.472000000000001</c:v>
                </c:pt>
                <c:pt idx="40">
                  <c:v>16.716000000000001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4-407D-9F89-DA4231123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7136"/>
        <c:axId val="1117627984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All!$EK$6:$EK$50</c:f>
              <c:numCache>
                <c:formatCode>General</c:formatCode>
                <c:ptCount val="45"/>
                <c:pt idx="0">
                  <c:v>55.771000000000001</c:v>
                </c:pt>
                <c:pt idx="1">
                  <c:v>62.201999999999998</c:v>
                </c:pt>
                <c:pt idx="2">
                  <c:v>62.148000000000003</c:v>
                </c:pt>
                <c:pt idx="3">
                  <c:v>62.828000000000003</c:v>
                </c:pt>
                <c:pt idx="4">
                  <c:v>62.624000000000002</c:v>
                </c:pt>
                <c:pt idx="8">
                  <c:v>62.186999999999998</c:v>
                </c:pt>
                <c:pt idx="9">
                  <c:v>62.843000000000004</c:v>
                </c:pt>
                <c:pt idx="10">
                  <c:v>62.466000000000001</c:v>
                </c:pt>
                <c:pt idx="11">
                  <c:v>62.48</c:v>
                </c:pt>
                <c:pt idx="12">
                  <c:v>62.610999999999997</c:v>
                </c:pt>
                <c:pt idx="16">
                  <c:v>61.942999999999998</c:v>
                </c:pt>
                <c:pt idx="17">
                  <c:v>62.25</c:v>
                </c:pt>
                <c:pt idx="18">
                  <c:v>62.633000000000003</c:v>
                </c:pt>
                <c:pt idx="19">
                  <c:v>62.843000000000004</c:v>
                </c:pt>
                <c:pt idx="20">
                  <c:v>61.542999999999999</c:v>
                </c:pt>
                <c:pt idx="24">
                  <c:v>61.331000000000003</c:v>
                </c:pt>
                <c:pt idx="25">
                  <c:v>62.902999999999999</c:v>
                </c:pt>
                <c:pt idx="26">
                  <c:v>62.969000000000001</c:v>
                </c:pt>
                <c:pt idx="27">
                  <c:v>62.567999999999998</c:v>
                </c:pt>
                <c:pt idx="31">
                  <c:v>62.448</c:v>
                </c:pt>
                <c:pt idx="32">
                  <c:v>62.978000000000002</c:v>
                </c:pt>
                <c:pt idx="33">
                  <c:v>62.896000000000001</c:v>
                </c:pt>
                <c:pt idx="37">
                  <c:v>62.445999999999998</c:v>
                </c:pt>
                <c:pt idx="38">
                  <c:v>62.820999999999998</c:v>
                </c:pt>
                <c:pt idx="39">
                  <c:v>62.526000000000003</c:v>
                </c:pt>
                <c:pt idx="40">
                  <c:v>61.936999999999998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4-407D-9F89-DA4231123B1E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All!$IC$6:$IC$50</c:f>
              <c:numCache>
                <c:formatCode>General</c:formatCode>
                <c:ptCount val="45"/>
                <c:pt idx="0">
                  <c:v>5.556</c:v>
                </c:pt>
                <c:pt idx="1">
                  <c:v>21.74</c:v>
                </c:pt>
                <c:pt idx="2">
                  <c:v>21.888999999999999</c:v>
                </c:pt>
                <c:pt idx="3">
                  <c:v>22.193999999999999</c:v>
                </c:pt>
                <c:pt idx="4">
                  <c:v>22.233000000000001</c:v>
                </c:pt>
                <c:pt idx="8">
                  <c:v>18.878</c:v>
                </c:pt>
                <c:pt idx="9">
                  <c:v>22.029</c:v>
                </c:pt>
                <c:pt idx="10">
                  <c:v>22.186</c:v>
                </c:pt>
                <c:pt idx="11">
                  <c:v>22.08</c:v>
                </c:pt>
                <c:pt idx="12">
                  <c:v>21.882999999999999</c:v>
                </c:pt>
                <c:pt idx="16">
                  <c:v>19.13</c:v>
                </c:pt>
                <c:pt idx="17">
                  <c:v>20.940999999999999</c:v>
                </c:pt>
                <c:pt idx="18">
                  <c:v>20.481000000000002</c:v>
                </c:pt>
                <c:pt idx="19">
                  <c:v>21.436</c:v>
                </c:pt>
                <c:pt idx="20">
                  <c:v>15.797000000000001</c:v>
                </c:pt>
                <c:pt idx="24">
                  <c:v>16.544</c:v>
                </c:pt>
                <c:pt idx="25">
                  <c:v>22.102</c:v>
                </c:pt>
                <c:pt idx="26">
                  <c:v>22.375</c:v>
                </c:pt>
                <c:pt idx="27">
                  <c:v>22.172999999999998</c:v>
                </c:pt>
                <c:pt idx="31">
                  <c:v>19.143000000000001</c:v>
                </c:pt>
                <c:pt idx="32">
                  <c:v>22.454000000000001</c:v>
                </c:pt>
                <c:pt idx="33">
                  <c:v>22.143999999999998</c:v>
                </c:pt>
                <c:pt idx="37">
                  <c:v>19.155000000000001</c:v>
                </c:pt>
                <c:pt idx="38">
                  <c:v>22.446999999999999</c:v>
                </c:pt>
                <c:pt idx="39">
                  <c:v>22.472000000000001</c:v>
                </c:pt>
                <c:pt idx="40">
                  <c:v>16.716000000000001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44-407D-9F89-DA4231123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6704"/>
        <c:axId val="1117640048"/>
      </c:scatterChart>
      <c:valAx>
        <c:axId val="1117637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7984"/>
        <c:crosses val="autoZero"/>
        <c:crossBetween val="midCat"/>
      </c:valAx>
      <c:valAx>
        <c:axId val="1117627984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7136"/>
        <c:crosses val="autoZero"/>
        <c:crossBetween val="midCat"/>
      </c:valAx>
      <c:valAx>
        <c:axId val="11176400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6704"/>
        <c:crosses val="max"/>
        <c:crossBetween val="midCat"/>
      </c:valAx>
      <c:valAx>
        <c:axId val="111764670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0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All!$CU$6:$CU$50</c:f>
              <c:numCache>
                <c:formatCode>General</c:formatCode>
                <c:ptCount val="45"/>
                <c:pt idx="0">
                  <c:v>1.296</c:v>
                </c:pt>
                <c:pt idx="1">
                  <c:v>0.70199999999999996</c:v>
                </c:pt>
                <c:pt idx="2">
                  <c:v>1.7010000000000001</c:v>
                </c:pt>
                <c:pt idx="3">
                  <c:v>0.80200000000000005</c:v>
                </c:pt>
                <c:pt idx="4">
                  <c:v>0.89700000000000002</c:v>
                </c:pt>
                <c:pt idx="8">
                  <c:v>0.996</c:v>
                </c:pt>
                <c:pt idx="9">
                  <c:v>0.6</c:v>
                </c:pt>
                <c:pt idx="10">
                  <c:v>0.60099999999999998</c:v>
                </c:pt>
                <c:pt idx="11">
                  <c:v>1.1040000000000001</c:v>
                </c:pt>
                <c:pt idx="12">
                  <c:v>0.70099999999999996</c:v>
                </c:pt>
                <c:pt idx="16">
                  <c:v>1.5</c:v>
                </c:pt>
                <c:pt idx="17">
                  <c:v>0.79800000000000004</c:v>
                </c:pt>
                <c:pt idx="18">
                  <c:v>0.89900000000000002</c:v>
                </c:pt>
                <c:pt idx="19">
                  <c:v>0.79700000000000004</c:v>
                </c:pt>
                <c:pt idx="20">
                  <c:v>0.6</c:v>
                </c:pt>
                <c:pt idx="24">
                  <c:v>1.099</c:v>
                </c:pt>
                <c:pt idx="25">
                  <c:v>1.099</c:v>
                </c:pt>
                <c:pt idx="26">
                  <c:v>0.79900000000000004</c:v>
                </c:pt>
                <c:pt idx="27">
                  <c:v>1.0980000000000001</c:v>
                </c:pt>
                <c:pt idx="31">
                  <c:v>1.1990000000000001</c:v>
                </c:pt>
                <c:pt idx="32">
                  <c:v>1.1000000000000001</c:v>
                </c:pt>
                <c:pt idx="33">
                  <c:v>1.3029999999999999</c:v>
                </c:pt>
                <c:pt idx="37">
                  <c:v>0.79900000000000004</c:v>
                </c:pt>
                <c:pt idx="38">
                  <c:v>0.59799999999999998</c:v>
                </c:pt>
                <c:pt idx="39">
                  <c:v>1.2969999999999999</c:v>
                </c:pt>
                <c:pt idx="40">
                  <c:v>0.70099999999999996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8-4EFF-B409-82B871D3E175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All!$CV$6:$CV$50</c:f>
              <c:numCache>
                <c:formatCode>General</c:formatCode>
                <c:ptCount val="45"/>
                <c:pt idx="0">
                  <c:v>1.2969999999999999</c:v>
                </c:pt>
                <c:pt idx="1">
                  <c:v>0.9</c:v>
                </c:pt>
                <c:pt idx="2">
                  <c:v>1.4970000000000001</c:v>
                </c:pt>
                <c:pt idx="3">
                  <c:v>1.3959999999999999</c:v>
                </c:pt>
                <c:pt idx="4">
                  <c:v>0.9</c:v>
                </c:pt>
                <c:pt idx="8">
                  <c:v>2.0920000000000001</c:v>
                </c:pt>
                <c:pt idx="9">
                  <c:v>1.198</c:v>
                </c:pt>
                <c:pt idx="10">
                  <c:v>1.5940000000000001</c:v>
                </c:pt>
                <c:pt idx="11">
                  <c:v>2.101</c:v>
                </c:pt>
                <c:pt idx="12">
                  <c:v>1.2010000000000001</c:v>
                </c:pt>
                <c:pt idx="16">
                  <c:v>2.0939999999999999</c:v>
                </c:pt>
                <c:pt idx="17">
                  <c:v>1.198</c:v>
                </c:pt>
                <c:pt idx="18">
                  <c:v>1.9990000000000001</c:v>
                </c:pt>
                <c:pt idx="19">
                  <c:v>1.4990000000000001</c:v>
                </c:pt>
                <c:pt idx="20">
                  <c:v>1.401</c:v>
                </c:pt>
                <c:pt idx="24">
                  <c:v>1.599</c:v>
                </c:pt>
                <c:pt idx="25">
                  <c:v>1.2</c:v>
                </c:pt>
                <c:pt idx="26">
                  <c:v>1.5009999999999999</c:v>
                </c:pt>
                <c:pt idx="27">
                  <c:v>2.1</c:v>
                </c:pt>
                <c:pt idx="31">
                  <c:v>1.6990000000000001</c:v>
                </c:pt>
                <c:pt idx="32">
                  <c:v>1.4</c:v>
                </c:pt>
                <c:pt idx="33">
                  <c:v>1.7050000000000001</c:v>
                </c:pt>
                <c:pt idx="37">
                  <c:v>0.30199999999999999</c:v>
                </c:pt>
                <c:pt idx="38">
                  <c:v>0.60199999999999998</c:v>
                </c:pt>
                <c:pt idx="39">
                  <c:v>1.897</c:v>
                </c:pt>
                <c:pt idx="4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C8-4EFF-B409-82B871D3E175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All!$CW$6:$CW$50</c:f>
              <c:numCache>
                <c:formatCode>General</c:formatCode>
                <c:ptCount val="45"/>
                <c:pt idx="0">
                  <c:v>0.69799999999999995</c:v>
                </c:pt>
                <c:pt idx="1">
                  <c:v>1.298</c:v>
                </c:pt>
                <c:pt idx="2">
                  <c:v>0.999</c:v>
                </c:pt>
                <c:pt idx="3">
                  <c:v>1.103</c:v>
                </c:pt>
                <c:pt idx="4">
                  <c:v>0.9</c:v>
                </c:pt>
                <c:pt idx="8">
                  <c:v>1.298</c:v>
                </c:pt>
                <c:pt idx="9">
                  <c:v>1.1020000000000001</c:v>
                </c:pt>
                <c:pt idx="10">
                  <c:v>0.999</c:v>
                </c:pt>
                <c:pt idx="11">
                  <c:v>1.4970000000000001</c:v>
                </c:pt>
                <c:pt idx="12">
                  <c:v>1.198</c:v>
                </c:pt>
                <c:pt idx="16">
                  <c:v>1.8009999999999999</c:v>
                </c:pt>
                <c:pt idx="17">
                  <c:v>1.796</c:v>
                </c:pt>
                <c:pt idx="18">
                  <c:v>1.9019999999999999</c:v>
                </c:pt>
                <c:pt idx="19">
                  <c:v>1.401</c:v>
                </c:pt>
                <c:pt idx="20">
                  <c:v>2.8010000000000002</c:v>
                </c:pt>
                <c:pt idx="24">
                  <c:v>1.202</c:v>
                </c:pt>
                <c:pt idx="25">
                  <c:v>1.2010000000000001</c:v>
                </c:pt>
                <c:pt idx="26">
                  <c:v>1.2010000000000001</c:v>
                </c:pt>
                <c:pt idx="27">
                  <c:v>0.9</c:v>
                </c:pt>
                <c:pt idx="31">
                  <c:v>1.7</c:v>
                </c:pt>
                <c:pt idx="32">
                  <c:v>0.70099999999999996</c:v>
                </c:pt>
                <c:pt idx="33">
                  <c:v>1.099</c:v>
                </c:pt>
                <c:pt idx="37">
                  <c:v>1.202</c:v>
                </c:pt>
                <c:pt idx="38">
                  <c:v>0.90100000000000002</c:v>
                </c:pt>
                <c:pt idx="39">
                  <c:v>1.399</c:v>
                </c:pt>
                <c:pt idx="40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C8-4EFF-B409-82B871D3E175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All!$CX$6:$CX$50</c:f>
              <c:numCache>
                <c:formatCode>General</c:formatCode>
                <c:ptCount val="45"/>
                <c:pt idx="0">
                  <c:v>0.999</c:v>
                </c:pt>
                <c:pt idx="1">
                  <c:v>1.2030000000000001</c:v>
                </c:pt>
                <c:pt idx="2">
                  <c:v>1.095</c:v>
                </c:pt>
                <c:pt idx="3">
                  <c:v>1.296</c:v>
                </c:pt>
                <c:pt idx="4">
                  <c:v>0.8</c:v>
                </c:pt>
                <c:pt idx="8">
                  <c:v>1.796</c:v>
                </c:pt>
                <c:pt idx="9">
                  <c:v>1.6020000000000001</c:v>
                </c:pt>
                <c:pt idx="10">
                  <c:v>1.9</c:v>
                </c:pt>
                <c:pt idx="11">
                  <c:v>1.8</c:v>
                </c:pt>
                <c:pt idx="12">
                  <c:v>1.5</c:v>
                </c:pt>
                <c:pt idx="16">
                  <c:v>2.194</c:v>
                </c:pt>
                <c:pt idx="17">
                  <c:v>2.0009999999999999</c:v>
                </c:pt>
                <c:pt idx="18">
                  <c:v>1.8979999999999999</c:v>
                </c:pt>
                <c:pt idx="19">
                  <c:v>1.8029999999999999</c:v>
                </c:pt>
                <c:pt idx="20">
                  <c:v>0.998</c:v>
                </c:pt>
                <c:pt idx="24">
                  <c:v>1.4</c:v>
                </c:pt>
                <c:pt idx="25">
                  <c:v>1.4</c:v>
                </c:pt>
                <c:pt idx="26">
                  <c:v>2</c:v>
                </c:pt>
                <c:pt idx="27">
                  <c:v>1.702</c:v>
                </c:pt>
                <c:pt idx="31">
                  <c:v>2.097</c:v>
                </c:pt>
                <c:pt idx="32">
                  <c:v>1.099</c:v>
                </c:pt>
                <c:pt idx="33">
                  <c:v>0.79900000000000004</c:v>
                </c:pt>
                <c:pt idx="37">
                  <c:v>1.1990000000000001</c:v>
                </c:pt>
                <c:pt idx="38">
                  <c:v>1.1000000000000001</c:v>
                </c:pt>
                <c:pt idx="39">
                  <c:v>1.401</c:v>
                </c:pt>
                <c:pt idx="40">
                  <c:v>0.90100000000000002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C8-4EFF-B409-82B871D3E175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All!$CY$6:$CY$50</c:f>
              <c:numCache>
                <c:formatCode>General</c:formatCode>
                <c:ptCount val="45"/>
                <c:pt idx="0">
                  <c:v>0.1</c:v>
                </c:pt>
                <c:pt idx="1">
                  <c:v>0.6</c:v>
                </c:pt>
                <c:pt idx="2">
                  <c:v>0.503</c:v>
                </c:pt>
                <c:pt idx="3">
                  <c:v>0.30199999999999999</c:v>
                </c:pt>
                <c:pt idx="4">
                  <c:v>0.70099999999999996</c:v>
                </c:pt>
                <c:pt idx="8">
                  <c:v>0.995</c:v>
                </c:pt>
                <c:pt idx="9">
                  <c:v>0.3</c:v>
                </c:pt>
                <c:pt idx="10">
                  <c:v>0.89700000000000002</c:v>
                </c:pt>
                <c:pt idx="11">
                  <c:v>1.2050000000000001</c:v>
                </c:pt>
                <c:pt idx="12">
                  <c:v>1.002</c:v>
                </c:pt>
                <c:pt idx="16">
                  <c:v>0.89800000000000002</c:v>
                </c:pt>
                <c:pt idx="17">
                  <c:v>0.998</c:v>
                </c:pt>
                <c:pt idx="18">
                  <c:v>0.7</c:v>
                </c:pt>
                <c:pt idx="19">
                  <c:v>0.80100000000000005</c:v>
                </c:pt>
                <c:pt idx="20">
                  <c:v>0.6</c:v>
                </c:pt>
                <c:pt idx="24">
                  <c:v>0.2</c:v>
                </c:pt>
                <c:pt idx="25">
                  <c:v>0.499</c:v>
                </c:pt>
                <c:pt idx="26">
                  <c:v>1.5980000000000001</c:v>
                </c:pt>
                <c:pt idx="27">
                  <c:v>0.89800000000000002</c:v>
                </c:pt>
                <c:pt idx="31">
                  <c:v>1.298</c:v>
                </c:pt>
                <c:pt idx="32">
                  <c:v>0.30099999999999999</c:v>
                </c:pt>
                <c:pt idx="33">
                  <c:v>0.498</c:v>
                </c:pt>
                <c:pt idx="37">
                  <c:v>0.5</c:v>
                </c:pt>
                <c:pt idx="38">
                  <c:v>1.3</c:v>
                </c:pt>
                <c:pt idx="39">
                  <c:v>1.1000000000000001</c:v>
                </c:pt>
                <c:pt idx="4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C8-4EFF-B409-82B871D3E175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All!$CZ$6:$CZ$50</c:f>
              <c:numCache>
                <c:formatCode>General</c:formatCode>
                <c:ptCount val="45"/>
                <c:pt idx="0">
                  <c:v>0.79900000000000004</c:v>
                </c:pt>
                <c:pt idx="1">
                  <c:v>0.9</c:v>
                </c:pt>
                <c:pt idx="2">
                  <c:v>0.89800000000000002</c:v>
                </c:pt>
                <c:pt idx="3">
                  <c:v>0.79700000000000004</c:v>
                </c:pt>
                <c:pt idx="4">
                  <c:v>1.198</c:v>
                </c:pt>
                <c:pt idx="8">
                  <c:v>1.4950000000000001</c:v>
                </c:pt>
                <c:pt idx="9">
                  <c:v>1.403</c:v>
                </c:pt>
                <c:pt idx="10">
                  <c:v>1.2010000000000001</c:v>
                </c:pt>
                <c:pt idx="11">
                  <c:v>0.9</c:v>
                </c:pt>
                <c:pt idx="12">
                  <c:v>1.7989999999999999</c:v>
                </c:pt>
                <c:pt idx="16">
                  <c:v>1.6</c:v>
                </c:pt>
                <c:pt idx="17">
                  <c:v>1.595</c:v>
                </c:pt>
                <c:pt idx="18">
                  <c:v>1.6</c:v>
                </c:pt>
                <c:pt idx="19">
                  <c:v>2.198</c:v>
                </c:pt>
                <c:pt idx="20">
                  <c:v>0.80500000000000005</c:v>
                </c:pt>
                <c:pt idx="24">
                  <c:v>1.3009999999999999</c:v>
                </c:pt>
                <c:pt idx="25">
                  <c:v>1.0980000000000001</c:v>
                </c:pt>
                <c:pt idx="26">
                  <c:v>1.296</c:v>
                </c:pt>
                <c:pt idx="27">
                  <c:v>1.202</c:v>
                </c:pt>
                <c:pt idx="31">
                  <c:v>1.202</c:v>
                </c:pt>
                <c:pt idx="32">
                  <c:v>1.204</c:v>
                </c:pt>
                <c:pt idx="33">
                  <c:v>1.0009999999999999</c:v>
                </c:pt>
                <c:pt idx="37">
                  <c:v>1.897</c:v>
                </c:pt>
                <c:pt idx="38">
                  <c:v>1.4990000000000001</c:v>
                </c:pt>
                <c:pt idx="39">
                  <c:v>1.097</c:v>
                </c:pt>
                <c:pt idx="40">
                  <c:v>0.70099999999999996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C8-4EFF-B409-82B871D3E175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All!$DA$6:$DA$50</c:f>
              <c:numCache>
                <c:formatCode>General</c:formatCode>
                <c:ptCount val="45"/>
                <c:pt idx="0">
                  <c:v>0.499</c:v>
                </c:pt>
                <c:pt idx="1">
                  <c:v>0.90100000000000002</c:v>
                </c:pt>
                <c:pt idx="2">
                  <c:v>0.4</c:v>
                </c:pt>
                <c:pt idx="3">
                  <c:v>0.4</c:v>
                </c:pt>
                <c:pt idx="4">
                  <c:v>0.89800000000000002</c:v>
                </c:pt>
                <c:pt idx="8">
                  <c:v>0.60099999999999998</c:v>
                </c:pt>
                <c:pt idx="9">
                  <c:v>0.89700000000000002</c:v>
                </c:pt>
                <c:pt idx="10">
                  <c:v>0.4</c:v>
                </c:pt>
                <c:pt idx="11">
                  <c:v>1.5</c:v>
                </c:pt>
                <c:pt idx="12">
                  <c:v>0.79900000000000004</c:v>
                </c:pt>
                <c:pt idx="16">
                  <c:v>0.89900000000000002</c:v>
                </c:pt>
                <c:pt idx="17">
                  <c:v>1</c:v>
                </c:pt>
                <c:pt idx="18">
                  <c:v>1.3009999999999999</c:v>
                </c:pt>
                <c:pt idx="19">
                  <c:v>0.9</c:v>
                </c:pt>
                <c:pt idx="20">
                  <c:v>0.59599999999999997</c:v>
                </c:pt>
                <c:pt idx="24">
                  <c:v>0.70099999999999996</c:v>
                </c:pt>
                <c:pt idx="25">
                  <c:v>0.4</c:v>
                </c:pt>
                <c:pt idx="26">
                  <c:v>1.3959999999999999</c:v>
                </c:pt>
                <c:pt idx="27">
                  <c:v>0.69899999999999995</c:v>
                </c:pt>
                <c:pt idx="31">
                  <c:v>1.101</c:v>
                </c:pt>
                <c:pt idx="32">
                  <c:v>0.499</c:v>
                </c:pt>
                <c:pt idx="33">
                  <c:v>0.60099999999999998</c:v>
                </c:pt>
                <c:pt idx="37">
                  <c:v>0.80200000000000005</c:v>
                </c:pt>
                <c:pt idx="38">
                  <c:v>0.70299999999999996</c:v>
                </c:pt>
                <c:pt idx="39">
                  <c:v>0.998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C8-4EFF-B409-82B871D3E175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All!$DB$6:$DB$50</c:f>
              <c:numCache>
                <c:formatCode>General</c:formatCode>
                <c:ptCount val="45"/>
                <c:pt idx="0">
                  <c:v>0.9</c:v>
                </c:pt>
                <c:pt idx="1">
                  <c:v>1.7050000000000001</c:v>
                </c:pt>
                <c:pt idx="2">
                  <c:v>2.496</c:v>
                </c:pt>
                <c:pt idx="3">
                  <c:v>1.5</c:v>
                </c:pt>
                <c:pt idx="4">
                  <c:v>1.3979999999999999</c:v>
                </c:pt>
                <c:pt idx="8">
                  <c:v>1.8959999999999999</c:v>
                </c:pt>
                <c:pt idx="9">
                  <c:v>1.3979999999999999</c:v>
                </c:pt>
                <c:pt idx="10">
                  <c:v>1.198</c:v>
                </c:pt>
                <c:pt idx="11">
                  <c:v>2.0979999999999999</c:v>
                </c:pt>
                <c:pt idx="12">
                  <c:v>1.7030000000000001</c:v>
                </c:pt>
                <c:pt idx="16">
                  <c:v>1.8</c:v>
                </c:pt>
                <c:pt idx="17">
                  <c:v>1.5029999999999999</c:v>
                </c:pt>
                <c:pt idx="18">
                  <c:v>2.2050000000000001</c:v>
                </c:pt>
                <c:pt idx="19">
                  <c:v>1.298</c:v>
                </c:pt>
                <c:pt idx="20">
                  <c:v>0.999</c:v>
                </c:pt>
                <c:pt idx="24">
                  <c:v>1.798</c:v>
                </c:pt>
                <c:pt idx="25">
                  <c:v>2.2010000000000001</c:v>
                </c:pt>
                <c:pt idx="26">
                  <c:v>1.7989999999999999</c:v>
                </c:pt>
                <c:pt idx="27">
                  <c:v>1.1970000000000001</c:v>
                </c:pt>
                <c:pt idx="31">
                  <c:v>2.1989999999999998</c:v>
                </c:pt>
                <c:pt idx="32">
                  <c:v>1.2989999999999999</c:v>
                </c:pt>
                <c:pt idx="33">
                  <c:v>1.599</c:v>
                </c:pt>
                <c:pt idx="37">
                  <c:v>1.399</c:v>
                </c:pt>
                <c:pt idx="38">
                  <c:v>1.3979999999999999</c:v>
                </c:pt>
                <c:pt idx="39">
                  <c:v>1.4990000000000001</c:v>
                </c:pt>
                <c:pt idx="40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5C8-4EFF-B409-82B871D3E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2976"/>
        <c:axId val="1117613840"/>
      </c:scatterChart>
      <c:valAx>
        <c:axId val="111763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3840"/>
        <c:crosses val="autoZero"/>
        <c:crossBetween val="midCat"/>
      </c:valAx>
      <c:valAx>
        <c:axId val="1117613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All!$AZ$6:$AZ$50</c:f>
              <c:numCache>
                <c:formatCode>General</c:formatCode>
                <c:ptCount val="45"/>
                <c:pt idx="0">
                  <c:v>0.76</c:v>
                </c:pt>
                <c:pt idx="1">
                  <c:v>5.65</c:v>
                </c:pt>
                <c:pt idx="2">
                  <c:v>5.64</c:v>
                </c:pt>
                <c:pt idx="3">
                  <c:v>5.73</c:v>
                </c:pt>
                <c:pt idx="4">
                  <c:v>5.64</c:v>
                </c:pt>
                <c:pt idx="8">
                  <c:v>5.71</c:v>
                </c:pt>
                <c:pt idx="9">
                  <c:v>5.5</c:v>
                </c:pt>
                <c:pt idx="10">
                  <c:v>5.71</c:v>
                </c:pt>
                <c:pt idx="11">
                  <c:v>5.53</c:v>
                </c:pt>
                <c:pt idx="12">
                  <c:v>5.64</c:v>
                </c:pt>
                <c:pt idx="16">
                  <c:v>4.41</c:v>
                </c:pt>
                <c:pt idx="17">
                  <c:v>4.8899999999999997</c:v>
                </c:pt>
                <c:pt idx="18">
                  <c:v>4.8600000000000003</c:v>
                </c:pt>
                <c:pt idx="19">
                  <c:v>4.8899999999999997</c:v>
                </c:pt>
                <c:pt idx="20">
                  <c:v>5.16</c:v>
                </c:pt>
                <c:pt idx="24">
                  <c:v>4.46</c:v>
                </c:pt>
                <c:pt idx="25">
                  <c:v>4.87</c:v>
                </c:pt>
                <c:pt idx="26">
                  <c:v>5.07</c:v>
                </c:pt>
                <c:pt idx="27">
                  <c:v>5.0599999999999996</c:v>
                </c:pt>
                <c:pt idx="31">
                  <c:v>4.82</c:v>
                </c:pt>
                <c:pt idx="32">
                  <c:v>4.66</c:v>
                </c:pt>
                <c:pt idx="33">
                  <c:v>5.08</c:v>
                </c:pt>
                <c:pt idx="37">
                  <c:v>4.79</c:v>
                </c:pt>
                <c:pt idx="38">
                  <c:v>4.79</c:v>
                </c:pt>
                <c:pt idx="39">
                  <c:v>4.33</c:v>
                </c:pt>
                <c:pt idx="4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48-4734-BD5B-F08E71142A7D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All!$FO$6:$FO$50</c:f>
              <c:numCache>
                <c:formatCode>General</c:formatCode>
                <c:ptCount val="45"/>
                <c:pt idx="0">
                  <c:v>0.76</c:v>
                </c:pt>
                <c:pt idx="1">
                  <c:v>5.49</c:v>
                </c:pt>
                <c:pt idx="2">
                  <c:v>5.46</c:v>
                </c:pt>
                <c:pt idx="3">
                  <c:v>5.52</c:v>
                </c:pt>
                <c:pt idx="4">
                  <c:v>5.45</c:v>
                </c:pt>
                <c:pt idx="8">
                  <c:v>5.49</c:v>
                </c:pt>
                <c:pt idx="9">
                  <c:v>5.31</c:v>
                </c:pt>
                <c:pt idx="10">
                  <c:v>5.39</c:v>
                </c:pt>
                <c:pt idx="11">
                  <c:v>5.5</c:v>
                </c:pt>
                <c:pt idx="12">
                  <c:v>5.28</c:v>
                </c:pt>
                <c:pt idx="16">
                  <c:v>4.4400000000000004</c:v>
                </c:pt>
                <c:pt idx="17">
                  <c:v>4.99</c:v>
                </c:pt>
                <c:pt idx="18">
                  <c:v>5.16</c:v>
                </c:pt>
                <c:pt idx="19">
                  <c:v>4.83</c:v>
                </c:pt>
                <c:pt idx="20">
                  <c:v>5.2</c:v>
                </c:pt>
                <c:pt idx="24">
                  <c:v>4.34</c:v>
                </c:pt>
                <c:pt idx="25">
                  <c:v>4.9800000000000004</c:v>
                </c:pt>
                <c:pt idx="26">
                  <c:v>4.29</c:v>
                </c:pt>
                <c:pt idx="27">
                  <c:v>4.8099999999999996</c:v>
                </c:pt>
                <c:pt idx="31">
                  <c:v>4.82</c:v>
                </c:pt>
                <c:pt idx="32">
                  <c:v>4.79</c:v>
                </c:pt>
                <c:pt idx="33">
                  <c:v>5.09</c:v>
                </c:pt>
                <c:pt idx="37">
                  <c:v>4.75</c:v>
                </c:pt>
                <c:pt idx="38">
                  <c:v>4.83</c:v>
                </c:pt>
                <c:pt idx="39">
                  <c:v>4.37</c:v>
                </c:pt>
                <c:pt idx="40">
                  <c:v>4.8899999999999997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248-4734-BD5B-F08E71142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3392"/>
        <c:axId val="1117618000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All!$BA$6:$BA$50</c:f>
              <c:numCache>
                <c:formatCode>General</c:formatCode>
                <c:ptCount val="45"/>
                <c:pt idx="0">
                  <c:v>69.701999999999998</c:v>
                </c:pt>
                <c:pt idx="1">
                  <c:v>112.407</c:v>
                </c:pt>
                <c:pt idx="2">
                  <c:v>120.566</c:v>
                </c:pt>
                <c:pt idx="3">
                  <c:v>139.70599999999999</c:v>
                </c:pt>
                <c:pt idx="4">
                  <c:v>69.2</c:v>
                </c:pt>
                <c:pt idx="8">
                  <c:v>65.706000000000003</c:v>
                </c:pt>
                <c:pt idx="9">
                  <c:v>134.56100000000001</c:v>
                </c:pt>
                <c:pt idx="10">
                  <c:v>100.06699999999999</c:v>
                </c:pt>
                <c:pt idx="11">
                  <c:v>95.2</c:v>
                </c:pt>
                <c:pt idx="12">
                  <c:v>69.400000000000006</c:v>
                </c:pt>
                <c:pt idx="16">
                  <c:v>65.602000000000004</c:v>
                </c:pt>
                <c:pt idx="17">
                  <c:v>70.903000000000006</c:v>
                </c:pt>
                <c:pt idx="18">
                  <c:v>73.822000000000003</c:v>
                </c:pt>
                <c:pt idx="19">
                  <c:v>95.126000000000005</c:v>
                </c:pt>
                <c:pt idx="20">
                  <c:v>69.408000000000001</c:v>
                </c:pt>
                <c:pt idx="24">
                  <c:v>66.8</c:v>
                </c:pt>
                <c:pt idx="25">
                  <c:v>69.813999999999993</c:v>
                </c:pt>
                <c:pt idx="26">
                  <c:v>128.19999999999999</c:v>
                </c:pt>
                <c:pt idx="27">
                  <c:v>95.513999999999996</c:v>
                </c:pt>
                <c:pt idx="31">
                  <c:v>65.106999999999999</c:v>
                </c:pt>
                <c:pt idx="32">
                  <c:v>113.934</c:v>
                </c:pt>
                <c:pt idx="33">
                  <c:v>69.3</c:v>
                </c:pt>
                <c:pt idx="37">
                  <c:v>65.5</c:v>
                </c:pt>
                <c:pt idx="38">
                  <c:v>98.03</c:v>
                </c:pt>
                <c:pt idx="39">
                  <c:v>92.814999999999998</c:v>
                </c:pt>
                <c:pt idx="40">
                  <c:v>73.793000000000006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48-4734-BD5B-F08E71142A7D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All!$BB$6:$BB$50</c:f>
              <c:numCache>
                <c:formatCode>General</c:formatCode>
                <c:ptCount val="45"/>
                <c:pt idx="0">
                  <c:v>69.7</c:v>
                </c:pt>
                <c:pt idx="1">
                  <c:v>104.039</c:v>
                </c:pt>
                <c:pt idx="2">
                  <c:v>119.041</c:v>
                </c:pt>
                <c:pt idx="3">
                  <c:v>137.63900000000001</c:v>
                </c:pt>
                <c:pt idx="4">
                  <c:v>69.307000000000002</c:v>
                </c:pt>
                <c:pt idx="8">
                  <c:v>66.7</c:v>
                </c:pt>
                <c:pt idx="9">
                  <c:v>132.79400000000001</c:v>
                </c:pt>
                <c:pt idx="10">
                  <c:v>99.566999999999993</c:v>
                </c:pt>
                <c:pt idx="11">
                  <c:v>91.725999999999999</c:v>
                </c:pt>
                <c:pt idx="12">
                  <c:v>69.400000000000006</c:v>
                </c:pt>
                <c:pt idx="16">
                  <c:v>66.3</c:v>
                </c:pt>
                <c:pt idx="17">
                  <c:v>72.739000000000004</c:v>
                </c:pt>
                <c:pt idx="18">
                  <c:v>73.900000000000006</c:v>
                </c:pt>
                <c:pt idx="19">
                  <c:v>95.466999999999999</c:v>
                </c:pt>
                <c:pt idx="20">
                  <c:v>70.703999999999994</c:v>
                </c:pt>
                <c:pt idx="24">
                  <c:v>67.5</c:v>
                </c:pt>
                <c:pt idx="25">
                  <c:v>69.096999999999994</c:v>
                </c:pt>
                <c:pt idx="26">
                  <c:v>127</c:v>
                </c:pt>
                <c:pt idx="27">
                  <c:v>99.313999999999993</c:v>
                </c:pt>
                <c:pt idx="31">
                  <c:v>66.900000000000006</c:v>
                </c:pt>
                <c:pt idx="32">
                  <c:v>113.82599999999999</c:v>
                </c:pt>
                <c:pt idx="33">
                  <c:v>69.307000000000002</c:v>
                </c:pt>
                <c:pt idx="37">
                  <c:v>66.400000000000006</c:v>
                </c:pt>
                <c:pt idx="38">
                  <c:v>98.53</c:v>
                </c:pt>
                <c:pt idx="39">
                  <c:v>92.59</c:v>
                </c:pt>
                <c:pt idx="40">
                  <c:v>74.5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248-4734-BD5B-F08E71142A7D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All!$ID$6:$ID$50</c:f>
              <c:numCache>
                <c:formatCode>General</c:formatCode>
                <c:ptCount val="45"/>
                <c:pt idx="0">
                  <c:v>-8.1000000000000003E-2</c:v>
                </c:pt>
                <c:pt idx="1">
                  <c:v>-0.44600000000000001</c:v>
                </c:pt>
                <c:pt idx="2">
                  <c:v>-0.373</c:v>
                </c:pt>
                <c:pt idx="3">
                  <c:v>-0.46200000000000002</c:v>
                </c:pt>
                <c:pt idx="4">
                  <c:v>-0.36099999999999999</c:v>
                </c:pt>
                <c:pt idx="8">
                  <c:v>-0.23100000000000001</c:v>
                </c:pt>
                <c:pt idx="9">
                  <c:v>-0.39600000000000002</c:v>
                </c:pt>
                <c:pt idx="10">
                  <c:v>-0.42099999999999999</c:v>
                </c:pt>
                <c:pt idx="11">
                  <c:v>-0.41599999999999998</c:v>
                </c:pt>
                <c:pt idx="12">
                  <c:v>-0.30599999999999999</c:v>
                </c:pt>
                <c:pt idx="16">
                  <c:v>-0.154</c:v>
                </c:pt>
                <c:pt idx="17">
                  <c:v>-0.22600000000000001</c:v>
                </c:pt>
                <c:pt idx="18">
                  <c:v>-0.11700000000000001</c:v>
                </c:pt>
                <c:pt idx="19">
                  <c:v>-0.14299999999999999</c:v>
                </c:pt>
                <c:pt idx="20">
                  <c:v>-4.5999999999999999E-2</c:v>
                </c:pt>
                <c:pt idx="24">
                  <c:v>-0.34799999999999998</c:v>
                </c:pt>
                <c:pt idx="25">
                  <c:v>-0.50700000000000001</c:v>
                </c:pt>
                <c:pt idx="26">
                  <c:v>-0.45100000000000001</c:v>
                </c:pt>
                <c:pt idx="27">
                  <c:v>-0.373</c:v>
                </c:pt>
                <c:pt idx="31">
                  <c:v>-0.19700000000000001</c:v>
                </c:pt>
                <c:pt idx="32">
                  <c:v>-0.26500000000000001</c:v>
                </c:pt>
                <c:pt idx="33">
                  <c:v>-0.29799999999999999</c:v>
                </c:pt>
                <c:pt idx="37">
                  <c:v>-0.23300000000000001</c:v>
                </c:pt>
                <c:pt idx="38">
                  <c:v>-0.38700000000000001</c:v>
                </c:pt>
                <c:pt idx="39">
                  <c:v>-0.41199999999999998</c:v>
                </c:pt>
                <c:pt idx="4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248-4734-BD5B-F08E71142A7D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All!$IE$6:$IE$50</c:f>
              <c:numCache>
                <c:formatCode>General</c:formatCode>
                <c:ptCount val="45"/>
                <c:pt idx="0">
                  <c:v>-4.9000000000000002E-2</c:v>
                </c:pt>
                <c:pt idx="1">
                  <c:v>-0.26300000000000001</c:v>
                </c:pt>
                <c:pt idx="2">
                  <c:v>-0.222</c:v>
                </c:pt>
                <c:pt idx="3">
                  <c:v>-0.26800000000000002</c:v>
                </c:pt>
                <c:pt idx="4">
                  <c:v>-0.20300000000000001</c:v>
                </c:pt>
                <c:pt idx="8">
                  <c:v>-0.125</c:v>
                </c:pt>
                <c:pt idx="9">
                  <c:v>-0.23100000000000001</c:v>
                </c:pt>
                <c:pt idx="10">
                  <c:v>-0.23400000000000001</c:v>
                </c:pt>
                <c:pt idx="11">
                  <c:v>-0.23499999999999999</c:v>
                </c:pt>
                <c:pt idx="12">
                  <c:v>-0.17100000000000001</c:v>
                </c:pt>
                <c:pt idx="16">
                  <c:v>-8.1000000000000003E-2</c:v>
                </c:pt>
                <c:pt idx="17">
                  <c:v>-0.124</c:v>
                </c:pt>
                <c:pt idx="18">
                  <c:v>-6.3E-2</c:v>
                </c:pt>
                <c:pt idx="19">
                  <c:v>-8.4000000000000005E-2</c:v>
                </c:pt>
                <c:pt idx="20">
                  <c:v>-2.5999999999999999E-2</c:v>
                </c:pt>
                <c:pt idx="24">
                  <c:v>-0.193</c:v>
                </c:pt>
                <c:pt idx="25">
                  <c:v>-0.26600000000000001</c:v>
                </c:pt>
                <c:pt idx="26">
                  <c:v>-0.23</c:v>
                </c:pt>
                <c:pt idx="27">
                  <c:v>-0.191</c:v>
                </c:pt>
                <c:pt idx="31">
                  <c:v>-0.10100000000000001</c:v>
                </c:pt>
                <c:pt idx="32">
                  <c:v>-0.14499999999999999</c:v>
                </c:pt>
                <c:pt idx="33">
                  <c:v>-0.16200000000000001</c:v>
                </c:pt>
                <c:pt idx="37">
                  <c:v>-0.122</c:v>
                </c:pt>
                <c:pt idx="38">
                  <c:v>-0.215</c:v>
                </c:pt>
                <c:pt idx="39">
                  <c:v>-0.21099999999999999</c:v>
                </c:pt>
                <c:pt idx="40">
                  <c:v>-5.8999999999999997E-2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48-4734-BD5B-F08E71142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7120"/>
        <c:axId val="1117646288"/>
      </c:scatterChart>
      <c:valAx>
        <c:axId val="111763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8000"/>
        <c:crosses val="autoZero"/>
        <c:crossBetween val="midCat"/>
      </c:valAx>
      <c:valAx>
        <c:axId val="11176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3392"/>
        <c:crosses val="autoZero"/>
        <c:crossBetween val="midCat"/>
      </c:valAx>
      <c:valAx>
        <c:axId val="1117646288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7120"/>
        <c:crosses val="max"/>
        <c:crossBetween val="midCat"/>
      </c:valAx>
      <c:valAx>
        <c:axId val="111764712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All!$EL$6:$EL$50</c:f>
              <c:numCache>
                <c:formatCode>General</c:formatCode>
                <c:ptCount val="45"/>
                <c:pt idx="0">
                  <c:v>2.5499999999999998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2.2999999999999998</c:v>
                </c:pt>
                <c:pt idx="8">
                  <c:v>2.65</c:v>
                </c:pt>
                <c:pt idx="9">
                  <c:v>2.2000000000000002</c:v>
                </c:pt>
                <c:pt idx="10">
                  <c:v>2.25</c:v>
                </c:pt>
                <c:pt idx="11">
                  <c:v>2.25</c:v>
                </c:pt>
                <c:pt idx="12">
                  <c:v>2.2999999999999998</c:v>
                </c:pt>
                <c:pt idx="16">
                  <c:v>2.7</c:v>
                </c:pt>
                <c:pt idx="17">
                  <c:v>2.25</c:v>
                </c:pt>
                <c:pt idx="18">
                  <c:v>2.2000000000000002</c:v>
                </c:pt>
                <c:pt idx="19">
                  <c:v>2.2999999999999998</c:v>
                </c:pt>
                <c:pt idx="20">
                  <c:v>2.2999999999999998</c:v>
                </c:pt>
                <c:pt idx="24">
                  <c:v>2.2999999999999998</c:v>
                </c:pt>
                <c:pt idx="25">
                  <c:v>2.25</c:v>
                </c:pt>
                <c:pt idx="26">
                  <c:v>2.2999999999999998</c:v>
                </c:pt>
                <c:pt idx="27">
                  <c:v>2.35</c:v>
                </c:pt>
                <c:pt idx="31">
                  <c:v>2.65</c:v>
                </c:pt>
                <c:pt idx="32">
                  <c:v>2.2999999999999998</c:v>
                </c:pt>
                <c:pt idx="33">
                  <c:v>2.4</c:v>
                </c:pt>
                <c:pt idx="37">
                  <c:v>2.75</c:v>
                </c:pt>
                <c:pt idx="38">
                  <c:v>2.2999999999999998</c:v>
                </c:pt>
                <c:pt idx="39">
                  <c:v>2.2999999999999998</c:v>
                </c:pt>
                <c:pt idx="40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F7-456C-BC5E-AF92B51BF829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All!$EM$6:$EM$50</c:f>
              <c:numCache>
                <c:formatCode>General</c:formatCode>
                <c:ptCount val="45"/>
                <c:pt idx="0">
                  <c:v>1.7</c:v>
                </c:pt>
                <c:pt idx="1">
                  <c:v>1.8</c:v>
                </c:pt>
                <c:pt idx="2">
                  <c:v>1.75</c:v>
                </c:pt>
                <c:pt idx="3">
                  <c:v>1.85</c:v>
                </c:pt>
                <c:pt idx="4">
                  <c:v>1.85</c:v>
                </c:pt>
                <c:pt idx="8">
                  <c:v>1.85</c:v>
                </c:pt>
                <c:pt idx="9">
                  <c:v>1.8</c:v>
                </c:pt>
                <c:pt idx="10">
                  <c:v>1.85</c:v>
                </c:pt>
                <c:pt idx="11">
                  <c:v>1.85</c:v>
                </c:pt>
                <c:pt idx="12">
                  <c:v>1.85</c:v>
                </c:pt>
                <c:pt idx="16">
                  <c:v>1.85</c:v>
                </c:pt>
                <c:pt idx="17">
                  <c:v>1.8</c:v>
                </c:pt>
                <c:pt idx="18">
                  <c:v>1.75</c:v>
                </c:pt>
                <c:pt idx="19">
                  <c:v>1.85</c:v>
                </c:pt>
                <c:pt idx="20">
                  <c:v>1.9</c:v>
                </c:pt>
                <c:pt idx="24">
                  <c:v>1.8</c:v>
                </c:pt>
                <c:pt idx="25">
                  <c:v>1.9</c:v>
                </c:pt>
                <c:pt idx="26">
                  <c:v>1.85</c:v>
                </c:pt>
                <c:pt idx="27">
                  <c:v>1.85</c:v>
                </c:pt>
                <c:pt idx="31">
                  <c:v>1.9</c:v>
                </c:pt>
                <c:pt idx="32">
                  <c:v>1.9</c:v>
                </c:pt>
                <c:pt idx="33">
                  <c:v>1.9</c:v>
                </c:pt>
                <c:pt idx="37">
                  <c:v>1.9</c:v>
                </c:pt>
                <c:pt idx="38">
                  <c:v>1.95</c:v>
                </c:pt>
                <c:pt idx="39">
                  <c:v>1.95</c:v>
                </c:pt>
                <c:pt idx="4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F7-456C-BC5E-AF92B51BF829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All!$FM$6:$FM$50</c:f>
              <c:numCache>
                <c:formatCode>General</c:formatCode>
                <c:ptCount val="45"/>
                <c:pt idx="0">
                  <c:v>3.61</c:v>
                </c:pt>
                <c:pt idx="1">
                  <c:v>3.71</c:v>
                </c:pt>
                <c:pt idx="2">
                  <c:v>3.79</c:v>
                </c:pt>
                <c:pt idx="3">
                  <c:v>3.76</c:v>
                </c:pt>
                <c:pt idx="4">
                  <c:v>3.82</c:v>
                </c:pt>
                <c:pt idx="8">
                  <c:v>3.72</c:v>
                </c:pt>
                <c:pt idx="9">
                  <c:v>3.76</c:v>
                </c:pt>
                <c:pt idx="10">
                  <c:v>3.73</c:v>
                </c:pt>
                <c:pt idx="11">
                  <c:v>3.72</c:v>
                </c:pt>
                <c:pt idx="12">
                  <c:v>3.84</c:v>
                </c:pt>
                <c:pt idx="16">
                  <c:v>3.72</c:v>
                </c:pt>
                <c:pt idx="17">
                  <c:v>3.7</c:v>
                </c:pt>
                <c:pt idx="18">
                  <c:v>3.54</c:v>
                </c:pt>
                <c:pt idx="19">
                  <c:v>3.67</c:v>
                </c:pt>
                <c:pt idx="20">
                  <c:v>3.48</c:v>
                </c:pt>
                <c:pt idx="24">
                  <c:v>3.8</c:v>
                </c:pt>
                <c:pt idx="25">
                  <c:v>3.92</c:v>
                </c:pt>
                <c:pt idx="26">
                  <c:v>3.98</c:v>
                </c:pt>
                <c:pt idx="27">
                  <c:v>3.99</c:v>
                </c:pt>
                <c:pt idx="31">
                  <c:v>3.92</c:v>
                </c:pt>
                <c:pt idx="32">
                  <c:v>3.78</c:v>
                </c:pt>
                <c:pt idx="33">
                  <c:v>3.78</c:v>
                </c:pt>
                <c:pt idx="37">
                  <c:v>3.82</c:v>
                </c:pt>
                <c:pt idx="38">
                  <c:v>3.78</c:v>
                </c:pt>
                <c:pt idx="39">
                  <c:v>3.89</c:v>
                </c:pt>
                <c:pt idx="40">
                  <c:v>3.86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F7-456C-BC5E-AF92B51BF829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All!$FN$6:$FN$50</c:f>
              <c:numCache>
                <c:formatCode>General</c:formatCode>
                <c:ptCount val="45"/>
                <c:pt idx="0">
                  <c:v>-0.9</c:v>
                </c:pt>
                <c:pt idx="1">
                  <c:v>-0.78</c:v>
                </c:pt>
                <c:pt idx="2">
                  <c:v>-0.56000000000000005</c:v>
                </c:pt>
                <c:pt idx="3">
                  <c:v>-0.25</c:v>
                </c:pt>
                <c:pt idx="4">
                  <c:v>0.84</c:v>
                </c:pt>
                <c:pt idx="8">
                  <c:v>-0.09</c:v>
                </c:pt>
                <c:pt idx="9">
                  <c:v>-0.22</c:v>
                </c:pt>
                <c:pt idx="10">
                  <c:v>-0.63</c:v>
                </c:pt>
                <c:pt idx="11">
                  <c:v>-0.56000000000000005</c:v>
                </c:pt>
                <c:pt idx="12">
                  <c:v>-0.37</c:v>
                </c:pt>
                <c:pt idx="16">
                  <c:v>-0.41</c:v>
                </c:pt>
                <c:pt idx="17">
                  <c:v>0.05</c:v>
                </c:pt>
                <c:pt idx="18">
                  <c:v>-0.71</c:v>
                </c:pt>
                <c:pt idx="19">
                  <c:v>-0.7</c:v>
                </c:pt>
                <c:pt idx="20">
                  <c:v>0.31</c:v>
                </c:pt>
                <c:pt idx="24">
                  <c:v>-0.22</c:v>
                </c:pt>
                <c:pt idx="25">
                  <c:v>1.33</c:v>
                </c:pt>
                <c:pt idx="26">
                  <c:v>2.58</c:v>
                </c:pt>
                <c:pt idx="27">
                  <c:v>2.21</c:v>
                </c:pt>
                <c:pt idx="31">
                  <c:v>1.63</c:v>
                </c:pt>
                <c:pt idx="32">
                  <c:v>1.29</c:v>
                </c:pt>
                <c:pt idx="33">
                  <c:v>0.78</c:v>
                </c:pt>
                <c:pt idx="37">
                  <c:v>1.07</c:v>
                </c:pt>
                <c:pt idx="38">
                  <c:v>0.49</c:v>
                </c:pt>
                <c:pt idx="39">
                  <c:v>0.19</c:v>
                </c:pt>
                <c:pt idx="40">
                  <c:v>1.59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F7-456C-BC5E-AF92B51BF829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All!$HV$6:$HV$50</c:f>
              <c:numCache>
                <c:formatCode>General</c:formatCode>
                <c:ptCount val="45"/>
                <c:pt idx="0">
                  <c:v>-1.7410000000000001</c:v>
                </c:pt>
                <c:pt idx="1">
                  <c:v>-1.2E-2</c:v>
                </c:pt>
                <c:pt idx="2">
                  <c:v>0.51300000000000001</c:v>
                </c:pt>
                <c:pt idx="3">
                  <c:v>0.63300000000000001</c:v>
                </c:pt>
                <c:pt idx="4">
                  <c:v>0.74099999999999999</c:v>
                </c:pt>
                <c:pt idx="8">
                  <c:v>0.13100000000000001</c:v>
                </c:pt>
                <c:pt idx="9">
                  <c:v>0.65400000000000003</c:v>
                </c:pt>
                <c:pt idx="10">
                  <c:v>0.73699999999999999</c:v>
                </c:pt>
                <c:pt idx="11">
                  <c:v>0.72399999999999998</c:v>
                </c:pt>
                <c:pt idx="12">
                  <c:v>0.40200000000000002</c:v>
                </c:pt>
                <c:pt idx="16">
                  <c:v>0.24199999999999999</c:v>
                </c:pt>
                <c:pt idx="17">
                  <c:v>0.442</c:v>
                </c:pt>
                <c:pt idx="18">
                  <c:v>9.6000000000000002E-2</c:v>
                </c:pt>
                <c:pt idx="19">
                  <c:v>0.374</c:v>
                </c:pt>
                <c:pt idx="20">
                  <c:v>0.114</c:v>
                </c:pt>
                <c:pt idx="24">
                  <c:v>0.497</c:v>
                </c:pt>
                <c:pt idx="25">
                  <c:v>1.206</c:v>
                </c:pt>
                <c:pt idx="26">
                  <c:v>1.3320000000000001</c:v>
                </c:pt>
                <c:pt idx="27">
                  <c:v>1.091</c:v>
                </c:pt>
                <c:pt idx="31">
                  <c:v>0.66600000000000004</c:v>
                </c:pt>
                <c:pt idx="32">
                  <c:v>0.97899999999999998</c:v>
                </c:pt>
                <c:pt idx="33">
                  <c:v>0.61399999999999999</c:v>
                </c:pt>
                <c:pt idx="37">
                  <c:v>0.54700000000000004</c:v>
                </c:pt>
                <c:pt idx="38">
                  <c:v>0.58299999999999996</c:v>
                </c:pt>
                <c:pt idx="39">
                  <c:v>0.751</c:v>
                </c:pt>
                <c:pt idx="40">
                  <c:v>0.40500000000000003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F7-456C-BC5E-AF92B51BF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5088"/>
        <c:axId val="1117612176"/>
      </c:scatterChart>
      <c:valAx>
        <c:axId val="111761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2176"/>
        <c:crosses val="autoZero"/>
        <c:crossBetween val="midCat"/>
      </c:valAx>
      <c:valAx>
        <c:axId val="1117612176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All!$FG$6:$FG$50</c:f>
              <c:numCache>
                <c:formatCode>General</c:formatCode>
                <c:ptCount val="45"/>
                <c:pt idx="0">
                  <c:v>1.0089999999999999</c:v>
                </c:pt>
                <c:pt idx="1">
                  <c:v>0.91600000000000004</c:v>
                </c:pt>
                <c:pt idx="2">
                  <c:v>0.91800000000000004</c:v>
                </c:pt>
                <c:pt idx="3">
                  <c:v>0.91400000000000003</c:v>
                </c:pt>
                <c:pt idx="4">
                  <c:v>0.93100000000000005</c:v>
                </c:pt>
                <c:pt idx="8">
                  <c:v>0.96499999999999997</c:v>
                </c:pt>
                <c:pt idx="9">
                  <c:v>0.91700000000000004</c:v>
                </c:pt>
                <c:pt idx="10">
                  <c:v>0.91400000000000003</c:v>
                </c:pt>
                <c:pt idx="11">
                  <c:v>0.91600000000000004</c:v>
                </c:pt>
                <c:pt idx="12">
                  <c:v>0.98299999999999998</c:v>
                </c:pt>
                <c:pt idx="16">
                  <c:v>0.96299999999999997</c:v>
                </c:pt>
                <c:pt idx="17">
                  <c:v>0.91700000000000004</c:v>
                </c:pt>
                <c:pt idx="18">
                  <c:v>0.92300000000000004</c:v>
                </c:pt>
                <c:pt idx="19">
                  <c:v>0.92100000000000004</c:v>
                </c:pt>
                <c:pt idx="20">
                  <c:v>1.133</c:v>
                </c:pt>
                <c:pt idx="24">
                  <c:v>0.93500000000000005</c:v>
                </c:pt>
                <c:pt idx="25">
                  <c:v>0.91300000000000003</c:v>
                </c:pt>
                <c:pt idx="26">
                  <c:v>0.91600000000000004</c:v>
                </c:pt>
                <c:pt idx="27">
                  <c:v>0.97099999999999997</c:v>
                </c:pt>
                <c:pt idx="31">
                  <c:v>1</c:v>
                </c:pt>
                <c:pt idx="32">
                  <c:v>0.91700000000000004</c:v>
                </c:pt>
                <c:pt idx="33">
                  <c:v>1.06</c:v>
                </c:pt>
                <c:pt idx="37">
                  <c:v>0.96899999999999997</c:v>
                </c:pt>
                <c:pt idx="38">
                  <c:v>0.91600000000000004</c:v>
                </c:pt>
                <c:pt idx="39">
                  <c:v>0.91500000000000004</c:v>
                </c:pt>
                <c:pt idx="40">
                  <c:v>0.97199999999999998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3-493D-A78B-3AACCA0CBD1B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All!$FH$6:$FH$50</c:f>
              <c:numCache>
                <c:formatCode>General</c:formatCode>
                <c:ptCount val="45"/>
                <c:pt idx="0">
                  <c:v>1.0089999999999999</c:v>
                </c:pt>
                <c:pt idx="1">
                  <c:v>0.91700000000000004</c:v>
                </c:pt>
                <c:pt idx="2">
                  <c:v>0.91800000000000004</c:v>
                </c:pt>
                <c:pt idx="3">
                  <c:v>0.91400000000000003</c:v>
                </c:pt>
                <c:pt idx="4">
                  <c:v>0.92500000000000004</c:v>
                </c:pt>
                <c:pt idx="8">
                  <c:v>0.97</c:v>
                </c:pt>
                <c:pt idx="9">
                  <c:v>0.91800000000000004</c:v>
                </c:pt>
                <c:pt idx="10">
                  <c:v>0.91400000000000003</c:v>
                </c:pt>
                <c:pt idx="11">
                  <c:v>0.91500000000000004</c:v>
                </c:pt>
                <c:pt idx="12">
                  <c:v>1.01</c:v>
                </c:pt>
                <c:pt idx="16">
                  <c:v>0.96799999999999997</c:v>
                </c:pt>
                <c:pt idx="17">
                  <c:v>0.91900000000000004</c:v>
                </c:pt>
                <c:pt idx="18">
                  <c:v>0.92300000000000004</c:v>
                </c:pt>
                <c:pt idx="19">
                  <c:v>0.92200000000000004</c:v>
                </c:pt>
                <c:pt idx="20">
                  <c:v>1.1240000000000001</c:v>
                </c:pt>
                <c:pt idx="24">
                  <c:v>0.93500000000000005</c:v>
                </c:pt>
                <c:pt idx="25">
                  <c:v>0.91300000000000003</c:v>
                </c:pt>
                <c:pt idx="26">
                  <c:v>0.91700000000000004</c:v>
                </c:pt>
                <c:pt idx="27">
                  <c:v>0.92400000000000004</c:v>
                </c:pt>
                <c:pt idx="31">
                  <c:v>1.012</c:v>
                </c:pt>
                <c:pt idx="32">
                  <c:v>0.91800000000000004</c:v>
                </c:pt>
                <c:pt idx="33">
                  <c:v>0.98099999999999998</c:v>
                </c:pt>
                <c:pt idx="37">
                  <c:v>0.97199999999999998</c:v>
                </c:pt>
                <c:pt idx="38">
                  <c:v>0.91600000000000004</c:v>
                </c:pt>
                <c:pt idx="39">
                  <c:v>0.91700000000000004</c:v>
                </c:pt>
                <c:pt idx="40">
                  <c:v>0.95599999999999996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3-493D-A78B-3AACCA0CBD1B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All!$FI$6:$FI$50</c:f>
              <c:numCache>
                <c:formatCode>General</c:formatCode>
                <c:ptCount val="45"/>
                <c:pt idx="0">
                  <c:v>1.0009999999999999</c:v>
                </c:pt>
                <c:pt idx="1">
                  <c:v>0.998</c:v>
                </c:pt>
                <c:pt idx="2">
                  <c:v>0.996</c:v>
                </c:pt>
                <c:pt idx="3">
                  <c:v>0.996</c:v>
                </c:pt>
                <c:pt idx="4">
                  <c:v>0.996</c:v>
                </c:pt>
                <c:pt idx="8">
                  <c:v>1</c:v>
                </c:pt>
                <c:pt idx="9">
                  <c:v>0.996</c:v>
                </c:pt>
                <c:pt idx="10">
                  <c:v>0.995</c:v>
                </c:pt>
                <c:pt idx="11">
                  <c:v>0.995</c:v>
                </c:pt>
                <c:pt idx="12">
                  <c:v>0.995</c:v>
                </c:pt>
                <c:pt idx="16">
                  <c:v>0.998</c:v>
                </c:pt>
                <c:pt idx="17">
                  <c:v>0.99299999999999999</c:v>
                </c:pt>
                <c:pt idx="18">
                  <c:v>0.998</c:v>
                </c:pt>
                <c:pt idx="19">
                  <c:v>0.997</c:v>
                </c:pt>
                <c:pt idx="20">
                  <c:v>1</c:v>
                </c:pt>
                <c:pt idx="24">
                  <c:v>1.0029999999999999</c:v>
                </c:pt>
                <c:pt idx="25">
                  <c:v>0.995</c:v>
                </c:pt>
                <c:pt idx="26">
                  <c:v>0.99399999999999999</c:v>
                </c:pt>
                <c:pt idx="27">
                  <c:v>0.995</c:v>
                </c:pt>
                <c:pt idx="31">
                  <c:v>1</c:v>
                </c:pt>
                <c:pt idx="32">
                  <c:v>0.997</c:v>
                </c:pt>
                <c:pt idx="33">
                  <c:v>0.997</c:v>
                </c:pt>
                <c:pt idx="37">
                  <c:v>1.002</c:v>
                </c:pt>
                <c:pt idx="38">
                  <c:v>0.997</c:v>
                </c:pt>
                <c:pt idx="39">
                  <c:v>0.997</c:v>
                </c:pt>
                <c:pt idx="40">
                  <c:v>1.0209999999999999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3-493D-A78B-3AACCA0CBD1B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All!$FJ$6:$FJ$50</c:f>
              <c:numCache>
                <c:formatCode>General</c:formatCode>
                <c:ptCount val="45"/>
                <c:pt idx="0">
                  <c:v>1.002</c:v>
                </c:pt>
                <c:pt idx="1">
                  <c:v>1</c:v>
                </c:pt>
                <c:pt idx="2">
                  <c:v>0.998</c:v>
                </c:pt>
                <c:pt idx="3">
                  <c:v>0.998</c:v>
                </c:pt>
                <c:pt idx="4">
                  <c:v>0.998</c:v>
                </c:pt>
                <c:pt idx="8">
                  <c:v>1.002</c:v>
                </c:pt>
                <c:pt idx="9">
                  <c:v>0.998</c:v>
                </c:pt>
                <c:pt idx="10">
                  <c:v>0.997</c:v>
                </c:pt>
                <c:pt idx="11">
                  <c:v>0.997</c:v>
                </c:pt>
                <c:pt idx="12">
                  <c:v>0.997</c:v>
                </c:pt>
                <c:pt idx="16">
                  <c:v>1.0009999999999999</c:v>
                </c:pt>
                <c:pt idx="17">
                  <c:v>0.998</c:v>
                </c:pt>
                <c:pt idx="18">
                  <c:v>1.002</c:v>
                </c:pt>
                <c:pt idx="19">
                  <c:v>1.002</c:v>
                </c:pt>
                <c:pt idx="20">
                  <c:v>1.0029999999999999</c:v>
                </c:pt>
                <c:pt idx="24">
                  <c:v>1.0049999999999999</c:v>
                </c:pt>
                <c:pt idx="25">
                  <c:v>1</c:v>
                </c:pt>
                <c:pt idx="26">
                  <c:v>0.999</c:v>
                </c:pt>
                <c:pt idx="27">
                  <c:v>0.999</c:v>
                </c:pt>
                <c:pt idx="31">
                  <c:v>1.004</c:v>
                </c:pt>
                <c:pt idx="32">
                  <c:v>1.0029999999999999</c:v>
                </c:pt>
                <c:pt idx="33">
                  <c:v>1.002</c:v>
                </c:pt>
                <c:pt idx="37">
                  <c:v>1.006</c:v>
                </c:pt>
                <c:pt idx="38">
                  <c:v>1.004</c:v>
                </c:pt>
                <c:pt idx="39">
                  <c:v>1.004</c:v>
                </c:pt>
                <c:pt idx="40">
                  <c:v>1.022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D3-493D-A78B-3AACCA0CB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5088"/>
        <c:axId val="1117625072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All!$IL$6:$IL$50</c:f>
              <c:numCache>
                <c:formatCode>General</c:formatCode>
                <c:ptCount val="45"/>
                <c:pt idx="0">
                  <c:v>737.86599999999999</c:v>
                </c:pt>
                <c:pt idx="1">
                  <c:v>78.742999999999995</c:v>
                </c:pt>
                <c:pt idx="2">
                  <c:v>85.325999999999993</c:v>
                </c:pt>
                <c:pt idx="3">
                  <c:v>73.025999999999996</c:v>
                </c:pt>
                <c:pt idx="4">
                  <c:v>84.573999999999998</c:v>
                </c:pt>
                <c:pt idx="8">
                  <c:v>160.32400000000001</c:v>
                </c:pt>
                <c:pt idx="9">
                  <c:v>76.902000000000001</c:v>
                </c:pt>
                <c:pt idx="10">
                  <c:v>76.620999999999995</c:v>
                </c:pt>
                <c:pt idx="11">
                  <c:v>77.326999999999998</c:v>
                </c:pt>
                <c:pt idx="12">
                  <c:v>95.932000000000002</c:v>
                </c:pt>
                <c:pt idx="16">
                  <c:v>154.096</c:v>
                </c:pt>
                <c:pt idx="17">
                  <c:v>153.63</c:v>
                </c:pt>
                <c:pt idx="18">
                  <c:v>105.727</c:v>
                </c:pt>
                <c:pt idx="19">
                  <c:v>75.084999999999994</c:v>
                </c:pt>
                <c:pt idx="20">
                  <c:v>393.89100000000002</c:v>
                </c:pt>
                <c:pt idx="24">
                  <c:v>234.11799999999999</c:v>
                </c:pt>
                <c:pt idx="25">
                  <c:v>72.873999999999995</c:v>
                </c:pt>
                <c:pt idx="26">
                  <c:v>72.069999999999993</c:v>
                </c:pt>
                <c:pt idx="27">
                  <c:v>88.605999999999995</c:v>
                </c:pt>
                <c:pt idx="31">
                  <c:v>141.631</c:v>
                </c:pt>
                <c:pt idx="32">
                  <c:v>66.807000000000002</c:v>
                </c:pt>
                <c:pt idx="33">
                  <c:v>87.584000000000003</c:v>
                </c:pt>
                <c:pt idx="37">
                  <c:v>143.334</c:v>
                </c:pt>
                <c:pt idx="38">
                  <c:v>72.774000000000001</c:v>
                </c:pt>
                <c:pt idx="39">
                  <c:v>78.507999999999996</c:v>
                </c:pt>
                <c:pt idx="40">
                  <c:v>336.43599999999998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D3-493D-A78B-3AACCA0CBD1B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All!$IM$6:$IM$50</c:f>
              <c:numCache>
                <c:formatCode>General</c:formatCode>
                <c:ptCount val="45"/>
                <c:pt idx="0">
                  <c:v>737.86599999999999</c:v>
                </c:pt>
                <c:pt idx="1">
                  <c:v>78.742999999999995</c:v>
                </c:pt>
                <c:pt idx="2">
                  <c:v>85.325999999999993</c:v>
                </c:pt>
                <c:pt idx="3">
                  <c:v>73.025999999999996</c:v>
                </c:pt>
                <c:pt idx="4">
                  <c:v>84.573999999999998</c:v>
                </c:pt>
                <c:pt idx="8">
                  <c:v>160.32400000000001</c:v>
                </c:pt>
                <c:pt idx="9">
                  <c:v>76.902000000000001</c:v>
                </c:pt>
                <c:pt idx="10">
                  <c:v>76.620999999999995</c:v>
                </c:pt>
                <c:pt idx="11">
                  <c:v>77.326999999999998</c:v>
                </c:pt>
                <c:pt idx="12">
                  <c:v>95.932000000000002</c:v>
                </c:pt>
                <c:pt idx="16">
                  <c:v>154.096</c:v>
                </c:pt>
                <c:pt idx="17">
                  <c:v>153.63</c:v>
                </c:pt>
                <c:pt idx="18">
                  <c:v>105.727</c:v>
                </c:pt>
                <c:pt idx="19">
                  <c:v>75.084999999999994</c:v>
                </c:pt>
                <c:pt idx="20">
                  <c:v>393.89100000000002</c:v>
                </c:pt>
                <c:pt idx="24">
                  <c:v>233.958</c:v>
                </c:pt>
                <c:pt idx="25">
                  <c:v>72.873999999999995</c:v>
                </c:pt>
                <c:pt idx="26">
                  <c:v>72.069999999999993</c:v>
                </c:pt>
                <c:pt idx="27">
                  <c:v>88.605999999999995</c:v>
                </c:pt>
                <c:pt idx="31">
                  <c:v>141.631</c:v>
                </c:pt>
                <c:pt idx="32">
                  <c:v>66.807000000000002</c:v>
                </c:pt>
                <c:pt idx="33">
                  <c:v>87.584000000000003</c:v>
                </c:pt>
                <c:pt idx="37">
                  <c:v>143.334</c:v>
                </c:pt>
                <c:pt idx="38">
                  <c:v>72.774000000000001</c:v>
                </c:pt>
                <c:pt idx="39">
                  <c:v>78.507999999999996</c:v>
                </c:pt>
                <c:pt idx="40">
                  <c:v>336.43599999999998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D3-493D-A78B-3AACCA0CB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7536"/>
        <c:axId val="1117640464"/>
      </c:scatterChart>
      <c:valAx>
        <c:axId val="111761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5072"/>
        <c:crosses val="autoZero"/>
        <c:crossBetween val="midCat"/>
      </c:valAx>
      <c:valAx>
        <c:axId val="1117625072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088"/>
        <c:crosses val="autoZero"/>
        <c:crossBetween val="midCat"/>
      </c:valAx>
      <c:valAx>
        <c:axId val="1117640464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7536"/>
        <c:crosses val="max"/>
        <c:crossBetween val="midCat"/>
      </c:valAx>
      <c:valAx>
        <c:axId val="111764753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All!$FP$6:$FP$50</c:f>
              <c:numCache>
                <c:formatCode>General</c:formatCode>
                <c:ptCount val="45"/>
                <c:pt idx="0">
                  <c:v>0.2</c:v>
                </c:pt>
                <c:pt idx="2">
                  <c:v>4.1500000000000004</c:v>
                </c:pt>
                <c:pt idx="4">
                  <c:v>3.85</c:v>
                </c:pt>
                <c:pt idx="8">
                  <c:v>0.35</c:v>
                </c:pt>
                <c:pt idx="11">
                  <c:v>4.55</c:v>
                </c:pt>
                <c:pt idx="12">
                  <c:v>3.7</c:v>
                </c:pt>
                <c:pt idx="16">
                  <c:v>0.55000000000000004</c:v>
                </c:pt>
                <c:pt idx="17">
                  <c:v>4.3499999999999996</c:v>
                </c:pt>
                <c:pt idx="18">
                  <c:v>4.5999999999999996</c:v>
                </c:pt>
                <c:pt idx="20">
                  <c:v>4.3</c:v>
                </c:pt>
                <c:pt idx="24">
                  <c:v>4.5</c:v>
                </c:pt>
                <c:pt idx="27">
                  <c:v>3.7</c:v>
                </c:pt>
                <c:pt idx="31">
                  <c:v>0.45</c:v>
                </c:pt>
                <c:pt idx="33">
                  <c:v>3.9</c:v>
                </c:pt>
                <c:pt idx="37">
                  <c:v>0.8</c:v>
                </c:pt>
                <c:pt idx="40">
                  <c:v>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9-49FC-9284-D45322D3A5C2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All!$FQ$6:$FQ$50</c:f>
              <c:numCache>
                <c:formatCode>General</c:formatCode>
                <c:ptCount val="45"/>
                <c:pt idx="0">
                  <c:v>4.7</c:v>
                </c:pt>
                <c:pt idx="1">
                  <c:v>4.7</c:v>
                </c:pt>
                <c:pt idx="2">
                  <c:v>4.4000000000000004</c:v>
                </c:pt>
                <c:pt idx="3">
                  <c:v>4.6500000000000004</c:v>
                </c:pt>
                <c:pt idx="4">
                  <c:v>4.5</c:v>
                </c:pt>
                <c:pt idx="8">
                  <c:v>1.8</c:v>
                </c:pt>
                <c:pt idx="9">
                  <c:v>4.55</c:v>
                </c:pt>
                <c:pt idx="10">
                  <c:v>4.55</c:v>
                </c:pt>
                <c:pt idx="11">
                  <c:v>4.5</c:v>
                </c:pt>
                <c:pt idx="12">
                  <c:v>4.55</c:v>
                </c:pt>
                <c:pt idx="16">
                  <c:v>4.3499999999999996</c:v>
                </c:pt>
                <c:pt idx="17">
                  <c:v>4.5</c:v>
                </c:pt>
                <c:pt idx="18">
                  <c:v>4.55</c:v>
                </c:pt>
                <c:pt idx="19">
                  <c:v>4.95</c:v>
                </c:pt>
                <c:pt idx="20">
                  <c:v>4.5999999999999996</c:v>
                </c:pt>
                <c:pt idx="24">
                  <c:v>0.45</c:v>
                </c:pt>
                <c:pt idx="25">
                  <c:v>4.55</c:v>
                </c:pt>
                <c:pt idx="26">
                  <c:v>4.55</c:v>
                </c:pt>
                <c:pt idx="27">
                  <c:v>4.5</c:v>
                </c:pt>
                <c:pt idx="31">
                  <c:v>4.75</c:v>
                </c:pt>
                <c:pt idx="32">
                  <c:v>4.6500000000000004</c:v>
                </c:pt>
                <c:pt idx="33">
                  <c:v>4.5</c:v>
                </c:pt>
                <c:pt idx="37">
                  <c:v>4.6500000000000004</c:v>
                </c:pt>
                <c:pt idx="38">
                  <c:v>4.5999999999999996</c:v>
                </c:pt>
                <c:pt idx="39">
                  <c:v>4.55</c:v>
                </c:pt>
                <c:pt idx="40">
                  <c:v>4.45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9-49FC-9284-D45322D3A5C2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All!$FR$6:$FR$50</c:f>
              <c:numCache>
                <c:formatCode>General</c:formatCode>
                <c:ptCount val="45"/>
                <c:pt idx="0">
                  <c:v>5.2</c:v>
                </c:pt>
                <c:pt idx="1">
                  <c:v>5</c:v>
                </c:pt>
                <c:pt idx="2">
                  <c:v>5</c:v>
                </c:pt>
                <c:pt idx="3">
                  <c:v>4.95</c:v>
                </c:pt>
                <c:pt idx="4">
                  <c:v>5.05</c:v>
                </c:pt>
                <c:pt idx="8">
                  <c:v>5.15</c:v>
                </c:pt>
                <c:pt idx="9">
                  <c:v>4.95</c:v>
                </c:pt>
                <c:pt idx="10">
                  <c:v>4.75</c:v>
                </c:pt>
                <c:pt idx="11">
                  <c:v>5.05</c:v>
                </c:pt>
                <c:pt idx="12">
                  <c:v>4.8499999999999996</c:v>
                </c:pt>
                <c:pt idx="16">
                  <c:v>5</c:v>
                </c:pt>
                <c:pt idx="17">
                  <c:v>4.9000000000000004</c:v>
                </c:pt>
                <c:pt idx="18">
                  <c:v>5.05</c:v>
                </c:pt>
                <c:pt idx="19">
                  <c:v>5.05</c:v>
                </c:pt>
                <c:pt idx="20">
                  <c:v>5</c:v>
                </c:pt>
                <c:pt idx="24">
                  <c:v>5.0999999999999996</c:v>
                </c:pt>
                <c:pt idx="25">
                  <c:v>5</c:v>
                </c:pt>
                <c:pt idx="26">
                  <c:v>5.05</c:v>
                </c:pt>
                <c:pt idx="27">
                  <c:v>4.95</c:v>
                </c:pt>
                <c:pt idx="31">
                  <c:v>4.95</c:v>
                </c:pt>
                <c:pt idx="32">
                  <c:v>5</c:v>
                </c:pt>
                <c:pt idx="33">
                  <c:v>5.05</c:v>
                </c:pt>
                <c:pt idx="37">
                  <c:v>4.9000000000000004</c:v>
                </c:pt>
                <c:pt idx="38">
                  <c:v>5.05</c:v>
                </c:pt>
                <c:pt idx="39">
                  <c:v>5</c:v>
                </c:pt>
                <c:pt idx="40">
                  <c:v>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9-49FC-9284-D45322D3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4640"/>
        <c:axId val="1117638384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All!$FK$6:$FK$50</c:f>
              <c:numCache>
                <c:formatCode>General</c:formatCode>
                <c:ptCount val="45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0.20100000000000001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0.10100000000000001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0.30299999999999999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0.20200000000000001</c:v>
                </c:pt>
                <c:pt idx="32">
                  <c:v>0</c:v>
                </c:pt>
                <c:pt idx="33">
                  <c:v>0</c:v>
                </c:pt>
                <c:pt idx="37">
                  <c:v>0.10299999999999999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9-49FC-9284-D45322D3A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9216"/>
        <c:axId val="1117650448"/>
      </c:scatterChart>
      <c:valAx>
        <c:axId val="111763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8384"/>
        <c:crosses val="autoZero"/>
        <c:crossBetween val="midCat"/>
      </c:valAx>
      <c:valAx>
        <c:axId val="111763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4640"/>
        <c:crosses val="autoZero"/>
        <c:crossBetween val="midCat"/>
      </c:valAx>
      <c:valAx>
        <c:axId val="1117650448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9216"/>
        <c:crosses val="max"/>
        <c:crossBetween val="midCat"/>
      </c:valAx>
      <c:valAx>
        <c:axId val="1117639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5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All!$GF$6:$GF$50</c:f>
              <c:numCache>
                <c:formatCode>General</c:formatCode>
                <c:ptCount val="45"/>
                <c:pt idx="0">
                  <c:v>1440.9530999999999</c:v>
                </c:pt>
                <c:pt idx="1">
                  <c:v>1401.75</c:v>
                </c:pt>
                <c:pt idx="2">
                  <c:v>1413.7655999999999</c:v>
                </c:pt>
                <c:pt idx="3">
                  <c:v>1363.4219000000001</c:v>
                </c:pt>
                <c:pt idx="4">
                  <c:v>1293.1875</c:v>
                </c:pt>
                <c:pt idx="8">
                  <c:v>1259.875</c:v>
                </c:pt>
                <c:pt idx="9">
                  <c:v>1479.4688000000001</c:v>
                </c:pt>
                <c:pt idx="10">
                  <c:v>1472.7969000000001</c:v>
                </c:pt>
                <c:pt idx="11">
                  <c:v>1621.5625</c:v>
                </c:pt>
                <c:pt idx="12">
                  <c:v>1357.8280999999999</c:v>
                </c:pt>
                <c:pt idx="16">
                  <c:v>1409.2655999999999</c:v>
                </c:pt>
                <c:pt idx="17">
                  <c:v>1527.5155999999999</c:v>
                </c:pt>
                <c:pt idx="18">
                  <c:v>1658.1719000000001</c:v>
                </c:pt>
                <c:pt idx="19">
                  <c:v>1381.9375</c:v>
                </c:pt>
                <c:pt idx="20">
                  <c:v>1391.5</c:v>
                </c:pt>
                <c:pt idx="24">
                  <c:v>1394.2655999999999</c:v>
                </c:pt>
                <c:pt idx="25">
                  <c:v>1329.7344000000001</c:v>
                </c:pt>
                <c:pt idx="26">
                  <c:v>1528.5313000000001</c:v>
                </c:pt>
                <c:pt idx="27">
                  <c:v>1268.5</c:v>
                </c:pt>
                <c:pt idx="31">
                  <c:v>1474.2813000000001</c:v>
                </c:pt>
                <c:pt idx="32">
                  <c:v>1289.0313000000001</c:v>
                </c:pt>
                <c:pt idx="33">
                  <c:v>1385.0625</c:v>
                </c:pt>
                <c:pt idx="37">
                  <c:v>1219.0938000000001</c:v>
                </c:pt>
                <c:pt idx="38">
                  <c:v>1555.9063000000001</c:v>
                </c:pt>
                <c:pt idx="39">
                  <c:v>1309.4530999999999</c:v>
                </c:pt>
                <c:pt idx="40">
                  <c:v>1300.0625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BC-4BEE-A1F5-C2CC8A0AC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5504"/>
        <c:axId val="1117632976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All!$FU$6:$FU$50</c:f>
              <c:numCache>
                <c:formatCode>General</c:formatCode>
                <c:ptCount val="45"/>
                <c:pt idx="0">
                  <c:v>4.38</c:v>
                </c:pt>
                <c:pt idx="1">
                  <c:v>4.88</c:v>
                </c:pt>
                <c:pt idx="2">
                  <c:v>5.51</c:v>
                </c:pt>
                <c:pt idx="3">
                  <c:v>6.19</c:v>
                </c:pt>
                <c:pt idx="4">
                  <c:v>6.27</c:v>
                </c:pt>
                <c:pt idx="8">
                  <c:v>5.94</c:v>
                </c:pt>
                <c:pt idx="9">
                  <c:v>5.92</c:v>
                </c:pt>
                <c:pt idx="10">
                  <c:v>6.33</c:v>
                </c:pt>
                <c:pt idx="11">
                  <c:v>6.36</c:v>
                </c:pt>
                <c:pt idx="12">
                  <c:v>6.32</c:v>
                </c:pt>
                <c:pt idx="16">
                  <c:v>6.41</c:v>
                </c:pt>
                <c:pt idx="17">
                  <c:v>6.21</c:v>
                </c:pt>
                <c:pt idx="18">
                  <c:v>6.05</c:v>
                </c:pt>
                <c:pt idx="19">
                  <c:v>6.37</c:v>
                </c:pt>
                <c:pt idx="20">
                  <c:v>6.12</c:v>
                </c:pt>
                <c:pt idx="24">
                  <c:v>6.51</c:v>
                </c:pt>
                <c:pt idx="25">
                  <c:v>6.09</c:v>
                </c:pt>
                <c:pt idx="26">
                  <c:v>6.53</c:v>
                </c:pt>
                <c:pt idx="27">
                  <c:v>5.99</c:v>
                </c:pt>
                <c:pt idx="31">
                  <c:v>6.02</c:v>
                </c:pt>
                <c:pt idx="32">
                  <c:v>6.03</c:v>
                </c:pt>
                <c:pt idx="33">
                  <c:v>6.3</c:v>
                </c:pt>
                <c:pt idx="37">
                  <c:v>5.58</c:v>
                </c:pt>
                <c:pt idx="38">
                  <c:v>5.81</c:v>
                </c:pt>
                <c:pt idx="39">
                  <c:v>6.09</c:v>
                </c:pt>
                <c:pt idx="40">
                  <c:v>5.81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BC-4BEE-A1F5-C2CC8A0AC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1296"/>
        <c:axId val="1117638800"/>
      </c:scatterChart>
      <c:valAx>
        <c:axId val="111761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2976"/>
        <c:crosses val="autoZero"/>
        <c:crossBetween val="midCat"/>
      </c:valAx>
      <c:valAx>
        <c:axId val="111763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5504"/>
        <c:crosses val="autoZero"/>
        <c:crossBetween val="midCat"/>
      </c:valAx>
      <c:valAx>
        <c:axId val="1117638800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1296"/>
        <c:crosses val="max"/>
        <c:crossBetween val="midCat"/>
      </c:valAx>
      <c:valAx>
        <c:axId val="1117641296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3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All!$FW$6:$FW$50</c:f>
              <c:numCache>
                <c:formatCode>General</c:formatCode>
                <c:ptCount val="45"/>
                <c:pt idx="0">
                  <c:v>16383.5</c:v>
                </c:pt>
                <c:pt idx="1">
                  <c:v>3299</c:v>
                </c:pt>
                <c:pt idx="2">
                  <c:v>3205</c:v>
                </c:pt>
                <c:pt idx="3">
                  <c:v>3189.5</c:v>
                </c:pt>
                <c:pt idx="4">
                  <c:v>3141.5</c:v>
                </c:pt>
                <c:pt idx="8">
                  <c:v>3210</c:v>
                </c:pt>
                <c:pt idx="9">
                  <c:v>3213.5</c:v>
                </c:pt>
                <c:pt idx="10">
                  <c:v>3049.5</c:v>
                </c:pt>
                <c:pt idx="11">
                  <c:v>3189.5</c:v>
                </c:pt>
                <c:pt idx="12">
                  <c:v>3158.5</c:v>
                </c:pt>
                <c:pt idx="16">
                  <c:v>3046</c:v>
                </c:pt>
                <c:pt idx="17">
                  <c:v>2888.5</c:v>
                </c:pt>
                <c:pt idx="18">
                  <c:v>2961.5</c:v>
                </c:pt>
                <c:pt idx="19">
                  <c:v>2962.5</c:v>
                </c:pt>
                <c:pt idx="20">
                  <c:v>2860</c:v>
                </c:pt>
                <c:pt idx="24">
                  <c:v>3204</c:v>
                </c:pt>
                <c:pt idx="25">
                  <c:v>3014</c:v>
                </c:pt>
                <c:pt idx="26">
                  <c:v>2990.5</c:v>
                </c:pt>
                <c:pt idx="27">
                  <c:v>3058</c:v>
                </c:pt>
                <c:pt idx="31">
                  <c:v>2904.5</c:v>
                </c:pt>
                <c:pt idx="32">
                  <c:v>2911.5</c:v>
                </c:pt>
                <c:pt idx="33">
                  <c:v>2953.5</c:v>
                </c:pt>
                <c:pt idx="37">
                  <c:v>3088.5</c:v>
                </c:pt>
                <c:pt idx="38">
                  <c:v>2907</c:v>
                </c:pt>
                <c:pt idx="39">
                  <c:v>3190</c:v>
                </c:pt>
                <c:pt idx="40">
                  <c:v>2872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77-4700-8F51-D2E0FE22F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34640"/>
        <c:axId val="1117628816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All!$FV$6:$FV$50</c:f>
              <c:numCache>
                <c:formatCode>General</c:formatCode>
                <c:ptCount val="45"/>
                <c:pt idx="0">
                  <c:v>5.76</c:v>
                </c:pt>
                <c:pt idx="1">
                  <c:v>11.54</c:v>
                </c:pt>
                <c:pt idx="2">
                  <c:v>17.25</c:v>
                </c:pt>
                <c:pt idx="3">
                  <c:v>23.23</c:v>
                </c:pt>
                <c:pt idx="4">
                  <c:v>29.1</c:v>
                </c:pt>
                <c:pt idx="8">
                  <c:v>5.74</c:v>
                </c:pt>
                <c:pt idx="9">
                  <c:v>11.69</c:v>
                </c:pt>
                <c:pt idx="10">
                  <c:v>17.61</c:v>
                </c:pt>
                <c:pt idx="11">
                  <c:v>23.51</c:v>
                </c:pt>
                <c:pt idx="12">
                  <c:v>29.36</c:v>
                </c:pt>
                <c:pt idx="16">
                  <c:v>5.76</c:v>
                </c:pt>
                <c:pt idx="17">
                  <c:v>11.35</c:v>
                </c:pt>
                <c:pt idx="18">
                  <c:v>17.09</c:v>
                </c:pt>
                <c:pt idx="19">
                  <c:v>23.13</c:v>
                </c:pt>
                <c:pt idx="20">
                  <c:v>27.1</c:v>
                </c:pt>
                <c:pt idx="24">
                  <c:v>5.73</c:v>
                </c:pt>
                <c:pt idx="25">
                  <c:v>11.76</c:v>
                </c:pt>
                <c:pt idx="26">
                  <c:v>17.8</c:v>
                </c:pt>
                <c:pt idx="27">
                  <c:v>23.56</c:v>
                </c:pt>
                <c:pt idx="31">
                  <c:v>29.38</c:v>
                </c:pt>
                <c:pt idx="32">
                  <c:v>35.47</c:v>
                </c:pt>
                <c:pt idx="33">
                  <c:v>41.46</c:v>
                </c:pt>
                <c:pt idx="37">
                  <c:v>47.3</c:v>
                </c:pt>
                <c:pt idx="38">
                  <c:v>53.32</c:v>
                </c:pt>
                <c:pt idx="39">
                  <c:v>59.24</c:v>
                </c:pt>
                <c:pt idx="40">
                  <c:v>63.09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77-4700-8F51-D2E0FE22F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88880"/>
        <c:axId val="1117640880"/>
      </c:scatterChart>
      <c:valAx>
        <c:axId val="111763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8816"/>
        <c:crosses val="autoZero"/>
        <c:crossBetween val="midCat"/>
      </c:valAx>
      <c:valAx>
        <c:axId val="111762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34640"/>
        <c:crosses val="autoZero"/>
        <c:crossBetween val="midCat"/>
      </c:valAx>
      <c:valAx>
        <c:axId val="1117640880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8880"/>
        <c:crosses val="max"/>
        <c:crossBetween val="midCat"/>
      </c:valAx>
      <c:valAx>
        <c:axId val="1117588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40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All!$FX$6:$FX$50</c:f>
              <c:numCache>
                <c:formatCode>General</c:formatCode>
                <c:ptCount val="45"/>
                <c:pt idx="0">
                  <c:v>160300</c:v>
                </c:pt>
                <c:pt idx="1">
                  <c:v>165400</c:v>
                </c:pt>
                <c:pt idx="2">
                  <c:v>164400</c:v>
                </c:pt>
                <c:pt idx="3">
                  <c:v>160800</c:v>
                </c:pt>
                <c:pt idx="4">
                  <c:v>162000</c:v>
                </c:pt>
                <c:pt idx="8">
                  <c:v>166500</c:v>
                </c:pt>
                <c:pt idx="9">
                  <c:v>162700</c:v>
                </c:pt>
                <c:pt idx="10">
                  <c:v>163000</c:v>
                </c:pt>
                <c:pt idx="11">
                  <c:v>162700</c:v>
                </c:pt>
                <c:pt idx="12">
                  <c:v>165000</c:v>
                </c:pt>
                <c:pt idx="16">
                  <c:v>163000</c:v>
                </c:pt>
                <c:pt idx="17">
                  <c:v>159400</c:v>
                </c:pt>
                <c:pt idx="18">
                  <c:v>160700</c:v>
                </c:pt>
                <c:pt idx="19">
                  <c:v>160400</c:v>
                </c:pt>
                <c:pt idx="20">
                  <c:v>160900</c:v>
                </c:pt>
                <c:pt idx="24">
                  <c:v>159900</c:v>
                </c:pt>
                <c:pt idx="25">
                  <c:v>163600</c:v>
                </c:pt>
                <c:pt idx="26">
                  <c:v>161800</c:v>
                </c:pt>
                <c:pt idx="27">
                  <c:v>163500</c:v>
                </c:pt>
                <c:pt idx="31">
                  <c:v>161400</c:v>
                </c:pt>
                <c:pt idx="32">
                  <c:v>164800</c:v>
                </c:pt>
                <c:pt idx="33">
                  <c:v>163400</c:v>
                </c:pt>
                <c:pt idx="37">
                  <c:v>163400</c:v>
                </c:pt>
                <c:pt idx="38">
                  <c:v>170200</c:v>
                </c:pt>
                <c:pt idx="39">
                  <c:v>167300</c:v>
                </c:pt>
                <c:pt idx="40">
                  <c:v>165300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0-4951-901B-FFAFC36F1F61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All!$FY$6:$FY$50</c:f>
              <c:numCache>
                <c:formatCode>General</c:formatCode>
                <c:ptCount val="45"/>
                <c:pt idx="0">
                  <c:v>161100</c:v>
                </c:pt>
                <c:pt idx="1">
                  <c:v>165500</c:v>
                </c:pt>
                <c:pt idx="2">
                  <c:v>166200</c:v>
                </c:pt>
                <c:pt idx="3">
                  <c:v>163100</c:v>
                </c:pt>
                <c:pt idx="4">
                  <c:v>163100</c:v>
                </c:pt>
                <c:pt idx="8">
                  <c:v>168300</c:v>
                </c:pt>
                <c:pt idx="9">
                  <c:v>163800</c:v>
                </c:pt>
                <c:pt idx="10">
                  <c:v>164800</c:v>
                </c:pt>
                <c:pt idx="11">
                  <c:v>163200</c:v>
                </c:pt>
                <c:pt idx="12">
                  <c:v>164300</c:v>
                </c:pt>
                <c:pt idx="16">
                  <c:v>163900</c:v>
                </c:pt>
                <c:pt idx="17">
                  <c:v>161300</c:v>
                </c:pt>
                <c:pt idx="18">
                  <c:v>161200</c:v>
                </c:pt>
                <c:pt idx="19">
                  <c:v>162500</c:v>
                </c:pt>
                <c:pt idx="20">
                  <c:v>162600</c:v>
                </c:pt>
                <c:pt idx="24">
                  <c:v>160700</c:v>
                </c:pt>
                <c:pt idx="25">
                  <c:v>163600</c:v>
                </c:pt>
                <c:pt idx="26">
                  <c:v>162200</c:v>
                </c:pt>
                <c:pt idx="27">
                  <c:v>164700</c:v>
                </c:pt>
                <c:pt idx="31">
                  <c:v>162500</c:v>
                </c:pt>
                <c:pt idx="32">
                  <c:v>166100</c:v>
                </c:pt>
                <c:pt idx="33">
                  <c:v>164900</c:v>
                </c:pt>
                <c:pt idx="37">
                  <c:v>164300</c:v>
                </c:pt>
                <c:pt idx="38">
                  <c:v>171000</c:v>
                </c:pt>
                <c:pt idx="39">
                  <c:v>167900</c:v>
                </c:pt>
                <c:pt idx="40">
                  <c:v>165800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00-4951-901B-FFAFC36F1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2592"/>
        <c:axId val="1117613008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All!$FZ$6:$FZ$50</c:f>
              <c:numCache>
                <c:formatCode>General</c:formatCode>
                <c:ptCount val="45"/>
                <c:pt idx="0">
                  <c:v>48.447000000000003</c:v>
                </c:pt>
                <c:pt idx="1">
                  <c:v>47.786999999999999</c:v>
                </c:pt>
                <c:pt idx="2">
                  <c:v>47.911000000000001</c:v>
                </c:pt>
                <c:pt idx="3">
                  <c:v>47.406999999999996</c:v>
                </c:pt>
                <c:pt idx="4">
                  <c:v>47.183</c:v>
                </c:pt>
                <c:pt idx="8">
                  <c:v>47.725000000000001</c:v>
                </c:pt>
                <c:pt idx="9">
                  <c:v>47.283000000000001</c:v>
                </c:pt>
                <c:pt idx="10">
                  <c:v>47.055</c:v>
                </c:pt>
                <c:pt idx="11">
                  <c:v>47.341000000000001</c:v>
                </c:pt>
                <c:pt idx="12">
                  <c:v>47.021999999999998</c:v>
                </c:pt>
                <c:pt idx="16">
                  <c:v>47.970999999999997</c:v>
                </c:pt>
                <c:pt idx="17">
                  <c:v>47.689</c:v>
                </c:pt>
                <c:pt idx="18">
                  <c:v>47.750999999999998</c:v>
                </c:pt>
                <c:pt idx="19">
                  <c:v>46.911000000000001</c:v>
                </c:pt>
                <c:pt idx="20">
                  <c:v>46.679000000000002</c:v>
                </c:pt>
                <c:pt idx="24">
                  <c:v>47.633000000000003</c:v>
                </c:pt>
                <c:pt idx="25">
                  <c:v>47.302</c:v>
                </c:pt>
                <c:pt idx="26">
                  <c:v>46.904000000000003</c:v>
                </c:pt>
                <c:pt idx="27">
                  <c:v>47.238999999999997</c:v>
                </c:pt>
                <c:pt idx="31">
                  <c:v>47.887</c:v>
                </c:pt>
                <c:pt idx="32">
                  <c:v>46.765999999999998</c:v>
                </c:pt>
                <c:pt idx="33">
                  <c:v>46.707000000000001</c:v>
                </c:pt>
                <c:pt idx="37">
                  <c:v>47.831000000000003</c:v>
                </c:pt>
                <c:pt idx="38">
                  <c:v>47.274999999999999</c:v>
                </c:pt>
                <c:pt idx="39">
                  <c:v>47.360999999999997</c:v>
                </c:pt>
                <c:pt idx="40">
                  <c:v>47.023000000000003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00-4951-901B-FFAFC36F1F61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All!$GA$6:$GA$50</c:f>
              <c:numCache>
                <c:formatCode>General</c:formatCode>
                <c:ptCount val="45"/>
                <c:pt idx="0">
                  <c:v>48.341000000000001</c:v>
                </c:pt>
                <c:pt idx="1">
                  <c:v>47.89</c:v>
                </c:pt>
                <c:pt idx="2">
                  <c:v>47.88</c:v>
                </c:pt>
                <c:pt idx="3">
                  <c:v>47.581000000000003</c:v>
                </c:pt>
                <c:pt idx="4">
                  <c:v>47.557000000000002</c:v>
                </c:pt>
                <c:pt idx="8">
                  <c:v>48.034999999999997</c:v>
                </c:pt>
                <c:pt idx="9">
                  <c:v>47.927</c:v>
                </c:pt>
                <c:pt idx="10">
                  <c:v>47.64</c:v>
                </c:pt>
                <c:pt idx="11">
                  <c:v>47.637999999999998</c:v>
                </c:pt>
                <c:pt idx="12">
                  <c:v>47.345999999999997</c:v>
                </c:pt>
                <c:pt idx="16">
                  <c:v>48.171999999999997</c:v>
                </c:pt>
                <c:pt idx="17">
                  <c:v>48.408999999999999</c:v>
                </c:pt>
                <c:pt idx="18">
                  <c:v>48.534999999999997</c:v>
                </c:pt>
                <c:pt idx="19">
                  <c:v>47.918999999999997</c:v>
                </c:pt>
                <c:pt idx="20">
                  <c:v>47.765000000000001</c:v>
                </c:pt>
                <c:pt idx="24">
                  <c:v>48.204000000000001</c:v>
                </c:pt>
                <c:pt idx="25">
                  <c:v>47.9</c:v>
                </c:pt>
                <c:pt idx="26">
                  <c:v>47.741999999999997</c:v>
                </c:pt>
                <c:pt idx="27">
                  <c:v>47.627000000000002</c:v>
                </c:pt>
                <c:pt idx="31">
                  <c:v>48.317</c:v>
                </c:pt>
                <c:pt idx="32">
                  <c:v>47.186999999999998</c:v>
                </c:pt>
                <c:pt idx="33">
                  <c:v>47.112000000000002</c:v>
                </c:pt>
                <c:pt idx="37">
                  <c:v>48.027999999999999</c:v>
                </c:pt>
                <c:pt idx="38">
                  <c:v>47.651000000000003</c:v>
                </c:pt>
                <c:pt idx="39">
                  <c:v>47.817</c:v>
                </c:pt>
                <c:pt idx="40">
                  <c:v>47.509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00-4951-901B-FFAFC36F1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6784"/>
        <c:axId val="1117610928"/>
      </c:scatterChart>
      <c:valAx>
        <c:axId val="111761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3008"/>
        <c:crosses val="autoZero"/>
        <c:crossBetween val="midCat"/>
      </c:valAx>
      <c:valAx>
        <c:axId val="11176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2592"/>
        <c:crosses val="autoZero"/>
        <c:crossBetween val="midCat"/>
      </c:valAx>
      <c:valAx>
        <c:axId val="1117610928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6784"/>
        <c:crosses val="max"/>
        <c:crossBetween val="midCat"/>
      </c:valAx>
      <c:valAx>
        <c:axId val="111759678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1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All!$GB$6:$GB$50</c:f>
              <c:numCache>
                <c:formatCode>General</c:formatCode>
                <c:ptCount val="45"/>
                <c:pt idx="0">
                  <c:v>2128.4</c:v>
                </c:pt>
                <c:pt idx="1">
                  <c:v>2211.1</c:v>
                </c:pt>
                <c:pt idx="2">
                  <c:v>2151.1999999999998</c:v>
                </c:pt>
                <c:pt idx="3">
                  <c:v>2150</c:v>
                </c:pt>
                <c:pt idx="4">
                  <c:v>2145</c:v>
                </c:pt>
                <c:pt idx="8">
                  <c:v>2185.1</c:v>
                </c:pt>
                <c:pt idx="9">
                  <c:v>2142.5</c:v>
                </c:pt>
                <c:pt idx="10">
                  <c:v>2135.6</c:v>
                </c:pt>
                <c:pt idx="11">
                  <c:v>2156.6</c:v>
                </c:pt>
                <c:pt idx="12">
                  <c:v>2169</c:v>
                </c:pt>
                <c:pt idx="16">
                  <c:v>2162.4</c:v>
                </c:pt>
                <c:pt idx="17">
                  <c:v>2145.6</c:v>
                </c:pt>
                <c:pt idx="18">
                  <c:v>2151.3000000000002</c:v>
                </c:pt>
                <c:pt idx="19">
                  <c:v>2166.6</c:v>
                </c:pt>
                <c:pt idx="20">
                  <c:v>2141.4</c:v>
                </c:pt>
                <c:pt idx="24">
                  <c:v>2131.5</c:v>
                </c:pt>
                <c:pt idx="25">
                  <c:v>2166.1</c:v>
                </c:pt>
                <c:pt idx="26">
                  <c:v>2218.3000000000002</c:v>
                </c:pt>
                <c:pt idx="27">
                  <c:v>2301.1</c:v>
                </c:pt>
                <c:pt idx="31">
                  <c:v>2181.1</c:v>
                </c:pt>
                <c:pt idx="32">
                  <c:v>2154.3000000000002</c:v>
                </c:pt>
                <c:pt idx="33">
                  <c:v>2146.8000000000002</c:v>
                </c:pt>
                <c:pt idx="37">
                  <c:v>2143.4</c:v>
                </c:pt>
                <c:pt idx="38">
                  <c:v>2141.8000000000002</c:v>
                </c:pt>
                <c:pt idx="39">
                  <c:v>2228.3000000000002</c:v>
                </c:pt>
                <c:pt idx="40">
                  <c:v>2152.6999999999998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27-4B7F-A16F-AB0B55C584E6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All!$GC$6:$GC$50</c:f>
              <c:numCache>
                <c:formatCode>General</c:formatCode>
                <c:ptCount val="45"/>
                <c:pt idx="0">
                  <c:v>2133.6</c:v>
                </c:pt>
                <c:pt idx="1">
                  <c:v>2152.5</c:v>
                </c:pt>
                <c:pt idx="2">
                  <c:v>2241.9</c:v>
                </c:pt>
                <c:pt idx="3">
                  <c:v>2151.8000000000002</c:v>
                </c:pt>
                <c:pt idx="4">
                  <c:v>2147.1999999999998</c:v>
                </c:pt>
                <c:pt idx="8">
                  <c:v>2185.9</c:v>
                </c:pt>
                <c:pt idx="9">
                  <c:v>2137.4</c:v>
                </c:pt>
                <c:pt idx="10">
                  <c:v>2352.4</c:v>
                </c:pt>
                <c:pt idx="11">
                  <c:v>2168.3000000000002</c:v>
                </c:pt>
                <c:pt idx="12">
                  <c:v>2171.6</c:v>
                </c:pt>
                <c:pt idx="16">
                  <c:v>2164</c:v>
                </c:pt>
                <c:pt idx="17">
                  <c:v>2146.1</c:v>
                </c:pt>
                <c:pt idx="18">
                  <c:v>2154.1999999999998</c:v>
                </c:pt>
                <c:pt idx="19">
                  <c:v>2166.4</c:v>
                </c:pt>
                <c:pt idx="20">
                  <c:v>2188.4</c:v>
                </c:pt>
                <c:pt idx="24">
                  <c:v>2136.3000000000002</c:v>
                </c:pt>
                <c:pt idx="25">
                  <c:v>2167.5</c:v>
                </c:pt>
                <c:pt idx="26">
                  <c:v>2146.1999999999998</c:v>
                </c:pt>
                <c:pt idx="27">
                  <c:v>2136.6</c:v>
                </c:pt>
                <c:pt idx="31">
                  <c:v>2141.8000000000002</c:v>
                </c:pt>
                <c:pt idx="32">
                  <c:v>2154.1</c:v>
                </c:pt>
                <c:pt idx="33">
                  <c:v>2151.9</c:v>
                </c:pt>
                <c:pt idx="37">
                  <c:v>2145.8000000000002</c:v>
                </c:pt>
                <c:pt idx="38">
                  <c:v>2427.1</c:v>
                </c:pt>
                <c:pt idx="39">
                  <c:v>2153.9</c:v>
                </c:pt>
                <c:pt idx="40">
                  <c:v>2166.1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27-4B7F-A16F-AB0B55C584E6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All!$GD$6:$GD$50</c:f>
              <c:numCache>
                <c:formatCode>General</c:formatCode>
                <c:ptCount val="45"/>
                <c:pt idx="0">
                  <c:v>2145.4</c:v>
                </c:pt>
                <c:pt idx="1">
                  <c:v>2345.5</c:v>
                </c:pt>
                <c:pt idx="2">
                  <c:v>2232.8000000000002</c:v>
                </c:pt>
                <c:pt idx="3">
                  <c:v>2163.6</c:v>
                </c:pt>
                <c:pt idx="4">
                  <c:v>2198.5</c:v>
                </c:pt>
                <c:pt idx="8">
                  <c:v>2185.1</c:v>
                </c:pt>
                <c:pt idx="9">
                  <c:v>2187.5</c:v>
                </c:pt>
                <c:pt idx="10">
                  <c:v>2258.1999999999998</c:v>
                </c:pt>
                <c:pt idx="11">
                  <c:v>2215.1999999999998</c:v>
                </c:pt>
                <c:pt idx="12">
                  <c:v>2179.6999999999998</c:v>
                </c:pt>
                <c:pt idx="16">
                  <c:v>2263.8000000000002</c:v>
                </c:pt>
                <c:pt idx="17">
                  <c:v>2162.6</c:v>
                </c:pt>
                <c:pt idx="18">
                  <c:v>2170.3000000000002</c:v>
                </c:pt>
                <c:pt idx="19">
                  <c:v>2206.4</c:v>
                </c:pt>
                <c:pt idx="20">
                  <c:v>2404.5</c:v>
                </c:pt>
                <c:pt idx="24">
                  <c:v>2155.4</c:v>
                </c:pt>
                <c:pt idx="25">
                  <c:v>2295.4</c:v>
                </c:pt>
                <c:pt idx="26">
                  <c:v>2265.3000000000002</c:v>
                </c:pt>
                <c:pt idx="27">
                  <c:v>2358.3000000000002</c:v>
                </c:pt>
                <c:pt idx="31">
                  <c:v>2186</c:v>
                </c:pt>
                <c:pt idx="32">
                  <c:v>2172.1</c:v>
                </c:pt>
                <c:pt idx="33">
                  <c:v>2384.5</c:v>
                </c:pt>
                <c:pt idx="37">
                  <c:v>2174.5</c:v>
                </c:pt>
                <c:pt idx="38">
                  <c:v>2169.6</c:v>
                </c:pt>
                <c:pt idx="39">
                  <c:v>2263.9</c:v>
                </c:pt>
                <c:pt idx="40">
                  <c:v>2222.1999999999998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27-4B7F-A16F-AB0B55C584E6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All!$GE$6:$GE$50</c:f>
              <c:numCache>
                <c:formatCode>General</c:formatCode>
                <c:ptCount val="45"/>
                <c:pt idx="0">
                  <c:v>2236.3000000000002</c:v>
                </c:pt>
                <c:pt idx="1">
                  <c:v>2234.8000000000002</c:v>
                </c:pt>
                <c:pt idx="2">
                  <c:v>2241.9</c:v>
                </c:pt>
                <c:pt idx="3">
                  <c:v>2275.5</c:v>
                </c:pt>
                <c:pt idx="4">
                  <c:v>2201.9</c:v>
                </c:pt>
                <c:pt idx="8">
                  <c:v>2185.9</c:v>
                </c:pt>
                <c:pt idx="9">
                  <c:v>2170.5</c:v>
                </c:pt>
                <c:pt idx="10">
                  <c:v>2352.4</c:v>
                </c:pt>
                <c:pt idx="11">
                  <c:v>2217</c:v>
                </c:pt>
                <c:pt idx="12">
                  <c:v>2262.9</c:v>
                </c:pt>
                <c:pt idx="16">
                  <c:v>2262.1999999999998</c:v>
                </c:pt>
                <c:pt idx="17">
                  <c:v>2305.4</c:v>
                </c:pt>
                <c:pt idx="18">
                  <c:v>2172.6999999999998</c:v>
                </c:pt>
                <c:pt idx="19">
                  <c:v>2207.9</c:v>
                </c:pt>
                <c:pt idx="20">
                  <c:v>2225.4</c:v>
                </c:pt>
                <c:pt idx="24">
                  <c:v>2155.6</c:v>
                </c:pt>
                <c:pt idx="25">
                  <c:v>2219.1999999999998</c:v>
                </c:pt>
                <c:pt idx="26">
                  <c:v>2266.1999999999998</c:v>
                </c:pt>
                <c:pt idx="27">
                  <c:v>2224.9</c:v>
                </c:pt>
                <c:pt idx="31">
                  <c:v>2186.3000000000002</c:v>
                </c:pt>
                <c:pt idx="32">
                  <c:v>2173.5</c:v>
                </c:pt>
                <c:pt idx="33">
                  <c:v>2201.8000000000002</c:v>
                </c:pt>
                <c:pt idx="37">
                  <c:v>2203.1999999999998</c:v>
                </c:pt>
                <c:pt idx="38">
                  <c:v>2428.8000000000002</c:v>
                </c:pt>
                <c:pt idx="39">
                  <c:v>2245</c:v>
                </c:pt>
                <c:pt idx="40">
                  <c:v>2222.6999999999998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27-4B7F-A16F-AB0B55C58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5456"/>
        <c:axId val="1117642960"/>
      </c:scatterChart>
      <c:valAx>
        <c:axId val="11176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2960"/>
        <c:crosses val="autoZero"/>
        <c:crossBetween val="midCat"/>
      </c:valAx>
      <c:valAx>
        <c:axId val="111764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All!$GG$6:$GG$50</c:f>
              <c:numCache>
                <c:formatCode>General</c:formatCode>
                <c:ptCount val="45"/>
                <c:pt idx="0">
                  <c:v>38</c:v>
                </c:pt>
                <c:pt idx="1">
                  <c:v>26</c:v>
                </c:pt>
                <c:pt idx="2">
                  <c:v>27</c:v>
                </c:pt>
                <c:pt idx="3">
                  <c:v>27</c:v>
                </c:pt>
                <c:pt idx="4">
                  <c:v>28</c:v>
                </c:pt>
                <c:pt idx="8">
                  <c:v>29</c:v>
                </c:pt>
                <c:pt idx="9">
                  <c:v>28</c:v>
                </c:pt>
                <c:pt idx="10">
                  <c:v>28</c:v>
                </c:pt>
                <c:pt idx="11">
                  <c:v>29</c:v>
                </c:pt>
                <c:pt idx="12">
                  <c:v>29</c:v>
                </c:pt>
                <c:pt idx="16">
                  <c:v>30</c:v>
                </c:pt>
                <c:pt idx="17">
                  <c:v>29</c:v>
                </c:pt>
                <c:pt idx="18">
                  <c:v>29</c:v>
                </c:pt>
                <c:pt idx="19">
                  <c:v>29</c:v>
                </c:pt>
                <c:pt idx="20">
                  <c:v>30</c:v>
                </c:pt>
                <c:pt idx="24">
                  <c:v>32</c:v>
                </c:pt>
                <c:pt idx="25">
                  <c:v>29</c:v>
                </c:pt>
                <c:pt idx="26">
                  <c:v>30</c:v>
                </c:pt>
                <c:pt idx="27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7">
                  <c:v>33</c:v>
                </c:pt>
                <c:pt idx="38">
                  <c:v>34</c:v>
                </c:pt>
                <c:pt idx="39">
                  <c:v>35</c:v>
                </c:pt>
                <c:pt idx="40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A2-44AB-8B04-36C041EE9F61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All!$GH$6:$GH$50</c:f>
              <c:numCache>
                <c:formatCode>General</c:formatCode>
                <c:ptCount val="45"/>
                <c:pt idx="0">
                  <c:v>37.9</c:v>
                </c:pt>
                <c:pt idx="1">
                  <c:v>26.3</c:v>
                </c:pt>
                <c:pt idx="2">
                  <c:v>26.9</c:v>
                </c:pt>
                <c:pt idx="3">
                  <c:v>27.4</c:v>
                </c:pt>
                <c:pt idx="4">
                  <c:v>28.3</c:v>
                </c:pt>
                <c:pt idx="8">
                  <c:v>29</c:v>
                </c:pt>
                <c:pt idx="9">
                  <c:v>27.6</c:v>
                </c:pt>
                <c:pt idx="10">
                  <c:v>28.1</c:v>
                </c:pt>
                <c:pt idx="11">
                  <c:v>28.6</c:v>
                </c:pt>
                <c:pt idx="12">
                  <c:v>29.2</c:v>
                </c:pt>
                <c:pt idx="16">
                  <c:v>29.7</c:v>
                </c:pt>
                <c:pt idx="17">
                  <c:v>28.6</c:v>
                </c:pt>
                <c:pt idx="18">
                  <c:v>29.1</c:v>
                </c:pt>
                <c:pt idx="19">
                  <c:v>29.5</c:v>
                </c:pt>
                <c:pt idx="20">
                  <c:v>30.4</c:v>
                </c:pt>
                <c:pt idx="24">
                  <c:v>31.7</c:v>
                </c:pt>
                <c:pt idx="25">
                  <c:v>29.3</c:v>
                </c:pt>
                <c:pt idx="26">
                  <c:v>29.8</c:v>
                </c:pt>
                <c:pt idx="27">
                  <c:v>30.4</c:v>
                </c:pt>
                <c:pt idx="31">
                  <c:v>31.2</c:v>
                </c:pt>
                <c:pt idx="32">
                  <c:v>31.8</c:v>
                </c:pt>
                <c:pt idx="33">
                  <c:v>32.5</c:v>
                </c:pt>
                <c:pt idx="37">
                  <c:v>33.4</c:v>
                </c:pt>
                <c:pt idx="38">
                  <c:v>34.200000000000003</c:v>
                </c:pt>
                <c:pt idx="39">
                  <c:v>35</c:v>
                </c:pt>
                <c:pt idx="40">
                  <c:v>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A2-44AB-8B04-36C041EE9F61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All!$GI$6:$GI$50</c:f>
              <c:numCache>
                <c:formatCode>General</c:formatCode>
                <c:ptCount val="45"/>
                <c:pt idx="0">
                  <c:v>74.2</c:v>
                </c:pt>
                <c:pt idx="1">
                  <c:v>48.7</c:v>
                </c:pt>
                <c:pt idx="2">
                  <c:v>44.9</c:v>
                </c:pt>
                <c:pt idx="3">
                  <c:v>44.8</c:v>
                </c:pt>
                <c:pt idx="4">
                  <c:v>44.8</c:v>
                </c:pt>
                <c:pt idx="8">
                  <c:v>49.8</c:v>
                </c:pt>
                <c:pt idx="9">
                  <c:v>45.8</c:v>
                </c:pt>
                <c:pt idx="10">
                  <c:v>45.2</c:v>
                </c:pt>
                <c:pt idx="11">
                  <c:v>45.6</c:v>
                </c:pt>
                <c:pt idx="12">
                  <c:v>45.5</c:v>
                </c:pt>
                <c:pt idx="16">
                  <c:v>50.5</c:v>
                </c:pt>
                <c:pt idx="17">
                  <c:v>46.7</c:v>
                </c:pt>
                <c:pt idx="18">
                  <c:v>46.9</c:v>
                </c:pt>
                <c:pt idx="19">
                  <c:v>45.7</c:v>
                </c:pt>
                <c:pt idx="20">
                  <c:v>50.5</c:v>
                </c:pt>
                <c:pt idx="24">
                  <c:v>63</c:v>
                </c:pt>
                <c:pt idx="25">
                  <c:v>48</c:v>
                </c:pt>
                <c:pt idx="26">
                  <c:v>45.8</c:v>
                </c:pt>
                <c:pt idx="27">
                  <c:v>45.9</c:v>
                </c:pt>
                <c:pt idx="31">
                  <c:v>49.7</c:v>
                </c:pt>
                <c:pt idx="32">
                  <c:v>46.9</c:v>
                </c:pt>
                <c:pt idx="33">
                  <c:v>46.4</c:v>
                </c:pt>
                <c:pt idx="37">
                  <c:v>50.5</c:v>
                </c:pt>
                <c:pt idx="38">
                  <c:v>47.1</c:v>
                </c:pt>
                <c:pt idx="39">
                  <c:v>46.9</c:v>
                </c:pt>
                <c:pt idx="40">
                  <c:v>49.6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A2-44AB-8B04-36C041EE9F61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All!$GJ$6:$GJ$50</c:f>
              <c:numCache>
                <c:formatCode>General</c:formatCode>
                <c:ptCount val="45"/>
                <c:pt idx="0">
                  <c:v>75.5</c:v>
                </c:pt>
                <c:pt idx="1">
                  <c:v>53.5</c:v>
                </c:pt>
                <c:pt idx="2">
                  <c:v>49.9</c:v>
                </c:pt>
                <c:pt idx="3">
                  <c:v>50</c:v>
                </c:pt>
                <c:pt idx="4">
                  <c:v>50.2</c:v>
                </c:pt>
                <c:pt idx="8">
                  <c:v>55.8</c:v>
                </c:pt>
                <c:pt idx="9">
                  <c:v>51.2</c:v>
                </c:pt>
                <c:pt idx="10">
                  <c:v>50</c:v>
                </c:pt>
                <c:pt idx="11">
                  <c:v>50.5</c:v>
                </c:pt>
                <c:pt idx="12">
                  <c:v>50.9</c:v>
                </c:pt>
                <c:pt idx="16">
                  <c:v>55.8</c:v>
                </c:pt>
                <c:pt idx="17">
                  <c:v>52.4</c:v>
                </c:pt>
                <c:pt idx="18">
                  <c:v>52.4</c:v>
                </c:pt>
                <c:pt idx="19">
                  <c:v>51.3</c:v>
                </c:pt>
                <c:pt idx="20">
                  <c:v>57.2</c:v>
                </c:pt>
                <c:pt idx="24">
                  <c:v>68.099999999999994</c:v>
                </c:pt>
                <c:pt idx="25">
                  <c:v>53.6</c:v>
                </c:pt>
                <c:pt idx="26">
                  <c:v>50.6</c:v>
                </c:pt>
                <c:pt idx="27">
                  <c:v>51.2</c:v>
                </c:pt>
                <c:pt idx="31">
                  <c:v>55.3</c:v>
                </c:pt>
                <c:pt idx="32">
                  <c:v>52.1</c:v>
                </c:pt>
                <c:pt idx="33">
                  <c:v>51.2</c:v>
                </c:pt>
                <c:pt idx="37">
                  <c:v>55.7</c:v>
                </c:pt>
                <c:pt idx="38">
                  <c:v>52</c:v>
                </c:pt>
                <c:pt idx="39">
                  <c:v>51.8</c:v>
                </c:pt>
                <c:pt idx="40">
                  <c:v>56.4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A2-44AB-8B04-36C041EE9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4208"/>
        <c:axId val="1117649200"/>
      </c:scatterChart>
      <c:valAx>
        <c:axId val="111764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9200"/>
        <c:crosses val="autoZero"/>
        <c:crossBetween val="midCat"/>
      </c:valAx>
      <c:valAx>
        <c:axId val="1117649200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All!$ID$6:$ID$50</c:f>
              <c:numCache>
                <c:formatCode>General</c:formatCode>
                <c:ptCount val="45"/>
                <c:pt idx="0">
                  <c:v>-8.1000000000000003E-2</c:v>
                </c:pt>
                <c:pt idx="1">
                  <c:v>-0.44600000000000001</c:v>
                </c:pt>
                <c:pt idx="2">
                  <c:v>-0.373</c:v>
                </c:pt>
                <c:pt idx="3">
                  <c:v>-0.46200000000000002</c:v>
                </c:pt>
                <c:pt idx="4">
                  <c:v>-0.36099999999999999</c:v>
                </c:pt>
                <c:pt idx="8">
                  <c:v>-0.23100000000000001</c:v>
                </c:pt>
                <c:pt idx="9">
                  <c:v>-0.39600000000000002</c:v>
                </c:pt>
                <c:pt idx="10">
                  <c:v>-0.42099999999999999</c:v>
                </c:pt>
                <c:pt idx="11">
                  <c:v>-0.41599999999999998</c:v>
                </c:pt>
                <c:pt idx="12">
                  <c:v>-0.30599999999999999</c:v>
                </c:pt>
                <c:pt idx="16">
                  <c:v>-0.154</c:v>
                </c:pt>
                <c:pt idx="17">
                  <c:v>-0.22600000000000001</c:v>
                </c:pt>
                <c:pt idx="18">
                  <c:v>-0.11700000000000001</c:v>
                </c:pt>
                <c:pt idx="19">
                  <c:v>-0.14299999999999999</c:v>
                </c:pt>
                <c:pt idx="20">
                  <c:v>-4.5999999999999999E-2</c:v>
                </c:pt>
                <c:pt idx="24">
                  <c:v>-0.34799999999999998</c:v>
                </c:pt>
                <c:pt idx="25">
                  <c:v>-0.50700000000000001</c:v>
                </c:pt>
                <c:pt idx="26">
                  <c:v>-0.45100000000000001</c:v>
                </c:pt>
                <c:pt idx="27">
                  <c:v>-0.373</c:v>
                </c:pt>
                <c:pt idx="31">
                  <c:v>-0.19700000000000001</c:v>
                </c:pt>
                <c:pt idx="32">
                  <c:v>-0.26500000000000001</c:v>
                </c:pt>
                <c:pt idx="33">
                  <c:v>-0.29799999999999999</c:v>
                </c:pt>
                <c:pt idx="37">
                  <c:v>-0.23300000000000001</c:v>
                </c:pt>
                <c:pt idx="38">
                  <c:v>-0.38700000000000001</c:v>
                </c:pt>
                <c:pt idx="39">
                  <c:v>-0.41199999999999998</c:v>
                </c:pt>
                <c:pt idx="40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F-4F1D-9645-0BF96B7F33FA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All!$IE$6:$IE$50</c:f>
              <c:numCache>
                <c:formatCode>General</c:formatCode>
                <c:ptCount val="45"/>
                <c:pt idx="0">
                  <c:v>-4.9000000000000002E-2</c:v>
                </c:pt>
                <c:pt idx="1">
                  <c:v>-0.26300000000000001</c:v>
                </c:pt>
                <c:pt idx="2">
                  <c:v>-0.222</c:v>
                </c:pt>
                <c:pt idx="3">
                  <c:v>-0.26800000000000002</c:v>
                </c:pt>
                <c:pt idx="4">
                  <c:v>-0.20300000000000001</c:v>
                </c:pt>
                <c:pt idx="8">
                  <c:v>-0.125</c:v>
                </c:pt>
                <c:pt idx="9">
                  <c:v>-0.23100000000000001</c:v>
                </c:pt>
                <c:pt idx="10">
                  <c:v>-0.23400000000000001</c:v>
                </c:pt>
                <c:pt idx="11">
                  <c:v>-0.23499999999999999</c:v>
                </c:pt>
                <c:pt idx="12">
                  <c:v>-0.17100000000000001</c:v>
                </c:pt>
                <c:pt idx="16">
                  <c:v>-8.1000000000000003E-2</c:v>
                </c:pt>
                <c:pt idx="17">
                  <c:v>-0.124</c:v>
                </c:pt>
                <c:pt idx="18">
                  <c:v>-6.3E-2</c:v>
                </c:pt>
                <c:pt idx="19">
                  <c:v>-8.4000000000000005E-2</c:v>
                </c:pt>
                <c:pt idx="20">
                  <c:v>-2.5999999999999999E-2</c:v>
                </c:pt>
                <c:pt idx="24">
                  <c:v>-0.193</c:v>
                </c:pt>
                <c:pt idx="25">
                  <c:v>-0.26600000000000001</c:v>
                </c:pt>
                <c:pt idx="26">
                  <c:v>-0.23</c:v>
                </c:pt>
                <c:pt idx="27">
                  <c:v>-0.191</c:v>
                </c:pt>
                <c:pt idx="31">
                  <c:v>-0.10100000000000001</c:v>
                </c:pt>
                <c:pt idx="32">
                  <c:v>-0.14499999999999999</c:v>
                </c:pt>
                <c:pt idx="33">
                  <c:v>-0.16200000000000001</c:v>
                </c:pt>
                <c:pt idx="37">
                  <c:v>-0.122</c:v>
                </c:pt>
                <c:pt idx="38">
                  <c:v>-0.215</c:v>
                </c:pt>
                <c:pt idx="39">
                  <c:v>-0.21099999999999999</c:v>
                </c:pt>
                <c:pt idx="40">
                  <c:v>-5.8999999999999997E-2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FF-4F1D-9645-0BF96B7F33FA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All!$IJ$6:$IJ$50</c:f>
              <c:numCache>
                <c:formatCode>General</c:formatCode>
                <c:ptCount val="45"/>
                <c:pt idx="0">
                  <c:v>-7.0000000000000001E-3</c:v>
                </c:pt>
                <c:pt idx="1">
                  <c:v>-2.3E-2</c:v>
                </c:pt>
                <c:pt idx="2">
                  <c:v>1.4E-2</c:v>
                </c:pt>
                <c:pt idx="3">
                  <c:v>-1.9E-2</c:v>
                </c:pt>
                <c:pt idx="4">
                  <c:v>-0.03</c:v>
                </c:pt>
                <c:pt idx="8">
                  <c:v>5.0000000000000001E-3</c:v>
                </c:pt>
                <c:pt idx="9">
                  <c:v>-3.1E-2</c:v>
                </c:pt>
                <c:pt idx="10">
                  <c:v>-3.3000000000000002E-2</c:v>
                </c:pt>
                <c:pt idx="11">
                  <c:v>-1.6E-2</c:v>
                </c:pt>
                <c:pt idx="12">
                  <c:v>-3.7999999999999999E-2</c:v>
                </c:pt>
                <c:pt idx="16">
                  <c:v>-1E-3</c:v>
                </c:pt>
                <c:pt idx="17">
                  <c:v>-8.0000000000000002E-3</c:v>
                </c:pt>
                <c:pt idx="18">
                  <c:v>2E-3</c:v>
                </c:pt>
                <c:pt idx="19">
                  <c:v>-2.3E-2</c:v>
                </c:pt>
                <c:pt idx="20">
                  <c:v>-1.4999999999999999E-2</c:v>
                </c:pt>
                <c:pt idx="24">
                  <c:v>-3.2000000000000001E-2</c:v>
                </c:pt>
                <c:pt idx="25">
                  <c:v>-0.06</c:v>
                </c:pt>
                <c:pt idx="26">
                  <c:v>-9.9000000000000005E-2</c:v>
                </c:pt>
                <c:pt idx="27">
                  <c:v>-4.5999999999999999E-2</c:v>
                </c:pt>
                <c:pt idx="31">
                  <c:v>-8.0000000000000002E-3</c:v>
                </c:pt>
                <c:pt idx="32">
                  <c:v>-6.0999999999999999E-2</c:v>
                </c:pt>
                <c:pt idx="33">
                  <c:v>-6.9000000000000006E-2</c:v>
                </c:pt>
                <c:pt idx="37">
                  <c:v>-1.2E-2</c:v>
                </c:pt>
                <c:pt idx="38">
                  <c:v>-5.0999999999999997E-2</c:v>
                </c:pt>
                <c:pt idx="39">
                  <c:v>-2.1000000000000001E-2</c:v>
                </c:pt>
                <c:pt idx="40">
                  <c:v>-0.01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FF-4F1D-9645-0BF96B7F33FA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All!$IK$6:$IK$50</c:f>
              <c:numCache>
                <c:formatCode>General</c:formatCode>
                <c:ptCount val="45"/>
                <c:pt idx="0">
                  <c:v>-7.0000000000000001E-3</c:v>
                </c:pt>
                <c:pt idx="1">
                  <c:v>-1E-3</c:v>
                </c:pt>
                <c:pt idx="2">
                  <c:v>0.02</c:v>
                </c:pt>
                <c:pt idx="3">
                  <c:v>1E-3</c:v>
                </c:pt>
                <c:pt idx="4">
                  <c:v>2.1999999999999999E-2</c:v>
                </c:pt>
                <c:pt idx="8">
                  <c:v>2.5000000000000001E-2</c:v>
                </c:pt>
                <c:pt idx="9">
                  <c:v>4.8000000000000001E-2</c:v>
                </c:pt>
                <c:pt idx="10">
                  <c:v>5.7000000000000002E-2</c:v>
                </c:pt>
                <c:pt idx="11">
                  <c:v>3.7999999999999999E-2</c:v>
                </c:pt>
                <c:pt idx="12">
                  <c:v>2E-3</c:v>
                </c:pt>
                <c:pt idx="16">
                  <c:v>7.0000000000000001E-3</c:v>
                </c:pt>
                <c:pt idx="17">
                  <c:v>5.1999999999999998E-2</c:v>
                </c:pt>
                <c:pt idx="18">
                  <c:v>3.2000000000000001E-2</c:v>
                </c:pt>
                <c:pt idx="19">
                  <c:v>2.1000000000000001E-2</c:v>
                </c:pt>
                <c:pt idx="20">
                  <c:v>4.0000000000000001E-3</c:v>
                </c:pt>
                <c:pt idx="24">
                  <c:v>4.4999999999999998E-2</c:v>
                </c:pt>
                <c:pt idx="25">
                  <c:v>4.9000000000000002E-2</c:v>
                </c:pt>
                <c:pt idx="26">
                  <c:v>6.3E-2</c:v>
                </c:pt>
                <c:pt idx="27">
                  <c:v>1.2999999999999999E-2</c:v>
                </c:pt>
                <c:pt idx="31">
                  <c:v>2.1000000000000001E-2</c:v>
                </c:pt>
                <c:pt idx="32">
                  <c:v>-1.7999999999999999E-2</c:v>
                </c:pt>
                <c:pt idx="33">
                  <c:v>-1.7000000000000001E-2</c:v>
                </c:pt>
                <c:pt idx="37">
                  <c:v>8.0000000000000002E-3</c:v>
                </c:pt>
                <c:pt idx="38">
                  <c:v>3.0000000000000001E-3</c:v>
                </c:pt>
                <c:pt idx="39">
                  <c:v>4.4999999999999998E-2</c:v>
                </c:pt>
                <c:pt idx="40">
                  <c:v>7.0000000000000001E-3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FF-4F1D-9645-0BF96B7F33FA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All!$IO$6:$IO$50</c:f>
              <c:numCache>
                <c:formatCode>General</c:formatCode>
                <c:ptCount val="45"/>
                <c:pt idx="0">
                  <c:v>5.3999999999999999E-2</c:v>
                </c:pt>
                <c:pt idx="1">
                  <c:v>0.183</c:v>
                </c:pt>
                <c:pt idx="2">
                  <c:v>0.16600000000000001</c:v>
                </c:pt>
                <c:pt idx="3">
                  <c:v>0.25700000000000001</c:v>
                </c:pt>
                <c:pt idx="4">
                  <c:v>0.25900000000000001</c:v>
                </c:pt>
                <c:pt idx="8">
                  <c:v>0.19700000000000001</c:v>
                </c:pt>
                <c:pt idx="9">
                  <c:v>0.39500000000000002</c:v>
                </c:pt>
                <c:pt idx="10">
                  <c:v>0.35099999999999998</c:v>
                </c:pt>
                <c:pt idx="11">
                  <c:v>0.26800000000000002</c:v>
                </c:pt>
                <c:pt idx="12">
                  <c:v>0.22600000000000001</c:v>
                </c:pt>
                <c:pt idx="16">
                  <c:v>0.159</c:v>
                </c:pt>
                <c:pt idx="17">
                  <c:v>0.28899999999999998</c:v>
                </c:pt>
                <c:pt idx="18">
                  <c:v>0.36299999999999999</c:v>
                </c:pt>
                <c:pt idx="19">
                  <c:v>0.52400000000000002</c:v>
                </c:pt>
                <c:pt idx="20">
                  <c:v>0.129</c:v>
                </c:pt>
                <c:pt idx="24">
                  <c:v>0.249</c:v>
                </c:pt>
                <c:pt idx="25">
                  <c:v>0.442</c:v>
                </c:pt>
                <c:pt idx="26">
                  <c:v>0.53100000000000003</c:v>
                </c:pt>
                <c:pt idx="27">
                  <c:v>0.26500000000000001</c:v>
                </c:pt>
                <c:pt idx="31">
                  <c:v>0.22800000000000001</c:v>
                </c:pt>
                <c:pt idx="32">
                  <c:v>0.33</c:v>
                </c:pt>
                <c:pt idx="33">
                  <c:v>0.26</c:v>
                </c:pt>
                <c:pt idx="37">
                  <c:v>0.16800000000000001</c:v>
                </c:pt>
                <c:pt idx="38">
                  <c:v>0.308</c:v>
                </c:pt>
                <c:pt idx="39">
                  <c:v>0.33500000000000002</c:v>
                </c:pt>
                <c:pt idx="40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8FF-4F1D-9645-0BF96B7F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6768"/>
        <c:axId val="1117595952"/>
      </c:scatterChart>
      <c:valAx>
        <c:axId val="111760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5952"/>
        <c:crosses val="autoZero"/>
        <c:crossBetween val="midCat"/>
      </c:valAx>
      <c:valAx>
        <c:axId val="11175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All!$IF$6:$IF$50</c:f>
              <c:numCache>
                <c:formatCode>General</c:formatCode>
                <c:ptCount val="45"/>
                <c:pt idx="0">
                  <c:v>805.5</c:v>
                </c:pt>
                <c:pt idx="1">
                  <c:v>805.5</c:v>
                </c:pt>
                <c:pt idx="2">
                  <c:v>803.6</c:v>
                </c:pt>
                <c:pt idx="3">
                  <c:v>808</c:v>
                </c:pt>
                <c:pt idx="4">
                  <c:v>817.5</c:v>
                </c:pt>
                <c:pt idx="8">
                  <c:v>817.7</c:v>
                </c:pt>
                <c:pt idx="9">
                  <c:v>830.6</c:v>
                </c:pt>
                <c:pt idx="10">
                  <c:v>820.1</c:v>
                </c:pt>
                <c:pt idx="11">
                  <c:v>802.3</c:v>
                </c:pt>
                <c:pt idx="12">
                  <c:v>819.2</c:v>
                </c:pt>
                <c:pt idx="16">
                  <c:v>805.9</c:v>
                </c:pt>
                <c:pt idx="17">
                  <c:v>806.3</c:v>
                </c:pt>
                <c:pt idx="18">
                  <c:v>807.1</c:v>
                </c:pt>
                <c:pt idx="19">
                  <c:v>807.4</c:v>
                </c:pt>
                <c:pt idx="20">
                  <c:v>804.6</c:v>
                </c:pt>
                <c:pt idx="24">
                  <c:v>801.3</c:v>
                </c:pt>
                <c:pt idx="25">
                  <c:v>805.5</c:v>
                </c:pt>
                <c:pt idx="26">
                  <c:v>807.6</c:v>
                </c:pt>
                <c:pt idx="27">
                  <c:v>807.5</c:v>
                </c:pt>
                <c:pt idx="31">
                  <c:v>802.3</c:v>
                </c:pt>
                <c:pt idx="32">
                  <c:v>805.1</c:v>
                </c:pt>
                <c:pt idx="33">
                  <c:v>808.7</c:v>
                </c:pt>
                <c:pt idx="37">
                  <c:v>803.8</c:v>
                </c:pt>
                <c:pt idx="38">
                  <c:v>818.2</c:v>
                </c:pt>
                <c:pt idx="39">
                  <c:v>804.1</c:v>
                </c:pt>
                <c:pt idx="40">
                  <c:v>802.6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EB-4EE6-A90B-AC9268722588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All!$IG$6:$IG$50</c:f>
              <c:numCache>
                <c:formatCode>General</c:formatCode>
                <c:ptCount val="45"/>
                <c:pt idx="0">
                  <c:v>265.7</c:v>
                </c:pt>
                <c:pt idx="1">
                  <c:v>755.8</c:v>
                </c:pt>
                <c:pt idx="2">
                  <c:v>751.4</c:v>
                </c:pt>
                <c:pt idx="3">
                  <c:v>758.8</c:v>
                </c:pt>
                <c:pt idx="4">
                  <c:v>746</c:v>
                </c:pt>
                <c:pt idx="8">
                  <c:v>670.3</c:v>
                </c:pt>
                <c:pt idx="9">
                  <c:v>761.2</c:v>
                </c:pt>
                <c:pt idx="10">
                  <c:v>759.7</c:v>
                </c:pt>
                <c:pt idx="11">
                  <c:v>757.4</c:v>
                </c:pt>
                <c:pt idx="12">
                  <c:v>734.1</c:v>
                </c:pt>
                <c:pt idx="16">
                  <c:v>670.6</c:v>
                </c:pt>
                <c:pt idx="17">
                  <c:v>694.2</c:v>
                </c:pt>
                <c:pt idx="18">
                  <c:v>739.4</c:v>
                </c:pt>
                <c:pt idx="19">
                  <c:v>757.1</c:v>
                </c:pt>
                <c:pt idx="20">
                  <c:v>560.79999999999995</c:v>
                </c:pt>
                <c:pt idx="24">
                  <c:v>668</c:v>
                </c:pt>
                <c:pt idx="25">
                  <c:v>764.5</c:v>
                </c:pt>
                <c:pt idx="26">
                  <c:v>760.4</c:v>
                </c:pt>
                <c:pt idx="27">
                  <c:v>741.4</c:v>
                </c:pt>
                <c:pt idx="31">
                  <c:v>678.1</c:v>
                </c:pt>
                <c:pt idx="32">
                  <c:v>758.1</c:v>
                </c:pt>
                <c:pt idx="33">
                  <c:v>736.4</c:v>
                </c:pt>
                <c:pt idx="37">
                  <c:v>677.7</c:v>
                </c:pt>
                <c:pt idx="38">
                  <c:v>760.2</c:v>
                </c:pt>
                <c:pt idx="39">
                  <c:v>755.6</c:v>
                </c:pt>
                <c:pt idx="40">
                  <c:v>600.1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EB-4EE6-A90B-AC9268722588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All!$IH$6:$IH$50</c:f>
              <c:numCache>
                <c:formatCode>General</c:formatCode>
                <c:ptCount val="45"/>
                <c:pt idx="0">
                  <c:v>808.1</c:v>
                </c:pt>
                <c:pt idx="1">
                  <c:v>817.3</c:v>
                </c:pt>
                <c:pt idx="2">
                  <c:v>813.2</c:v>
                </c:pt>
                <c:pt idx="3">
                  <c:v>816</c:v>
                </c:pt>
                <c:pt idx="4">
                  <c:v>822.4</c:v>
                </c:pt>
                <c:pt idx="8">
                  <c:v>812.6</c:v>
                </c:pt>
                <c:pt idx="9">
                  <c:v>825</c:v>
                </c:pt>
                <c:pt idx="10">
                  <c:v>830.7</c:v>
                </c:pt>
                <c:pt idx="11">
                  <c:v>815.1</c:v>
                </c:pt>
                <c:pt idx="12">
                  <c:v>815.4</c:v>
                </c:pt>
                <c:pt idx="16">
                  <c:v>807.1</c:v>
                </c:pt>
                <c:pt idx="17">
                  <c:v>815.3</c:v>
                </c:pt>
                <c:pt idx="18">
                  <c:v>827.3</c:v>
                </c:pt>
                <c:pt idx="19">
                  <c:v>806.8</c:v>
                </c:pt>
                <c:pt idx="20">
                  <c:v>812.3</c:v>
                </c:pt>
                <c:pt idx="24">
                  <c:v>809</c:v>
                </c:pt>
                <c:pt idx="25">
                  <c:v>817.1</c:v>
                </c:pt>
                <c:pt idx="26">
                  <c:v>814.1</c:v>
                </c:pt>
                <c:pt idx="27">
                  <c:v>822</c:v>
                </c:pt>
                <c:pt idx="31">
                  <c:v>810.1</c:v>
                </c:pt>
                <c:pt idx="32">
                  <c:v>811.1</c:v>
                </c:pt>
                <c:pt idx="33">
                  <c:v>811.1</c:v>
                </c:pt>
                <c:pt idx="37">
                  <c:v>813</c:v>
                </c:pt>
                <c:pt idx="38">
                  <c:v>831.3</c:v>
                </c:pt>
                <c:pt idx="39">
                  <c:v>810.1</c:v>
                </c:pt>
                <c:pt idx="40">
                  <c:v>834.5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EB-4EE6-A90B-AC9268722588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All!$II$6:$II$50</c:f>
              <c:numCache>
                <c:formatCode>General</c:formatCode>
                <c:ptCount val="45"/>
                <c:pt idx="0">
                  <c:v>274.89999999999998</c:v>
                </c:pt>
                <c:pt idx="1">
                  <c:v>767.3</c:v>
                </c:pt>
                <c:pt idx="2">
                  <c:v>763.6</c:v>
                </c:pt>
                <c:pt idx="3">
                  <c:v>770.4</c:v>
                </c:pt>
                <c:pt idx="4">
                  <c:v>759.9</c:v>
                </c:pt>
                <c:pt idx="8">
                  <c:v>686.9</c:v>
                </c:pt>
                <c:pt idx="9">
                  <c:v>770.5</c:v>
                </c:pt>
                <c:pt idx="10">
                  <c:v>770.5</c:v>
                </c:pt>
                <c:pt idx="11">
                  <c:v>769.1</c:v>
                </c:pt>
                <c:pt idx="12">
                  <c:v>748.2</c:v>
                </c:pt>
                <c:pt idx="16">
                  <c:v>685.2</c:v>
                </c:pt>
                <c:pt idx="17">
                  <c:v>709.4</c:v>
                </c:pt>
                <c:pt idx="18">
                  <c:v>751.9</c:v>
                </c:pt>
                <c:pt idx="19">
                  <c:v>767.6</c:v>
                </c:pt>
                <c:pt idx="20">
                  <c:v>584.6</c:v>
                </c:pt>
                <c:pt idx="24">
                  <c:v>674.8</c:v>
                </c:pt>
                <c:pt idx="25">
                  <c:v>775.6</c:v>
                </c:pt>
                <c:pt idx="26">
                  <c:v>771.8</c:v>
                </c:pt>
                <c:pt idx="27">
                  <c:v>755</c:v>
                </c:pt>
                <c:pt idx="31">
                  <c:v>694.9</c:v>
                </c:pt>
                <c:pt idx="32">
                  <c:v>769.3</c:v>
                </c:pt>
                <c:pt idx="33">
                  <c:v>749.6</c:v>
                </c:pt>
                <c:pt idx="37">
                  <c:v>694</c:v>
                </c:pt>
                <c:pt idx="38">
                  <c:v>771.6</c:v>
                </c:pt>
                <c:pt idx="39">
                  <c:v>765</c:v>
                </c:pt>
                <c:pt idx="40">
                  <c:v>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EB-4EE6-A90B-AC9268722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5104"/>
        <c:axId val="1117596368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All!$IN$6:$IN$50</c:f>
              <c:numCache>
                <c:formatCode>General</c:formatCode>
                <c:ptCount val="45"/>
                <c:pt idx="0">
                  <c:v>9.7799999999999994</c:v>
                </c:pt>
                <c:pt idx="1">
                  <c:v>11.456</c:v>
                </c:pt>
                <c:pt idx="2">
                  <c:v>12.321999999999999</c:v>
                </c:pt>
                <c:pt idx="3">
                  <c:v>11.718999999999999</c:v>
                </c:pt>
                <c:pt idx="4">
                  <c:v>14.093999999999999</c:v>
                </c:pt>
                <c:pt idx="8">
                  <c:v>16.867000000000001</c:v>
                </c:pt>
                <c:pt idx="9">
                  <c:v>9.7200000000000006</c:v>
                </c:pt>
                <c:pt idx="10">
                  <c:v>11.426</c:v>
                </c:pt>
                <c:pt idx="11">
                  <c:v>11.754</c:v>
                </c:pt>
                <c:pt idx="12">
                  <c:v>14.2</c:v>
                </c:pt>
                <c:pt idx="16">
                  <c:v>14.9</c:v>
                </c:pt>
                <c:pt idx="17">
                  <c:v>15.512</c:v>
                </c:pt>
                <c:pt idx="18">
                  <c:v>12.699</c:v>
                </c:pt>
                <c:pt idx="19">
                  <c:v>10.516999999999999</c:v>
                </c:pt>
                <c:pt idx="20">
                  <c:v>23.931000000000001</c:v>
                </c:pt>
                <c:pt idx="24">
                  <c:v>8.5009999999999994</c:v>
                </c:pt>
                <c:pt idx="25">
                  <c:v>11.125</c:v>
                </c:pt>
                <c:pt idx="26">
                  <c:v>11.542</c:v>
                </c:pt>
                <c:pt idx="27">
                  <c:v>13.603999999999999</c:v>
                </c:pt>
                <c:pt idx="31">
                  <c:v>17.189</c:v>
                </c:pt>
                <c:pt idx="32">
                  <c:v>11.423999999999999</c:v>
                </c:pt>
                <c:pt idx="33">
                  <c:v>13.590999999999999</c:v>
                </c:pt>
                <c:pt idx="37">
                  <c:v>16.584</c:v>
                </c:pt>
                <c:pt idx="38">
                  <c:v>11.727</c:v>
                </c:pt>
                <c:pt idx="39">
                  <c:v>10.16</c:v>
                </c:pt>
                <c:pt idx="40">
                  <c:v>18.815999999999999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2EB-4EE6-A90B-AC9268722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0128"/>
        <c:axId val="1117604272"/>
      </c:scatterChart>
      <c:valAx>
        <c:axId val="1117605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6368"/>
        <c:crosses val="autoZero"/>
        <c:crossBetween val="midCat"/>
      </c:valAx>
      <c:valAx>
        <c:axId val="111759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5104"/>
        <c:crosses val="autoZero"/>
        <c:crossBetween val="midCat"/>
      </c:valAx>
      <c:valAx>
        <c:axId val="1117604272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0128"/>
        <c:crosses val="max"/>
        <c:crossBetween val="midCat"/>
      </c:valAx>
      <c:valAx>
        <c:axId val="1117590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Catch tank level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FIA_xOilLevel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All!$IP$6:$IP$50</c:f>
              <c:numCache>
                <c:formatCode>General</c:formatCode>
                <c:ptCount val="45"/>
                <c:pt idx="0">
                  <c:v>9.42</c:v>
                </c:pt>
                <c:pt idx="1">
                  <c:v>8.77</c:v>
                </c:pt>
                <c:pt idx="2">
                  <c:v>9</c:v>
                </c:pt>
                <c:pt idx="3">
                  <c:v>9.1300000000000008</c:v>
                </c:pt>
                <c:pt idx="4">
                  <c:v>9.32</c:v>
                </c:pt>
                <c:pt idx="8">
                  <c:v>9.6</c:v>
                </c:pt>
                <c:pt idx="9">
                  <c:v>9.5</c:v>
                </c:pt>
                <c:pt idx="10">
                  <c:v>9.3800000000000008</c:v>
                </c:pt>
                <c:pt idx="11">
                  <c:v>9.35</c:v>
                </c:pt>
                <c:pt idx="12">
                  <c:v>9.24</c:v>
                </c:pt>
                <c:pt idx="16">
                  <c:v>9.31</c:v>
                </c:pt>
                <c:pt idx="17">
                  <c:v>9.14</c:v>
                </c:pt>
                <c:pt idx="18">
                  <c:v>9.15</c:v>
                </c:pt>
                <c:pt idx="19">
                  <c:v>9.07</c:v>
                </c:pt>
                <c:pt idx="20">
                  <c:v>9.27</c:v>
                </c:pt>
                <c:pt idx="24">
                  <c:v>9.16</c:v>
                </c:pt>
                <c:pt idx="25">
                  <c:v>8.84</c:v>
                </c:pt>
                <c:pt idx="26">
                  <c:v>8.9499999999999993</c:v>
                </c:pt>
                <c:pt idx="27">
                  <c:v>9.1300000000000008</c:v>
                </c:pt>
                <c:pt idx="31">
                  <c:v>9.2899999999999991</c:v>
                </c:pt>
                <c:pt idx="32">
                  <c:v>9.19</c:v>
                </c:pt>
                <c:pt idx="33">
                  <c:v>9.07</c:v>
                </c:pt>
                <c:pt idx="37">
                  <c:v>9.09</c:v>
                </c:pt>
                <c:pt idx="38">
                  <c:v>9.0399999999999991</c:v>
                </c:pt>
                <c:pt idx="39">
                  <c:v>8.8699999999999992</c:v>
                </c:pt>
                <c:pt idx="4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A6-4360-9C83-400C0945E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1776"/>
        <c:axId val="1117586384"/>
      </c:scatterChart>
      <c:valAx>
        <c:axId val="1117601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6384"/>
        <c:crosses val="autoZero"/>
        <c:crossBetween val="midCat"/>
      </c:valAx>
      <c:valAx>
        <c:axId val="1117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1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All!$CG$6:$CG$50</c:f>
              <c:numCache>
                <c:formatCode>General</c:formatCode>
                <c:ptCount val="45"/>
                <c:pt idx="0">
                  <c:v>13.545</c:v>
                </c:pt>
                <c:pt idx="1">
                  <c:v>13.768000000000001</c:v>
                </c:pt>
                <c:pt idx="2">
                  <c:v>13.759</c:v>
                </c:pt>
                <c:pt idx="3">
                  <c:v>13.747</c:v>
                </c:pt>
                <c:pt idx="4">
                  <c:v>13.769</c:v>
                </c:pt>
                <c:pt idx="8">
                  <c:v>13.616</c:v>
                </c:pt>
                <c:pt idx="9">
                  <c:v>13.736000000000001</c:v>
                </c:pt>
                <c:pt idx="10">
                  <c:v>13.734</c:v>
                </c:pt>
                <c:pt idx="11">
                  <c:v>13.734</c:v>
                </c:pt>
                <c:pt idx="12">
                  <c:v>13.718999999999999</c:v>
                </c:pt>
                <c:pt idx="16">
                  <c:v>13.555</c:v>
                </c:pt>
                <c:pt idx="17">
                  <c:v>13.76</c:v>
                </c:pt>
                <c:pt idx="18">
                  <c:v>13.749000000000001</c:v>
                </c:pt>
                <c:pt idx="19">
                  <c:v>13.738</c:v>
                </c:pt>
                <c:pt idx="20">
                  <c:v>13.712999999999999</c:v>
                </c:pt>
                <c:pt idx="24">
                  <c:v>13.57</c:v>
                </c:pt>
                <c:pt idx="25">
                  <c:v>13.733000000000001</c:v>
                </c:pt>
                <c:pt idx="26">
                  <c:v>13.727</c:v>
                </c:pt>
                <c:pt idx="27">
                  <c:v>13.754</c:v>
                </c:pt>
                <c:pt idx="31">
                  <c:v>13.593999999999999</c:v>
                </c:pt>
                <c:pt idx="32">
                  <c:v>13.726000000000001</c:v>
                </c:pt>
                <c:pt idx="33">
                  <c:v>13.738</c:v>
                </c:pt>
                <c:pt idx="37">
                  <c:v>13.532</c:v>
                </c:pt>
                <c:pt idx="38">
                  <c:v>13.728999999999999</c:v>
                </c:pt>
                <c:pt idx="39">
                  <c:v>13.73</c:v>
                </c:pt>
                <c:pt idx="40">
                  <c:v>13.798999999999999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A-4DC7-92D4-24618ABD7684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All!$CH$6:$CH$50</c:f>
              <c:numCache>
                <c:formatCode>General</c:formatCode>
                <c:ptCount val="45"/>
                <c:pt idx="0">
                  <c:v>10.327999999999999</c:v>
                </c:pt>
                <c:pt idx="1">
                  <c:v>13.651999999999999</c:v>
                </c:pt>
                <c:pt idx="2">
                  <c:v>13.624000000000001</c:v>
                </c:pt>
                <c:pt idx="3">
                  <c:v>13.587999999999999</c:v>
                </c:pt>
                <c:pt idx="4">
                  <c:v>13.388</c:v>
                </c:pt>
                <c:pt idx="8">
                  <c:v>10.093999999999999</c:v>
                </c:pt>
                <c:pt idx="9">
                  <c:v>13.553000000000001</c:v>
                </c:pt>
                <c:pt idx="10">
                  <c:v>13.557</c:v>
                </c:pt>
                <c:pt idx="11">
                  <c:v>13.602</c:v>
                </c:pt>
                <c:pt idx="12">
                  <c:v>10.382999999999999</c:v>
                </c:pt>
                <c:pt idx="16">
                  <c:v>9.91</c:v>
                </c:pt>
                <c:pt idx="17">
                  <c:v>13.574999999999999</c:v>
                </c:pt>
                <c:pt idx="18">
                  <c:v>13.56</c:v>
                </c:pt>
                <c:pt idx="19">
                  <c:v>13.531000000000001</c:v>
                </c:pt>
                <c:pt idx="20">
                  <c:v>10.504</c:v>
                </c:pt>
                <c:pt idx="24">
                  <c:v>9.9160000000000004</c:v>
                </c:pt>
                <c:pt idx="25">
                  <c:v>13.6</c:v>
                </c:pt>
                <c:pt idx="26">
                  <c:v>13.542999999999999</c:v>
                </c:pt>
                <c:pt idx="27">
                  <c:v>13.433</c:v>
                </c:pt>
                <c:pt idx="31">
                  <c:v>10.19</c:v>
                </c:pt>
                <c:pt idx="32">
                  <c:v>13.541</c:v>
                </c:pt>
                <c:pt idx="33">
                  <c:v>13.22</c:v>
                </c:pt>
                <c:pt idx="37">
                  <c:v>10.131</c:v>
                </c:pt>
                <c:pt idx="38">
                  <c:v>13.558999999999999</c:v>
                </c:pt>
                <c:pt idx="39">
                  <c:v>13.606</c:v>
                </c:pt>
                <c:pt idx="40">
                  <c:v>10.278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A-4DC7-92D4-24618ABD7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87216"/>
        <c:axId val="1117588048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All!$GK$6:$GK$50</c:f>
              <c:numCache>
                <c:formatCode>General</c:formatCode>
                <c:ptCount val="45"/>
                <c:pt idx="0">
                  <c:v>96.5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4">
                  <c:v>99.5</c:v>
                </c:pt>
                <c:pt idx="8">
                  <c:v>98</c:v>
                </c:pt>
                <c:pt idx="9">
                  <c:v>99.5</c:v>
                </c:pt>
                <c:pt idx="10">
                  <c:v>99.5</c:v>
                </c:pt>
                <c:pt idx="11">
                  <c:v>99.5</c:v>
                </c:pt>
                <c:pt idx="12">
                  <c:v>98.5</c:v>
                </c:pt>
                <c:pt idx="16">
                  <c:v>97</c:v>
                </c:pt>
                <c:pt idx="17">
                  <c:v>99.5</c:v>
                </c:pt>
                <c:pt idx="18">
                  <c:v>99.5</c:v>
                </c:pt>
                <c:pt idx="19">
                  <c:v>99.5</c:v>
                </c:pt>
                <c:pt idx="20">
                  <c:v>97</c:v>
                </c:pt>
                <c:pt idx="24">
                  <c:v>95.5</c:v>
                </c:pt>
                <c:pt idx="25">
                  <c:v>99.5</c:v>
                </c:pt>
                <c:pt idx="26">
                  <c:v>99.5</c:v>
                </c:pt>
                <c:pt idx="27">
                  <c:v>99.5</c:v>
                </c:pt>
                <c:pt idx="31">
                  <c:v>98</c:v>
                </c:pt>
                <c:pt idx="32">
                  <c:v>99.5</c:v>
                </c:pt>
                <c:pt idx="33">
                  <c:v>99</c:v>
                </c:pt>
                <c:pt idx="37">
                  <c:v>97</c:v>
                </c:pt>
                <c:pt idx="38">
                  <c:v>99.5</c:v>
                </c:pt>
                <c:pt idx="39">
                  <c:v>99.5</c:v>
                </c:pt>
                <c:pt idx="4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8A-4DC7-92D4-24618ABD7684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All!$GL$6:$GL$50</c:f>
              <c:numCache>
                <c:formatCode>General</c:formatCode>
                <c:ptCount val="45"/>
                <c:pt idx="0">
                  <c:v>109.4</c:v>
                </c:pt>
                <c:pt idx="1">
                  <c:v>110.8</c:v>
                </c:pt>
                <c:pt idx="2">
                  <c:v>110.8</c:v>
                </c:pt>
                <c:pt idx="3">
                  <c:v>110.2</c:v>
                </c:pt>
                <c:pt idx="4">
                  <c:v>108.8</c:v>
                </c:pt>
                <c:pt idx="8">
                  <c:v>114</c:v>
                </c:pt>
                <c:pt idx="9">
                  <c:v>109.1</c:v>
                </c:pt>
                <c:pt idx="10">
                  <c:v>112.6</c:v>
                </c:pt>
                <c:pt idx="11">
                  <c:v>109.2</c:v>
                </c:pt>
                <c:pt idx="12">
                  <c:v>109.5</c:v>
                </c:pt>
                <c:pt idx="16">
                  <c:v>111.1</c:v>
                </c:pt>
                <c:pt idx="17">
                  <c:v>114.4</c:v>
                </c:pt>
                <c:pt idx="18">
                  <c:v>108.1</c:v>
                </c:pt>
                <c:pt idx="19">
                  <c:v>107.6</c:v>
                </c:pt>
                <c:pt idx="20">
                  <c:v>110.2</c:v>
                </c:pt>
                <c:pt idx="24">
                  <c:v>109.9</c:v>
                </c:pt>
                <c:pt idx="25">
                  <c:v>109.8</c:v>
                </c:pt>
                <c:pt idx="26">
                  <c:v>110.7</c:v>
                </c:pt>
                <c:pt idx="27">
                  <c:v>109.3</c:v>
                </c:pt>
                <c:pt idx="31">
                  <c:v>110.8</c:v>
                </c:pt>
                <c:pt idx="32">
                  <c:v>107.6</c:v>
                </c:pt>
                <c:pt idx="33">
                  <c:v>112</c:v>
                </c:pt>
                <c:pt idx="37">
                  <c:v>111.1</c:v>
                </c:pt>
                <c:pt idx="38">
                  <c:v>109.7</c:v>
                </c:pt>
                <c:pt idx="39">
                  <c:v>108.6</c:v>
                </c:pt>
                <c:pt idx="40">
                  <c:v>110.4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8A-4DC7-92D4-24618ABD7684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8A-4DC7-92D4-24618ABD7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5104"/>
        <c:axId val="1117597616"/>
      </c:scatterChart>
      <c:valAx>
        <c:axId val="111758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8048"/>
        <c:crosses val="autoZero"/>
        <c:crossBetween val="midCat"/>
      </c:valAx>
      <c:valAx>
        <c:axId val="1117588048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7216"/>
        <c:crosses val="autoZero"/>
        <c:crossBetween val="midCat"/>
      </c:valAx>
      <c:valAx>
        <c:axId val="1117597616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5104"/>
        <c:crosses val="max"/>
        <c:crossBetween val="midCat"/>
      </c:valAx>
      <c:valAx>
        <c:axId val="1117605104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597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All!$GN$6:$GN$50</c:f>
              <c:numCache>
                <c:formatCode>General</c:formatCode>
                <c:ptCount val="45"/>
                <c:pt idx="0">
                  <c:v>22.739000000000001</c:v>
                </c:pt>
                <c:pt idx="1">
                  <c:v>26.097999999999999</c:v>
                </c:pt>
                <c:pt idx="2">
                  <c:v>27.2</c:v>
                </c:pt>
                <c:pt idx="3">
                  <c:v>25.06</c:v>
                </c:pt>
                <c:pt idx="4">
                  <c:v>26.277000000000001</c:v>
                </c:pt>
                <c:pt idx="8">
                  <c:v>23.785</c:v>
                </c:pt>
                <c:pt idx="9">
                  <c:v>25.087</c:v>
                </c:pt>
                <c:pt idx="10">
                  <c:v>25.27</c:v>
                </c:pt>
                <c:pt idx="11">
                  <c:v>22.712</c:v>
                </c:pt>
                <c:pt idx="12">
                  <c:v>24.843</c:v>
                </c:pt>
                <c:pt idx="16">
                  <c:v>23.843</c:v>
                </c:pt>
                <c:pt idx="17">
                  <c:v>24.821000000000002</c:v>
                </c:pt>
                <c:pt idx="18">
                  <c:v>26.094000000000001</c:v>
                </c:pt>
                <c:pt idx="19">
                  <c:v>25.363</c:v>
                </c:pt>
                <c:pt idx="20">
                  <c:v>23.263000000000002</c:v>
                </c:pt>
                <c:pt idx="24">
                  <c:v>24.936</c:v>
                </c:pt>
                <c:pt idx="25">
                  <c:v>23.864000000000001</c:v>
                </c:pt>
                <c:pt idx="26">
                  <c:v>24.25</c:v>
                </c:pt>
                <c:pt idx="27">
                  <c:v>23.401</c:v>
                </c:pt>
                <c:pt idx="31">
                  <c:v>24.363</c:v>
                </c:pt>
                <c:pt idx="32">
                  <c:v>25.050999999999998</c:v>
                </c:pt>
                <c:pt idx="33">
                  <c:v>26.012</c:v>
                </c:pt>
                <c:pt idx="37">
                  <c:v>25.738</c:v>
                </c:pt>
                <c:pt idx="38">
                  <c:v>23.91</c:v>
                </c:pt>
                <c:pt idx="39">
                  <c:v>25.632000000000001</c:v>
                </c:pt>
                <c:pt idx="40">
                  <c:v>24.422000000000001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8-48A6-8606-D1E345482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88880"/>
        <c:axId val="1117598032"/>
      </c:scatterChart>
      <c:valAx>
        <c:axId val="1117588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8032"/>
        <c:crosses val="autoZero"/>
        <c:crossBetween val="midCat"/>
      </c:valAx>
      <c:valAx>
        <c:axId val="1117598032"/>
        <c:scaling>
          <c:orientation val="minMax"/>
          <c:max val="5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8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All!$CT$6:$CT$50</c:f>
              <c:numCache>
                <c:formatCode>General</c:formatCode>
                <c:ptCount val="45"/>
                <c:pt idx="0">
                  <c:v>0.224</c:v>
                </c:pt>
                <c:pt idx="1">
                  <c:v>0.34899999999999998</c:v>
                </c:pt>
                <c:pt idx="2">
                  <c:v>0.39600000000000002</c:v>
                </c:pt>
                <c:pt idx="3">
                  <c:v>0.32200000000000001</c:v>
                </c:pt>
                <c:pt idx="4">
                  <c:v>0.61099999999999999</c:v>
                </c:pt>
                <c:pt idx="8">
                  <c:v>0.19700000000000001</c:v>
                </c:pt>
                <c:pt idx="9">
                  <c:v>0.32800000000000001</c:v>
                </c:pt>
                <c:pt idx="10">
                  <c:v>0.38200000000000001</c:v>
                </c:pt>
                <c:pt idx="11">
                  <c:v>0.252</c:v>
                </c:pt>
                <c:pt idx="12">
                  <c:v>0.312</c:v>
                </c:pt>
                <c:pt idx="16">
                  <c:v>0.27500000000000002</c:v>
                </c:pt>
                <c:pt idx="17">
                  <c:v>0.40300000000000002</c:v>
                </c:pt>
                <c:pt idx="18">
                  <c:v>0.47</c:v>
                </c:pt>
                <c:pt idx="19">
                  <c:v>0.40799999999999997</c:v>
                </c:pt>
                <c:pt idx="20">
                  <c:v>0.16</c:v>
                </c:pt>
                <c:pt idx="24">
                  <c:v>0.34</c:v>
                </c:pt>
                <c:pt idx="25">
                  <c:v>0.28599999999999998</c:v>
                </c:pt>
                <c:pt idx="26">
                  <c:v>0.33600000000000002</c:v>
                </c:pt>
                <c:pt idx="27">
                  <c:v>0.28499999999999998</c:v>
                </c:pt>
                <c:pt idx="31">
                  <c:v>0.49299999999999999</c:v>
                </c:pt>
                <c:pt idx="32">
                  <c:v>0.29799999999999999</c:v>
                </c:pt>
                <c:pt idx="33">
                  <c:v>0.38200000000000001</c:v>
                </c:pt>
                <c:pt idx="37">
                  <c:v>0.32400000000000001</c:v>
                </c:pt>
                <c:pt idx="38">
                  <c:v>0.38700000000000001</c:v>
                </c:pt>
                <c:pt idx="39">
                  <c:v>0.311</c:v>
                </c:pt>
                <c:pt idx="40">
                  <c:v>0.11700000000000001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7F-43FD-8EFF-80A4C1C17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0128"/>
        <c:axId val="1117604688"/>
      </c:scatterChart>
      <c:valAx>
        <c:axId val="1117590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4688"/>
        <c:crosses val="autoZero"/>
        <c:crossBetween val="midCat"/>
      </c:valAx>
      <c:valAx>
        <c:axId val="11176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All!$ER$6:$ER$50</c:f>
              <c:numCache>
                <c:formatCode>General</c:formatCode>
                <c:ptCount val="45"/>
                <c:pt idx="0">
                  <c:v>105.47799999999999</c:v>
                </c:pt>
                <c:pt idx="1">
                  <c:v>78.614000000000004</c:v>
                </c:pt>
                <c:pt idx="2">
                  <c:v>112.77800000000001</c:v>
                </c:pt>
                <c:pt idx="3">
                  <c:v>97.885999999999996</c:v>
                </c:pt>
                <c:pt idx="4">
                  <c:v>82.701999999999998</c:v>
                </c:pt>
                <c:pt idx="8">
                  <c:v>108.398</c:v>
                </c:pt>
                <c:pt idx="9">
                  <c:v>82.41</c:v>
                </c:pt>
                <c:pt idx="10">
                  <c:v>96.426000000000002</c:v>
                </c:pt>
                <c:pt idx="11">
                  <c:v>113.07</c:v>
                </c:pt>
                <c:pt idx="12">
                  <c:v>110.44199999999999</c:v>
                </c:pt>
                <c:pt idx="16">
                  <c:v>99.054000000000002</c:v>
                </c:pt>
                <c:pt idx="17">
                  <c:v>88.834000000000003</c:v>
                </c:pt>
                <c:pt idx="18">
                  <c:v>82.41</c:v>
                </c:pt>
                <c:pt idx="19">
                  <c:v>98.762</c:v>
                </c:pt>
                <c:pt idx="20">
                  <c:v>93.506</c:v>
                </c:pt>
                <c:pt idx="24">
                  <c:v>93.506</c:v>
                </c:pt>
                <c:pt idx="25">
                  <c:v>95.841999999999999</c:v>
                </c:pt>
                <c:pt idx="26">
                  <c:v>114.238</c:v>
                </c:pt>
                <c:pt idx="27">
                  <c:v>84.162000000000006</c:v>
                </c:pt>
                <c:pt idx="31">
                  <c:v>101.974</c:v>
                </c:pt>
                <c:pt idx="32">
                  <c:v>113.946</c:v>
                </c:pt>
                <c:pt idx="33">
                  <c:v>101.39</c:v>
                </c:pt>
                <c:pt idx="37">
                  <c:v>115.69799999999999</c:v>
                </c:pt>
                <c:pt idx="38">
                  <c:v>99.638000000000005</c:v>
                </c:pt>
                <c:pt idx="39">
                  <c:v>91.17</c:v>
                </c:pt>
                <c:pt idx="40">
                  <c:v>90.001999999999995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45-43EC-A9FA-5B9E34E920EB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All!$EQ$6:$EQ$50</c:f>
              <c:numCache>
                <c:formatCode>General</c:formatCode>
                <c:ptCount val="45"/>
                <c:pt idx="0">
                  <c:v>-1.0940000000000001</c:v>
                </c:pt>
                <c:pt idx="1">
                  <c:v>-3.0009999999999999</c:v>
                </c:pt>
                <c:pt idx="2">
                  <c:v>-2.59</c:v>
                </c:pt>
                <c:pt idx="3">
                  <c:v>-2.9470000000000001</c:v>
                </c:pt>
                <c:pt idx="4">
                  <c:v>-2.63</c:v>
                </c:pt>
                <c:pt idx="8">
                  <c:v>-2.0049999999999999</c:v>
                </c:pt>
                <c:pt idx="9">
                  <c:v>-3.3410000000000002</c:v>
                </c:pt>
                <c:pt idx="10">
                  <c:v>-3.0760000000000001</c:v>
                </c:pt>
                <c:pt idx="11">
                  <c:v>-3.0550000000000002</c:v>
                </c:pt>
                <c:pt idx="12">
                  <c:v>-2.8220000000000001</c:v>
                </c:pt>
                <c:pt idx="16">
                  <c:v>-1.84</c:v>
                </c:pt>
                <c:pt idx="17">
                  <c:v>-2.3439999999999999</c:v>
                </c:pt>
                <c:pt idx="18">
                  <c:v>-2.617</c:v>
                </c:pt>
                <c:pt idx="19">
                  <c:v>-2.9950000000000001</c:v>
                </c:pt>
                <c:pt idx="20">
                  <c:v>-1.1120000000000001</c:v>
                </c:pt>
                <c:pt idx="24">
                  <c:v>-1.177</c:v>
                </c:pt>
                <c:pt idx="25">
                  <c:v>-2.38</c:v>
                </c:pt>
                <c:pt idx="26">
                  <c:v>-2.3140000000000001</c:v>
                </c:pt>
                <c:pt idx="27">
                  <c:v>-2.2410000000000001</c:v>
                </c:pt>
                <c:pt idx="31">
                  <c:v>-1.359</c:v>
                </c:pt>
                <c:pt idx="32">
                  <c:v>-2.484</c:v>
                </c:pt>
                <c:pt idx="33">
                  <c:v>-2.0139999999999998</c:v>
                </c:pt>
                <c:pt idx="37">
                  <c:v>-0.91500000000000004</c:v>
                </c:pt>
                <c:pt idx="38">
                  <c:v>-2.19</c:v>
                </c:pt>
                <c:pt idx="39">
                  <c:v>-2.117</c:v>
                </c:pt>
                <c:pt idx="40">
                  <c:v>-0.56699999999999995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45-43EC-A9FA-5B9E34E920EB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All!$EP$6:$EP$50</c:f>
              <c:numCache>
                <c:formatCode>General</c:formatCode>
                <c:ptCount val="45"/>
                <c:pt idx="0">
                  <c:v>-103.886</c:v>
                </c:pt>
                <c:pt idx="1">
                  <c:v>-103.30200000000001</c:v>
                </c:pt>
                <c:pt idx="2">
                  <c:v>-91.622</c:v>
                </c:pt>
                <c:pt idx="3">
                  <c:v>-105.346</c:v>
                </c:pt>
                <c:pt idx="4">
                  <c:v>-93.665999999999997</c:v>
                </c:pt>
                <c:pt idx="8">
                  <c:v>-94.25</c:v>
                </c:pt>
                <c:pt idx="9">
                  <c:v>-105.054</c:v>
                </c:pt>
                <c:pt idx="10">
                  <c:v>-106.22199999999999</c:v>
                </c:pt>
                <c:pt idx="11">
                  <c:v>-112.062</c:v>
                </c:pt>
                <c:pt idx="12">
                  <c:v>-100.96599999999999</c:v>
                </c:pt>
                <c:pt idx="16">
                  <c:v>-101.842</c:v>
                </c:pt>
                <c:pt idx="17">
                  <c:v>-133.96199999999999</c:v>
                </c:pt>
                <c:pt idx="18">
                  <c:v>-98.046000000000006</c:v>
                </c:pt>
                <c:pt idx="19">
                  <c:v>-103.886</c:v>
                </c:pt>
                <c:pt idx="20">
                  <c:v>-118.194</c:v>
                </c:pt>
                <c:pt idx="24">
                  <c:v>-96.001999999999995</c:v>
                </c:pt>
                <c:pt idx="25">
                  <c:v>-97.754000000000005</c:v>
                </c:pt>
                <c:pt idx="26">
                  <c:v>-101.842</c:v>
                </c:pt>
                <c:pt idx="27">
                  <c:v>-103.886</c:v>
                </c:pt>
                <c:pt idx="31">
                  <c:v>-86.95</c:v>
                </c:pt>
                <c:pt idx="32">
                  <c:v>-106.514</c:v>
                </c:pt>
                <c:pt idx="33">
                  <c:v>-112.646</c:v>
                </c:pt>
                <c:pt idx="37">
                  <c:v>-99.213999999999999</c:v>
                </c:pt>
                <c:pt idx="38">
                  <c:v>-108.55800000000001</c:v>
                </c:pt>
                <c:pt idx="39">
                  <c:v>-109.726</c:v>
                </c:pt>
                <c:pt idx="40">
                  <c:v>-118.194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45-43EC-A9FA-5B9E34E920EB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All!$GO$6:$GO$50</c:f>
              <c:numCache>
                <c:formatCode>General</c:formatCode>
                <c:ptCount val="45"/>
                <c:pt idx="0">
                  <c:v>105.47799999999999</c:v>
                </c:pt>
                <c:pt idx="1">
                  <c:v>103.30200000000001</c:v>
                </c:pt>
                <c:pt idx="2">
                  <c:v>112.77800000000001</c:v>
                </c:pt>
                <c:pt idx="3">
                  <c:v>105.346</c:v>
                </c:pt>
                <c:pt idx="4">
                  <c:v>93.665999999999997</c:v>
                </c:pt>
                <c:pt idx="8">
                  <c:v>108.398</c:v>
                </c:pt>
                <c:pt idx="9">
                  <c:v>105.054</c:v>
                </c:pt>
                <c:pt idx="10">
                  <c:v>106.22199999999999</c:v>
                </c:pt>
                <c:pt idx="11">
                  <c:v>113.07</c:v>
                </c:pt>
                <c:pt idx="12">
                  <c:v>110.44199999999999</c:v>
                </c:pt>
                <c:pt idx="16">
                  <c:v>101.842</c:v>
                </c:pt>
                <c:pt idx="17">
                  <c:v>133.96199999999999</c:v>
                </c:pt>
                <c:pt idx="18">
                  <c:v>98.046000000000006</c:v>
                </c:pt>
                <c:pt idx="19">
                  <c:v>103.886</c:v>
                </c:pt>
                <c:pt idx="20">
                  <c:v>118.194</c:v>
                </c:pt>
                <c:pt idx="24">
                  <c:v>96.001999999999995</c:v>
                </c:pt>
                <c:pt idx="25">
                  <c:v>97.754000000000005</c:v>
                </c:pt>
                <c:pt idx="26">
                  <c:v>114.238</c:v>
                </c:pt>
                <c:pt idx="27">
                  <c:v>103.886</c:v>
                </c:pt>
                <c:pt idx="31">
                  <c:v>101.974</c:v>
                </c:pt>
                <c:pt idx="32">
                  <c:v>113.946</c:v>
                </c:pt>
                <c:pt idx="33">
                  <c:v>112.646</c:v>
                </c:pt>
                <c:pt idx="37">
                  <c:v>115.69799999999999</c:v>
                </c:pt>
                <c:pt idx="38">
                  <c:v>108.55800000000001</c:v>
                </c:pt>
                <c:pt idx="39">
                  <c:v>109.726</c:v>
                </c:pt>
                <c:pt idx="40">
                  <c:v>118.194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45-43EC-A9FA-5B9E34E92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8448"/>
        <c:axId val="1117594288"/>
      </c:scatterChart>
      <c:valAx>
        <c:axId val="111759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4288"/>
        <c:crosses val="autoZero"/>
        <c:crossBetween val="midCat"/>
      </c:valAx>
      <c:valAx>
        <c:axId val="111759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8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All!$GQ$6:$GQ$50</c:f>
              <c:numCache>
                <c:formatCode>General</c:formatCode>
                <c:ptCount val="45"/>
                <c:pt idx="0">
                  <c:v>4.2480000000000002</c:v>
                </c:pt>
                <c:pt idx="1">
                  <c:v>1.8879999999999999</c:v>
                </c:pt>
                <c:pt idx="2">
                  <c:v>1.829</c:v>
                </c:pt>
                <c:pt idx="3">
                  <c:v>1.829</c:v>
                </c:pt>
                <c:pt idx="4">
                  <c:v>5.1920000000000002</c:v>
                </c:pt>
                <c:pt idx="8">
                  <c:v>3.4809999999999999</c:v>
                </c:pt>
                <c:pt idx="9">
                  <c:v>1.829</c:v>
                </c:pt>
                <c:pt idx="10">
                  <c:v>1.829</c:v>
                </c:pt>
                <c:pt idx="11">
                  <c:v>1.829</c:v>
                </c:pt>
                <c:pt idx="12">
                  <c:v>5.782</c:v>
                </c:pt>
                <c:pt idx="16">
                  <c:v>3.8940000000000001</c:v>
                </c:pt>
                <c:pt idx="17">
                  <c:v>1.8879999999999999</c:v>
                </c:pt>
                <c:pt idx="18">
                  <c:v>1.9470000000000001</c:v>
                </c:pt>
                <c:pt idx="19">
                  <c:v>1.8879999999999999</c:v>
                </c:pt>
                <c:pt idx="20">
                  <c:v>5.9</c:v>
                </c:pt>
                <c:pt idx="24">
                  <c:v>3.9529999999999998</c:v>
                </c:pt>
                <c:pt idx="25">
                  <c:v>1.8879999999999999</c:v>
                </c:pt>
                <c:pt idx="26">
                  <c:v>1.8879999999999999</c:v>
                </c:pt>
                <c:pt idx="27">
                  <c:v>1.8879999999999999</c:v>
                </c:pt>
                <c:pt idx="31">
                  <c:v>3.2450000000000001</c:v>
                </c:pt>
                <c:pt idx="32">
                  <c:v>1.829</c:v>
                </c:pt>
                <c:pt idx="33">
                  <c:v>1.8879999999999999</c:v>
                </c:pt>
                <c:pt idx="37">
                  <c:v>4.1890000000000001</c:v>
                </c:pt>
                <c:pt idx="38">
                  <c:v>1.829</c:v>
                </c:pt>
                <c:pt idx="39">
                  <c:v>1.829</c:v>
                </c:pt>
                <c:pt idx="40">
                  <c:v>1.9470000000000001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50-4914-B005-C0F37BD454DB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All!$ES$6:$ES$50</c:f>
              <c:numCache>
                <c:formatCode>General</c:formatCode>
                <c:ptCount val="45"/>
                <c:pt idx="0">
                  <c:v>0.50900000000000001</c:v>
                </c:pt>
                <c:pt idx="1">
                  <c:v>1.5169999999999999</c:v>
                </c:pt>
                <c:pt idx="2">
                  <c:v>1.4830000000000001</c:v>
                </c:pt>
                <c:pt idx="3">
                  <c:v>1.4450000000000001</c:v>
                </c:pt>
                <c:pt idx="4">
                  <c:v>1.425</c:v>
                </c:pt>
                <c:pt idx="8">
                  <c:v>1.1870000000000001</c:v>
                </c:pt>
                <c:pt idx="9">
                  <c:v>1.52</c:v>
                </c:pt>
                <c:pt idx="10">
                  <c:v>1.4830000000000001</c:v>
                </c:pt>
                <c:pt idx="11">
                  <c:v>1.44</c:v>
                </c:pt>
                <c:pt idx="12">
                  <c:v>1.4259999999999999</c:v>
                </c:pt>
                <c:pt idx="16">
                  <c:v>1.244</c:v>
                </c:pt>
                <c:pt idx="17">
                  <c:v>1.5409999999999999</c:v>
                </c:pt>
                <c:pt idx="18">
                  <c:v>1.516</c:v>
                </c:pt>
                <c:pt idx="19">
                  <c:v>1.4670000000000001</c:v>
                </c:pt>
                <c:pt idx="20">
                  <c:v>1.498</c:v>
                </c:pt>
                <c:pt idx="24">
                  <c:v>1.423</c:v>
                </c:pt>
                <c:pt idx="25">
                  <c:v>1.5209999999999999</c:v>
                </c:pt>
                <c:pt idx="26">
                  <c:v>1.4690000000000001</c:v>
                </c:pt>
                <c:pt idx="27">
                  <c:v>1.4410000000000001</c:v>
                </c:pt>
                <c:pt idx="31">
                  <c:v>1.1479999999999999</c:v>
                </c:pt>
                <c:pt idx="32">
                  <c:v>1.401</c:v>
                </c:pt>
                <c:pt idx="33">
                  <c:v>1.329</c:v>
                </c:pt>
                <c:pt idx="37">
                  <c:v>1.097</c:v>
                </c:pt>
                <c:pt idx="38">
                  <c:v>1.337</c:v>
                </c:pt>
                <c:pt idx="39">
                  <c:v>1.3180000000000001</c:v>
                </c:pt>
                <c:pt idx="40">
                  <c:v>1.5169999999999999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50-4914-B005-C0F37BD454DB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All!$GP$6:$GP$50</c:f>
              <c:numCache>
                <c:formatCode>General</c:formatCode>
                <c:ptCount val="45"/>
                <c:pt idx="0">
                  <c:v>0</c:v>
                </c:pt>
                <c:pt idx="1">
                  <c:v>0.94399999999999995</c:v>
                </c:pt>
                <c:pt idx="2">
                  <c:v>0.76700000000000002</c:v>
                </c:pt>
                <c:pt idx="3">
                  <c:v>0.53100000000000003</c:v>
                </c:pt>
                <c:pt idx="4">
                  <c:v>0</c:v>
                </c:pt>
                <c:pt idx="8">
                  <c:v>0</c:v>
                </c:pt>
                <c:pt idx="9">
                  <c:v>0.94399999999999995</c:v>
                </c:pt>
                <c:pt idx="10">
                  <c:v>0.76700000000000002</c:v>
                </c:pt>
                <c:pt idx="11">
                  <c:v>0.53100000000000003</c:v>
                </c:pt>
                <c:pt idx="12">
                  <c:v>0</c:v>
                </c:pt>
                <c:pt idx="16">
                  <c:v>0</c:v>
                </c:pt>
                <c:pt idx="17">
                  <c:v>0.94399999999999995</c:v>
                </c:pt>
                <c:pt idx="18">
                  <c:v>0.88500000000000001</c:v>
                </c:pt>
                <c:pt idx="19">
                  <c:v>0.76700000000000002</c:v>
                </c:pt>
                <c:pt idx="20">
                  <c:v>0</c:v>
                </c:pt>
                <c:pt idx="24">
                  <c:v>0</c:v>
                </c:pt>
                <c:pt idx="25">
                  <c:v>1.0029999999999999</c:v>
                </c:pt>
                <c:pt idx="26">
                  <c:v>0.47199999999999998</c:v>
                </c:pt>
                <c:pt idx="27">
                  <c:v>0</c:v>
                </c:pt>
                <c:pt idx="31">
                  <c:v>0</c:v>
                </c:pt>
                <c:pt idx="32">
                  <c:v>0.47199999999999998</c:v>
                </c:pt>
                <c:pt idx="33">
                  <c:v>0</c:v>
                </c:pt>
                <c:pt idx="37">
                  <c:v>0</c:v>
                </c:pt>
                <c:pt idx="38">
                  <c:v>0.29499999999999998</c:v>
                </c:pt>
                <c:pt idx="39">
                  <c:v>0.35399999999999998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50-4914-B005-C0F37BD45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2624"/>
        <c:axId val="1117599280"/>
      </c:scatterChart>
      <c:valAx>
        <c:axId val="1117592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9280"/>
        <c:crosses val="autoZero"/>
        <c:crossBetween val="midCat"/>
      </c:valAx>
      <c:valAx>
        <c:axId val="111759928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2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All!$GS$6:$GS$50</c:f>
              <c:numCache>
                <c:formatCode>General</c:formatCode>
                <c:ptCount val="45"/>
                <c:pt idx="0">
                  <c:v>4.7789999999999999</c:v>
                </c:pt>
                <c:pt idx="1">
                  <c:v>2.0059999999999998</c:v>
                </c:pt>
                <c:pt idx="2">
                  <c:v>2.0059999999999998</c:v>
                </c:pt>
                <c:pt idx="3">
                  <c:v>1.9470000000000001</c:v>
                </c:pt>
                <c:pt idx="4">
                  <c:v>5.2510000000000003</c:v>
                </c:pt>
                <c:pt idx="8">
                  <c:v>3.6579999999999999</c:v>
                </c:pt>
                <c:pt idx="9">
                  <c:v>1.9470000000000001</c:v>
                </c:pt>
                <c:pt idx="10">
                  <c:v>1.9470000000000001</c:v>
                </c:pt>
                <c:pt idx="11">
                  <c:v>2.0059999999999998</c:v>
                </c:pt>
                <c:pt idx="12">
                  <c:v>4.8380000000000001</c:v>
                </c:pt>
                <c:pt idx="16">
                  <c:v>4.0119999999999996</c:v>
                </c:pt>
                <c:pt idx="17">
                  <c:v>2.0059999999999998</c:v>
                </c:pt>
                <c:pt idx="18">
                  <c:v>2.0059999999999998</c:v>
                </c:pt>
                <c:pt idx="19">
                  <c:v>2.0649999999999999</c:v>
                </c:pt>
                <c:pt idx="20">
                  <c:v>4.484</c:v>
                </c:pt>
                <c:pt idx="24">
                  <c:v>4.72</c:v>
                </c:pt>
                <c:pt idx="25">
                  <c:v>2.0059999999999998</c:v>
                </c:pt>
                <c:pt idx="26">
                  <c:v>1.9470000000000001</c:v>
                </c:pt>
                <c:pt idx="27">
                  <c:v>1.9470000000000001</c:v>
                </c:pt>
                <c:pt idx="31">
                  <c:v>3.363</c:v>
                </c:pt>
                <c:pt idx="32">
                  <c:v>2.0059999999999998</c:v>
                </c:pt>
                <c:pt idx="33">
                  <c:v>2.0059999999999998</c:v>
                </c:pt>
                <c:pt idx="37">
                  <c:v>3.4220000000000002</c:v>
                </c:pt>
                <c:pt idx="38">
                  <c:v>1.9470000000000001</c:v>
                </c:pt>
                <c:pt idx="39">
                  <c:v>1.9470000000000001</c:v>
                </c:pt>
                <c:pt idx="40">
                  <c:v>2.1240000000000001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5D-4E46-B52F-909F8CD2A9D8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All!$ET$6:$ET$50</c:f>
              <c:numCache>
                <c:formatCode>General</c:formatCode>
                <c:ptCount val="45"/>
                <c:pt idx="0">
                  <c:v>0.52600000000000002</c:v>
                </c:pt>
                <c:pt idx="1">
                  <c:v>1.6</c:v>
                </c:pt>
                <c:pt idx="2">
                  <c:v>1.611</c:v>
                </c:pt>
                <c:pt idx="3">
                  <c:v>1.6140000000000001</c:v>
                </c:pt>
                <c:pt idx="4">
                  <c:v>1.579</c:v>
                </c:pt>
                <c:pt idx="8">
                  <c:v>1.2330000000000001</c:v>
                </c:pt>
                <c:pt idx="9">
                  <c:v>1.6120000000000001</c:v>
                </c:pt>
                <c:pt idx="10">
                  <c:v>1.6160000000000001</c:v>
                </c:pt>
                <c:pt idx="11">
                  <c:v>1.6220000000000001</c:v>
                </c:pt>
                <c:pt idx="12">
                  <c:v>1.59</c:v>
                </c:pt>
                <c:pt idx="16">
                  <c:v>1.304</c:v>
                </c:pt>
                <c:pt idx="17">
                  <c:v>1.6279999999999999</c:v>
                </c:pt>
                <c:pt idx="18">
                  <c:v>1.633</c:v>
                </c:pt>
                <c:pt idx="19">
                  <c:v>1.63</c:v>
                </c:pt>
                <c:pt idx="20">
                  <c:v>1.58</c:v>
                </c:pt>
                <c:pt idx="24">
                  <c:v>1.472</c:v>
                </c:pt>
                <c:pt idx="25">
                  <c:v>1.61</c:v>
                </c:pt>
                <c:pt idx="26">
                  <c:v>1.6140000000000001</c:v>
                </c:pt>
                <c:pt idx="27">
                  <c:v>1.5740000000000001</c:v>
                </c:pt>
                <c:pt idx="31">
                  <c:v>1.2629999999999999</c:v>
                </c:pt>
                <c:pt idx="32">
                  <c:v>1.5980000000000001</c:v>
                </c:pt>
                <c:pt idx="33">
                  <c:v>1.496</c:v>
                </c:pt>
                <c:pt idx="37">
                  <c:v>1.232</c:v>
                </c:pt>
                <c:pt idx="38">
                  <c:v>1.5289999999999999</c:v>
                </c:pt>
                <c:pt idx="39">
                  <c:v>1.4770000000000001</c:v>
                </c:pt>
                <c:pt idx="40">
                  <c:v>1.6220000000000001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D5D-4E46-B52F-909F8CD2A9D8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All!$GR$6:$GR$50</c:f>
              <c:numCache>
                <c:formatCode>General</c:formatCode>
                <c:ptCount val="45"/>
                <c:pt idx="0">
                  <c:v>0</c:v>
                </c:pt>
                <c:pt idx="1">
                  <c:v>1.2390000000000001</c:v>
                </c:pt>
                <c:pt idx="2">
                  <c:v>1.298</c:v>
                </c:pt>
                <c:pt idx="3">
                  <c:v>1.121</c:v>
                </c:pt>
                <c:pt idx="4">
                  <c:v>0</c:v>
                </c:pt>
                <c:pt idx="8">
                  <c:v>0</c:v>
                </c:pt>
                <c:pt idx="9">
                  <c:v>1.2390000000000001</c:v>
                </c:pt>
                <c:pt idx="10">
                  <c:v>1.2390000000000001</c:v>
                </c:pt>
                <c:pt idx="11">
                  <c:v>1.298</c:v>
                </c:pt>
                <c:pt idx="12">
                  <c:v>0</c:v>
                </c:pt>
                <c:pt idx="16">
                  <c:v>0</c:v>
                </c:pt>
                <c:pt idx="17">
                  <c:v>1.298</c:v>
                </c:pt>
                <c:pt idx="18">
                  <c:v>1.298</c:v>
                </c:pt>
                <c:pt idx="19">
                  <c:v>1.2390000000000001</c:v>
                </c:pt>
                <c:pt idx="20">
                  <c:v>0</c:v>
                </c:pt>
                <c:pt idx="24">
                  <c:v>0</c:v>
                </c:pt>
                <c:pt idx="25">
                  <c:v>1.298</c:v>
                </c:pt>
                <c:pt idx="26">
                  <c:v>1.2390000000000001</c:v>
                </c:pt>
                <c:pt idx="27">
                  <c:v>0</c:v>
                </c:pt>
                <c:pt idx="31">
                  <c:v>0</c:v>
                </c:pt>
                <c:pt idx="32">
                  <c:v>0.76700000000000002</c:v>
                </c:pt>
                <c:pt idx="33">
                  <c:v>0</c:v>
                </c:pt>
                <c:pt idx="37">
                  <c:v>0</c:v>
                </c:pt>
                <c:pt idx="38">
                  <c:v>0.59</c:v>
                </c:pt>
                <c:pt idx="39">
                  <c:v>0.59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D5D-4E46-B52F-909F8CD2A9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85552"/>
        <c:axId val="1117587216"/>
      </c:scatterChart>
      <c:valAx>
        <c:axId val="1117585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7216"/>
        <c:crosses val="autoZero"/>
        <c:crossBetween val="midCat"/>
      </c:valAx>
      <c:valAx>
        <c:axId val="111758721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85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All!$GU$6:$GU$50</c:f>
              <c:numCache>
                <c:formatCode>General</c:formatCode>
                <c:ptCount val="45"/>
                <c:pt idx="0">
                  <c:v>5.0739999999999998</c:v>
                </c:pt>
                <c:pt idx="1">
                  <c:v>1.829</c:v>
                </c:pt>
                <c:pt idx="2">
                  <c:v>1.829</c:v>
                </c:pt>
                <c:pt idx="3">
                  <c:v>1.829</c:v>
                </c:pt>
                <c:pt idx="4">
                  <c:v>5.1920000000000002</c:v>
                </c:pt>
                <c:pt idx="8">
                  <c:v>4.4249999999999998</c:v>
                </c:pt>
                <c:pt idx="9">
                  <c:v>1.829</c:v>
                </c:pt>
                <c:pt idx="10">
                  <c:v>1.829</c:v>
                </c:pt>
                <c:pt idx="11">
                  <c:v>1.829</c:v>
                </c:pt>
                <c:pt idx="12">
                  <c:v>5.9589999999999996</c:v>
                </c:pt>
                <c:pt idx="16">
                  <c:v>4.1890000000000001</c:v>
                </c:pt>
                <c:pt idx="17">
                  <c:v>1.829</c:v>
                </c:pt>
                <c:pt idx="18">
                  <c:v>1.829</c:v>
                </c:pt>
                <c:pt idx="19">
                  <c:v>1.8879999999999999</c:v>
                </c:pt>
                <c:pt idx="20">
                  <c:v>6.1360000000000001</c:v>
                </c:pt>
                <c:pt idx="24">
                  <c:v>3.8940000000000001</c:v>
                </c:pt>
                <c:pt idx="25">
                  <c:v>1.829</c:v>
                </c:pt>
                <c:pt idx="26">
                  <c:v>1.8879999999999999</c:v>
                </c:pt>
                <c:pt idx="27">
                  <c:v>1.8879999999999999</c:v>
                </c:pt>
                <c:pt idx="31">
                  <c:v>4.484</c:v>
                </c:pt>
                <c:pt idx="32">
                  <c:v>1.829</c:v>
                </c:pt>
                <c:pt idx="33">
                  <c:v>1.829</c:v>
                </c:pt>
                <c:pt idx="37">
                  <c:v>3.5990000000000002</c:v>
                </c:pt>
                <c:pt idx="38">
                  <c:v>1.8879999999999999</c:v>
                </c:pt>
                <c:pt idx="39">
                  <c:v>1.829</c:v>
                </c:pt>
                <c:pt idx="40">
                  <c:v>2.1240000000000001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54-490F-A7B9-3E452807F100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All!$EU$6:$EU$50</c:f>
              <c:numCache>
                <c:formatCode>General</c:formatCode>
                <c:ptCount val="45"/>
                <c:pt idx="0">
                  <c:v>0.496</c:v>
                </c:pt>
                <c:pt idx="1">
                  <c:v>1.454</c:v>
                </c:pt>
                <c:pt idx="2">
                  <c:v>1.4370000000000001</c:v>
                </c:pt>
                <c:pt idx="3">
                  <c:v>1.4159999999999999</c:v>
                </c:pt>
                <c:pt idx="4">
                  <c:v>1.405</c:v>
                </c:pt>
                <c:pt idx="8">
                  <c:v>1.149</c:v>
                </c:pt>
                <c:pt idx="9">
                  <c:v>1.456</c:v>
                </c:pt>
                <c:pt idx="10">
                  <c:v>1.4259999999999999</c:v>
                </c:pt>
                <c:pt idx="11">
                  <c:v>1.4059999999999999</c:v>
                </c:pt>
                <c:pt idx="12">
                  <c:v>1.393</c:v>
                </c:pt>
                <c:pt idx="16">
                  <c:v>1.2130000000000001</c:v>
                </c:pt>
                <c:pt idx="17">
                  <c:v>1.5109999999999999</c:v>
                </c:pt>
                <c:pt idx="18">
                  <c:v>1.4810000000000001</c:v>
                </c:pt>
                <c:pt idx="19">
                  <c:v>1.4330000000000001</c:v>
                </c:pt>
                <c:pt idx="20">
                  <c:v>1.48</c:v>
                </c:pt>
                <c:pt idx="24">
                  <c:v>1.3859999999999999</c:v>
                </c:pt>
                <c:pt idx="25">
                  <c:v>1.4670000000000001</c:v>
                </c:pt>
                <c:pt idx="26">
                  <c:v>1.417</c:v>
                </c:pt>
                <c:pt idx="27">
                  <c:v>1.393</c:v>
                </c:pt>
                <c:pt idx="31">
                  <c:v>1.1080000000000001</c:v>
                </c:pt>
                <c:pt idx="32">
                  <c:v>1.381</c:v>
                </c:pt>
                <c:pt idx="33">
                  <c:v>1.3129999999999999</c:v>
                </c:pt>
                <c:pt idx="37">
                  <c:v>1.089</c:v>
                </c:pt>
                <c:pt idx="38">
                  <c:v>1.3280000000000001</c:v>
                </c:pt>
                <c:pt idx="39">
                  <c:v>1.292</c:v>
                </c:pt>
                <c:pt idx="40">
                  <c:v>1.512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54-490F-A7B9-3E452807F100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All!$GT$6:$GT$50</c:f>
              <c:numCache>
                <c:formatCode>General</c:formatCode>
                <c:ptCount val="45"/>
                <c:pt idx="0">
                  <c:v>0</c:v>
                </c:pt>
                <c:pt idx="1">
                  <c:v>0.70799999999999996</c:v>
                </c:pt>
                <c:pt idx="2">
                  <c:v>0.70799999999999996</c:v>
                </c:pt>
                <c:pt idx="3">
                  <c:v>0.70799999999999996</c:v>
                </c:pt>
                <c:pt idx="4">
                  <c:v>0</c:v>
                </c:pt>
                <c:pt idx="8">
                  <c:v>0</c:v>
                </c:pt>
                <c:pt idx="9">
                  <c:v>0.76700000000000002</c:v>
                </c:pt>
                <c:pt idx="10">
                  <c:v>0.76700000000000002</c:v>
                </c:pt>
                <c:pt idx="11">
                  <c:v>0.70799999999999996</c:v>
                </c:pt>
                <c:pt idx="12">
                  <c:v>0</c:v>
                </c:pt>
                <c:pt idx="16">
                  <c:v>0</c:v>
                </c:pt>
                <c:pt idx="17">
                  <c:v>1.0029999999999999</c:v>
                </c:pt>
                <c:pt idx="18">
                  <c:v>0.76700000000000002</c:v>
                </c:pt>
                <c:pt idx="19">
                  <c:v>0.76700000000000002</c:v>
                </c:pt>
                <c:pt idx="20">
                  <c:v>0</c:v>
                </c:pt>
                <c:pt idx="24">
                  <c:v>0</c:v>
                </c:pt>
                <c:pt idx="25">
                  <c:v>0.82599999999999996</c:v>
                </c:pt>
                <c:pt idx="26">
                  <c:v>0.70799999999999996</c:v>
                </c:pt>
                <c:pt idx="27">
                  <c:v>0</c:v>
                </c:pt>
                <c:pt idx="31">
                  <c:v>0</c:v>
                </c:pt>
                <c:pt idx="32">
                  <c:v>0.53100000000000003</c:v>
                </c:pt>
                <c:pt idx="33">
                  <c:v>0</c:v>
                </c:pt>
                <c:pt idx="37">
                  <c:v>0</c:v>
                </c:pt>
                <c:pt idx="38">
                  <c:v>0.53100000000000003</c:v>
                </c:pt>
                <c:pt idx="39">
                  <c:v>0.53100000000000003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54-490F-A7B9-3E452807F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10928"/>
        <c:axId val="1117603856"/>
      </c:scatterChart>
      <c:valAx>
        <c:axId val="111761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3856"/>
        <c:crosses val="autoZero"/>
        <c:crossBetween val="midCat"/>
      </c:valAx>
      <c:valAx>
        <c:axId val="1117603856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0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All!$GV$6:$GV$50</c:f>
              <c:numCache>
                <c:formatCode>General</c:formatCode>
                <c:ptCount val="45"/>
                <c:pt idx="0">
                  <c:v>0</c:v>
                </c:pt>
                <c:pt idx="1">
                  <c:v>12.74</c:v>
                </c:pt>
                <c:pt idx="2">
                  <c:v>12.641999999999999</c:v>
                </c:pt>
                <c:pt idx="3">
                  <c:v>12.544</c:v>
                </c:pt>
                <c:pt idx="4">
                  <c:v>0</c:v>
                </c:pt>
                <c:pt idx="8">
                  <c:v>0</c:v>
                </c:pt>
                <c:pt idx="9">
                  <c:v>12.348000000000001</c:v>
                </c:pt>
                <c:pt idx="10">
                  <c:v>12.74</c:v>
                </c:pt>
                <c:pt idx="11">
                  <c:v>12.641999999999999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18-435A-B44E-EEC65D176A57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All!$GW$6:$GW$50</c:f>
              <c:numCache>
                <c:formatCode>General</c:formatCode>
                <c:ptCount val="45"/>
                <c:pt idx="0">
                  <c:v>4.1929999999999996</c:v>
                </c:pt>
                <c:pt idx="1">
                  <c:v>13.887</c:v>
                </c:pt>
                <c:pt idx="2">
                  <c:v>13.865</c:v>
                </c:pt>
                <c:pt idx="3">
                  <c:v>13.823</c:v>
                </c:pt>
                <c:pt idx="4">
                  <c:v>13.483000000000001</c:v>
                </c:pt>
                <c:pt idx="8">
                  <c:v>10.547000000000001</c:v>
                </c:pt>
                <c:pt idx="9">
                  <c:v>13.778</c:v>
                </c:pt>
                <c:pt idx="10">
                  <c:v>13.787000000000001</c:v>
                </c:pt>
                <c:pt idx="11">
                  <c:v>13.81</c:v>
                </c:pt>
                <c:pt idx="12">
                  <c:v>12.455</c:v>
                </c:pt>
                <c:pt idx="16">
                  <c:v>0.02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6.0000000000000001E-3</c:v>
                </c:pt>
                <c:pt idx="24">
                  <c:v>1.0999999999999999E-2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7">
                  <c:v>8.9999999999999993E-3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18-435A-B44E-EEC65D176A57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All!$GX$6:$GX$50</c:f>
              <c:numCache>
                <c:formatCode>General</c:formatCode>
                <c:ptCount val="45"/>
                <c:pt idx="0">
                  <c:v>24.99</c:v>
                </c:pt>
                <c:pt idx="1">
                  <c:v>15.778</c:v>
                </c:pt>
                <c:pt idx="2">
                  <c:v>15.582000000000001</c:v>
                </c:pt>
                <c:pt idx="3">
                  <c:v>14.896000000000001</c:v>
                </c:pt>
                <c:pt idx="4">
                  <c:v>15.092000000000001</c:v>
                </c:pt>
                <c:pt idx="8">
                  <c:v>17.835999999999999</c:v>
                </c:pt>
                <c:pt idx="9">
                  <c:v>15.19</c:v>
                </c:pt>
                <c:pt idx="10">
                  <c:v>14.896000000000001</c:v>
                </c:pt>
                <c:pt idx="11">
                  <c:v>14.994</c:v>
                </c:pt>
                <c:pt idx="12">
                  <c:v>20.972000000000001</c:v>
                </c:pt>
                <c:pt idx="16">
                  <c:v>19.795999999999999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19.501999999999999</c:v>
                </c:pt>
                <c:pt idx="24">
                  <c:v>19.501999999999999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21.56</c:v>
                </c:pt>
                <c:pt idx="32">
                  <c:v>0</c:v>
                </c:pt>
                <c:pt idx="33">
                  <c:v>0</c:v>
                </c:pt>
                <c:pt idx="37">
                  <c:v>20.678000000000001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718-435A-B44E-EEC65D176A57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12.25</c:v>
                </c:pt>
                <c:pt idx="18">
                  <c:v>11.858000000000001</c:v>
                </c:pt>
                <c:pt idx="19">
                  <c:v>12.151999999999999</c:v>
                </c:pt>
                <c:pt idx="20">
                  <c:v>0</c:v>
                </c:pt>
                <c:pt idx="24">
                  <c:v>0</c:v>
                </c:pt>
                <c:pt idx="25">
                  <c:v>11.956</c:v>
                </c:pt>
                <c:pt idx="26">
                  <c:v>11.76</c:v>
                </c:pt>
                <c:pt idx="27">
                  <c:v>0</c:v>
                </c:pt>
                <c:pt idx="31">
                  <c:v>0</c:v>
                </c:pt>
                <c:pt idx="32">
                  <c:v>11.76</c:v>
                </c:pt>
                <c:pt idx="33">
                  <c:v>0</c:v>
                </c:pt>
                <c:pt idx="37">
                  <c:v>0</c:v>
                </c:pt>
                <c:pt idx="38">
                  <c:v>11.858000000000001</c:v>
                </c:pt>
                <c:pt idx="39">
                  <c:v>11.27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718-435A-B44E-EEC65D176A57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0.68400000000000005</c:v>
                </c:pt>
                <c:pt idx="16">
                  <c:v>10.821999999999999</c:v>
                </c:pt>
                <c:pt idx="17">
                  <c:v>13.794</c:v>
                </c:pt>
                <c:pt idx="18">
                  <c:v>13.75</c:v>
                </c:pt>
                <c:pt idx="19">
                  <c:v>13.644</c:v>
                </c:pt>
                <c:pt idx="20">
                  <c:v>12.356</c:v>
                </c:pt>
                <c:pt idx="24">
                  <c:v>12.454000000000001</c:v>
                </c:pt>
                <c:pt idx="25">
                  <c:v>13.557</c:v>
                </c:pt>
                <c:pt idx="26">
                  <c:v>13.548</c:v>
                </c:pt>
                <c:pt idx="27">
                  <c:v>13.253</c:v>
                </c:pt>
                <c:pt idx="31">
                  <c:v>10.728999999999999</c:v>
                </c:pt>
                <c:pt idx="32">
                  <c:v>13.579000000000001</c:v>
                </c:pt>
                <c:pt idx="33">
                  <c:v>12.813000000000001</c:v>
                </c:pt>
                <c:pt idx="37">
                  <c:v>10.685</c:v>
                </c:pt>
                <c:pt idx="38">
                  <c:v>13.561</c:v>
                </c:pt>
                <c:pt idx="39">
                  <c:v>13.590999999999999</c:v>
                </c:pt>
                <c:pt idx="40">
                  <c:v>13.949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718-435A-B44E-EEC65D176A57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24.99</c:v>
                </c:pt>
                <c:pt idx="16">
                  <c:v>20.58</c:v>
                </c:pt>
                <c:pt idx="17">
                  <c:v>15.19</c:v>
                </c:pt>
                <c:pt idx="18">
                  <c:v>15.68</c:v>
                </c:pt>
                <c:pt idx="19">
                  <c:v>15.288</c:v>
                </c:pt>
                <c:pt idx="20">
                  <c:v>21.07</c:v>
                </c:pt>
                <c:pt idx="24">
                  <c:v>19.600000000000001</c:v>
                </c:pt>
                <c:pt idx="25">
                  <c:v>15.778</c:v>
                </c:pt>
                <c:pt idx="26">
                  <c:v>14.896000000000001</c:v>
                </c:pt>
                <c:pt idx="27">
                  <c:v>14.896000000000001</c:v>
                </c:pt>
                <c:pt idx="31">
                  <c:v>21.265999999999998</c:v>
                </c:pt>
                <c:pt idx="32">
                  <c:v>14.994</c:v>
                </c:pt>
                <c:pt idx="33">
                  <c:v>16.170000000000002</c:v>
                </c:pt>
                <c:pt idx="37">
                  <c:v>20.384</c:v>
                </c:pt>
                <c:pt idx="38">
                  <c:v>15.092000000000001</c:v>
                </c:pt>
                <c:pt idx="39">
                  <c:v>15.092000000000001</c:v>
                </c:pt>
                <c:pt idx="40">
                  <c:v>17.346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718-435A-B44E-EEC65D176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5520"/>
        <c:axId val="1117606352"/>
      </c:scatterChart>
      <c:valAx>
        <c:axId val="11176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6352"/>
        <c:crosses val="autoZero"/>
        <c:crossBetween val="midCat"/>
      </c:valAx>
      <c:valAx>
        <c:axId val="1117606352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5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All!$BS$6:$BS$50</c:f>
              <c:numCache>
                <c:formatCode>General</c:formatCode>
                <c:ptCount val="45"/>
                <c:pt idx="0">
                  <c:v>22.8</c:v>
                </c:pt>
                <c:pt idx="1">
                  <c:v>24.1</c:v>
                </c:pt>
                <c:pt idx="2">
                  <c:v>24.8</c:v>
                </c:pt>
                <c:pt idx="3">
                  <c:v>25.1</c:v>
                </c:pt>
                <c:pt idx="4">
                  <c:v>25.1</c:v>
                </c:pt>
                <c:pt idx="8">
                  <c:v>25.1</c:v>
                </c:pt>
                <c:pt idx="9">
                  <c:v>25.1</c:v>
                </c:pt>
                <c:pt idx="10">
                  <c:v>25.3</c:v>
                </c:pt>
                <c:pt idx="11">
                  <c:v>25.5</c:v>
                </c:pt>
                <c:pt idx="12">
                  <c:v>25.4</c:v>
                </c:pt>
                <c:pt idx="16">
                  <c:v>25.3</c:v>
                </c:pt>
                <c:pt idx="17">
                  <c:v>25.4</c:v>
                </c:pt>
                <c:pt idx="18">
                  <c:v>25.2</c:v>
                </c:pt>
                <c:pt idx="19">
                  <c:v>25</c:v>
                </c:pt>
                <c:pt idx="20">
                  <c:v>24.8</c:v>
                </c:pt>
                <c:pt idx="24">
                  <c:v>24.4</c:v>
                </c:pt>
                <c:pt idx="25">
                  <c:v>25.1</c:v>
                </c:pt>
                <c:pt idx="26">
                  <c:v>25.4</c:v>
                </c:pt>
                <c:pt idx="27">
                  <c:v>25.7</c:v>
                </c:pt>
                <c:pt idx="31">
                  <c:v>25.7</c:v>
                </c:pt>
                <c:pt idx="32">
                  <c:v>25.8</c:v>
                </c:pt>
                <c:pt idx="33">
                  <c:v>25.9</c:v>
                </c:pt>
                <c:pt idx="37">
                  <c:v>25.6</c:v>
                </c:pt>
                <c:pt idx="38">
                  <c:v>25.5</c:v>
                </c:pt>
                <c:pt idx="39">
                  <c:v>25.8</c:v>
                </c:pt>
                <c:pt idx="40">
                  <c:v>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8-49E4-BD91-CAB913F88D4C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All!$FB$6:$FB$50</c:f>
              <c:numCache>
                <c:formatCode>General</c:formatCode>
                <c:ptCount val="45"/>
                <c:pt idx="0">
                  <c:v>2.387</c:v>
                </c:pt>
                <c:pt idx="1">
                  <c:v>8.9429999999999996</c:v>
                </c:pt>
                <c:pt idx="2">
                  <c:v>9.0020000000000007</c:v>
                </c:pt>
                <c:pt idx="3">
                  <c:v>9.0129999999999999</c:v>
                </c:pt>
                <c:pt idx="4">
                  <c:v>9.0830000000000002</c:v>
                </c:pt>
                <c:pt idx="8">
                  <c:v>7.82</c:v>
                </c:pt>
                <c:pt idx="9">
                  <c:v>9</c:v>
                </c:pt>
                <c:pt idx="10">
                  <c:v>8.9879999999999995</c:v>
                </c:pt>
                <c:pt idx="11">
                  <c:v>8.9819999999999993</c:v>
                </c:pt>
                <c:pt idx="12">
                  <c:v>9.0470000000000006</c:v>
                </c:pt>
                <c:pt idx="16">
                  <c:v>7.9720000000000004</c:v>
                </c:pt>
                <c:pt idx="17">
                  <c:v>9.1010000000000009</c:v>
                </c:pt>
                <c:pt idx="18">
                  <c:v>9.0980000000000008</c:v>
                </c:pt>
                <c:pt idx="19">
                  <c:v>9.1120000000000001</c:v>
                </c:pt>
                <c:pt idx="20">
                  <c:v>9.2799999999999994</c:v>
                </c:pt>
                <c:pt idx="24">
                  <c:v>8.08</c:v>
                </c:pt>
                <c:pt idx="25">
                  <c:v>8.9469999999999992</c:v>
                </c:pt>
                <c:pt idx="26">
                  <c:v>8.9510000000000005</c:v>
                </c:pt>
                <c:pt idx="27">
                  <c:v>9.0459999999999994</c:v>
                </c:pt>
                <c:pt idx="31">
                  <c:v>8.02</c:v>
                </c:pt>
                <c:pt idx="32">
                  <c:v>8.9960000000000004</c:v>
                </c:pt>
                <c:pt idx="33">
                  <c:v>9.0790000000000006</c:v>
                </c:pt>
                <c:pt idx="37">
                  <c:v>7.8460000000000001</c:v>
                </c:pt>
                <c:pt idx="38">
                  <c:v>8.9949999999999992</c:v>
                </c:pt>
                <c:pt idx="39">
                  <c:v>8.9860000000000007</c:v>
                </c:pt>
                <c:pt idx="40">
                  <c:v>9.3249999999999993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B8-49E4-BD91-CAB913F88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2608"/>
        <c:axId val="1117611760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All!$EJ$6:$EJ$50</c:f>
              <c:numCache>
                <c:formatCode>General</c:formatCode>
                <c:ptCount val="45"/>
                <c:pt idx="0">
                  <c:v>4.6749999999999998</c:v>
                </c:pt>
                <c:pt idx="1">
                  <c:v>5.29</c:v>
                </c:pt>
                <c:pt idx="2">
                  <c:v>5.8940000000000001</c:v>
                </c:pt>
                <c:pt idx="3">
                  <c:v>6.681</c:v>
                </c:pt>
                <c:pt idx="4">
                  <c:v>6.6959999999999997</c:v>
                </c:pt>
                <c:pt idx="8">
                  <c:v>6.5659999999999998</c:v>
                </c:pt>
                <c:pt idx="9">
                  <c:v>6.7839999999999998</c:v>
                </c:pt>
                <c:pt idx="10">
                  <c:v>6.5659999999999998</c:v>
                </c:pt>
                <c:pt idx="11">
                  <c:v>6.734</c:v>
                </c:pt>
                <c:pt idx="12">
                  <c:v>6.8579999999999997</c:v>
                </c:pt>
                <c:pt idx="16">
                  <c:v>6.556</c:v>
                </c:pt>
                <c:pt idx="17">
                  <c:v>7.165</c:v>
                </c:pt>
                <c:pt idx="18">
                  <c:v>7.024</c:v>
                </c:pt>
                <c:pt idx="19">
                  <c:v>6.6779999999999999</c:v>
                </c:pt>
                <c:pt idx="20">
                  <c:v>7.2069999999999999</c:v>
                </c:pt>
                <c:pt idx="24">
                  <c:v>6.0510000000000002</c:v>
                </c:pt>
                <c:pt idx="25">
                  <c:v>6.6420000000000003</c:v>
                </c:pt>
                <c:pt idx="26">
                  <c:v>7.0289999999999999</c:v>
                </c:pt>
                <c:pt idx="27">
                  <c:v>7.1669999999999998</c:v>
                </c:pt>
                <c:pt idx="31">
                  <c:v>7.0149999999999997</c:v>
                </c:pt>
                <c:pt idx="32">
                  <c:v>7.476</c:v>
                </c:pt>
                <c:pt idx="33">
                  <c:v>7.6150000000000002</c:v>
                </c:pt>
                <c:pt idx="37">
                  <c:v>7.202</c:v>
                </c:pt>
                <c:pt idx="38">
                  <c:v>7.1230000000000002</c:v>
                </c:pt>
                <c:pt idx="39">
                  <c:v>7.1379999999999999</c:v>
                </c:pt>
                <c:pt idx="40">
                  <c:v>8.2680000000000007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B8-49E4-BD91-CAB913F88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7600"/>
        <c:axId val="1117590544"/>
      </c:scatterChart>
      <c:valAx>
        <c:axId val="111760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1760"/>
        <c:crosses val="autoZero"/>
        <c:crossBetween val="midCat"/>
      </c:valAx>
      <c:valAx>
        <c:axId val="1117611760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2608"/>
        <c:crosses val="autoZero"/>
        <c:crossBetween val="midCat"/>
      </c:valAx>
      <c:valAx>
        <c:axId val="1117590544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7600"/>
        <c:crosses val="max"/>
        <c:crossBetween val="midCat"/>
      </c:valAx>
      <c:valAx>
        <c:axId val="111760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59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All!$HB$6:$HB$50</c:f>
              <c:numCache>
                <c:formatCode>General</c:formatCode>
                <c:ptCount val="4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9B-435D-BBB8-F651CB8E3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5520"/>
        <c:axId val="1117608016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All!$HC$6:$HC$50</c:f>
              <c:numCache>
                <c:formatCode>General</c:formatCode>
                <c:ptCount val="45"/>
                <c:pt idx="0">
                  <c:v>18.702999999999999</c:v>
                </c:pt>
                <c:pt idx="1">
                  <c:v>35.014000000000003</c:v>
                </c:pt>
                <c:pt idx="2">
                  <c:v>35.799999999999997</c:v>
                </c:pt>
                <c:pt idx="3">
                  <c:v>36.133000000000003</c:v>
                </c:pt>
                <c:pt idx="4">
                  <c:v>34.386000000000003</c:v>
                </c:pt>
                <c:pt idx="8">
                  <c:v>32.238999999999997</c:v>
                </c:pt>
                <c:pt idx="9">
                  <c:v>36.371000000000002</c:v>
                </c:pt>
                <c:pt idx="10">
                  <c:v>36.348999999999997</c:v>
                </c:pt>
                <c:pt idx="11">
                  <c:v>36.390999999999998</c:v>
                </c:pt>
                <c:pt idx="12">
                  <c:v>33.935000000000002</c:v>
                </c:pt>
                <c:pt idx="16">
                  <c:v>33.64</c:v>
                </c:pt>
                <c:pt idx="17">
                  <c:v>36.237000000000002</c:v>
                </c:pt>
                <c:pt idx="18">
                  <c:v>36.314999999999998</c:v>
                </c:pt>
                <c:pt idx="19">
                  <c:v>36.124000000000002</c:v>
                </c:pt>
                <c:pt idx="20">
                  <c:v>33.271999999999998</c:v>
                </c:pt>
                <c:pt idx="24">
                  <c:v>38.941000000000003</c:v>
                </c:pt>
                <c:pt idx="25">
                  <c:v>36.207000000000001</c:v>
                </c:pt>
                <c:pt idx="26">
                  <c:v>36.398000000000003</c:v>
                </c:pt>
                <c:pt idx="27">
                  <c:v>34.704000000000001</c:v>
                </c:pt>
                <c:pt idx="31">
                  <c:v>33.119999999999997</c:v>
                </c:pt>
                <c:pt idx="32">
                  <c:v>36.558</c:v>
                </c:pt>
                <c:pt idx="33">
                  <c:v>34.106999999999999</c:v>
                </c:pt>
                <c:pt idx="37">
                  <c:v>33.783999999999999</c:v>
                </c:pt>
                <c:pt idx="38">
                  <c:v>36.188000000000002</c:v>
                </c:pt>
                <c:pt idx="39">
                  <c:v>36.148000000000003</c:v>
                </c:pt>
                <c:pt idx="40">
                  <c:v>35.215000000000003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9B-435D-BBB8-F651CB8E35FA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All!$HD$6:$HD$50</c:f>
              <c:numCache>
                <c:formatCode>General</c:formatCode>
                <c:ptCount val="45"/>
                <c:pt idx="0">
                  <c:v>74</c:v>
                </c:pt>
                <c:pt idx="1">
                  <c:v>78</c:v>
                </c:pt>
                <c:pt idx="2">
                  <c:v>78</c:v>
                </c:pt>
                <c:pt idx="3">
                  <c:v>82</c:v>
                </c:pt>
                <c:pt idx="4">
                  <c:v>82</c:v>
                </c:pt>
                <c:pt idx="8">
                  <c:v>90</c:v>
                </c:pt>
                <c:pt idx="9">
                  <c:v>82</c:v>
                </c:pt>
                <c:pt idx="10">
                  <c:v>78</c:v>
                </c:pt>
                <c:pt idx="11">
                  <c:v>82</c:v>
                </c:pt>
                <c:pt idx="12">
                  <c:v>86</c:v>
                </c:pt>
                <c:pt idx="16">
                  <c:v>90</c:v>
                </c:pt>
                <c:pt idx="17">
                  <c:v>90</c:v>
                </c:pt>
                <c:pt idx="18">
                  <c:v>86</c:v>
                </c:pt>
                <c:pt idx="19">
                  <c:v>82</c:v>
                </c:pt>
                <c:pt idx="20">
                  <c:v>90</c:v>
                </c:pt>
                <c:pt idx="24">
                  <c:v>86</c:v>
                </c:pt>
                <c:pt idx="25">
                  <c:v>78</c:v>
                </c:pt>
                <c:pt idx="26">
                  <c:v>82</c:v>
                </c:pt>
                <c:pt idx="27">
                  <c:v>86</c:v>
                </c:pt>
                <c:pt idx="31">
                  <c:v>90</c:v>
                </c:pt>
                <c:pt idx="32">
                  <c:v>82</c:v>
                </c:pt>
                <c:pt idx="33">
                  <c:v>82</c:v>
                </c:pt>
                <c:pt idx="37">
                  <c:v>90</c:v>
                </c:pt>
                <c:pt idx="38">
                  <c:v>82</c:v>
                </c:pt>
                <c:pt idx="39">
                  <c:v>82</c:v>
                </c:pt>
                <c:pt idx="40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9B-435D-BBB8-F651CB8E3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8448"/>
        <c:axId val="1117605521"/>
      </c:scatterChart>
      <c:valAx>
        <c:axId val="11176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8016"/>
        <c:crosses val="autoZero"/>
        <c:crossBetween val="midCat"/>
      </c:valAx>
      <c:valAx>
        <c:axId val="1117608016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5520"/>
        <c:crosses val="autoZero"/>
        <c:crossBetween val="midCat"/>
      </c:valAx>
      <c:valAx>
        <c:axId val="1117605521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8448"/>
        <c:crosses val="max"/>
        <c:crossBetween val="midCat"/>
      </c:valAx>
      <c:valAx>
        <c:axId val="11175984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0552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14-4922-A9A3-54F001F7CC66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14-4922-A9A3-54F001F7CC66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14-4922-A9A3-54F001F7CC66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14-4922-A9A3-54F001F7CC66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14-4922-A9A3-54F001F7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4272"/>
        <c:axId val="1117614672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All!$HG$6:$HG$50</c:f>
              <c:numCache>
                <c:formatCode>General</c:formatCode>
                <c:ptCount val="45"/>
                <c:pt idx="0">
                  <c:v>86.46</c:v>
                </c:pt>
                <c:pt idx="1">
                  <c:v>86.91</c:v>
                </c:pt>
                <c:pt idx="2">
                  <c:v>73.75</c:v>
                </c:pt>
                <c:pt idx="3">
                  <c:v>86.73</c:v>
                </c:pt>
                <c:pt idx="4">
                  <c:v>74.930000000000007</c:v>
                </c:pt>
                <c:pt idx="8">
                  <c:v>87.44</c:v>
                </c:pt>
                <c:pt idx="9">
                  <c:v>73.91</c:v>
                </c:pt>
                <c:pt idx="10">
                  <c:v>72.31</c:v>
                </c:pt>
                <c:pt idx="11">
                  <c:v>74.790000000000006</c:v>
                </c:pt>
                <c:pt idx="12">
                  <c:v>73.73</c:v>
                </c:pt>
                <c:pt idx="16">
                  <c:v>78.459999999999994</c:v>
                </c:pt>
                <c:pt idx="17">
                  <c:v>70.53</c:v>
                </c:pt>
                <c:pt idx="18">
                  <c:v>70.41</c:v>
                </c:pt>
                <c:pt idx="19">
                  <c:v>71.73</c:v>
                </c:pt>
                <c:pt idx="20">
                  <c:v>71.62</c:v>
                </c:pt>
                <c:pt idx="24">
                  <c:v>88.04</c:v>
                </c:pt>
                <c:pt idx="25">
                  <c:v>72.260000000000005</c:v>
                </c:pt>
                <c:pt idx="26">
                  <c:v>67.400000000000006</c:v>
                </c:pt>
                <c:pt idx="27">
                  <c:v>66.900000000000006</c:v>
                </c:pt>
                <c:pt idx="31">
                  <c:v>77.78</c:v>
                </c:pt>
                <c:pt idx="32">
                  <c:v>66.8</c:v>
                </c:pt>
                <c:pt idx="33">
                  <c:v>66.91</c:v>
                </c:pt>
                <c:pt idx="37">
                  <c:v>75.680000000000007</c:v>
                </c:pt>
                <c:pt idx="38">
                  <c:v>83.22</c:v>
                </c:pt>
                <c:pt idx="39">
                  <c:v>69.540000000000006</c:v>
                </c:pt>
                <c:pt idx="40">
                  <c:v>69.08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14-4922-A9A3-54F001F7CC66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All!$HH$6:$HH$50</c:f>
              <c:numCache>
                <c:formatCode>General</c:formatCode>
                <c:ptCount val="45"/>
                <c:pt idx="0">
                  <c:v>78.58</c:v>
                </c:pt>
                <c:pt idx="1">
                  <c:v>79.790000000000006</c:v>
                </c:pt>
                <c:pt idx="2">
                  <c:v>79.19</c:v>
                </c:pt>
                <c:pt idx="3">
                  <c:v>79.430000000000007</c:v>
                </c:pt>
                <c:pt idx="4">
                  <c:v>78.510000000000005</c:v>
                </c:pt>
                <c:pt idx="8">
                  <c:v>80.7</c:v>
                </c:pt>
                <c:pt idx="9">
                  <c:v>80.63</c:v>
                </c:pt>
                <c:pt idx="10">
                  <c:v>80.55</c:v>
                </c:pt>
                <c:pt idx="11">
                  <c:v>80.97</c:v>
                </c:pt>
                <c:pt idx="12">
                  <c:v>80.81</c:v>
                </c:pt>
                <c:pt idx="16">
                  <c:v>100</c:v>
                </c:pt>
                <c:pt idx="17">
                  <c:v>80.099999999999994</c:v>
                </c:pt>
                <c:pt idx="18">
                  <c:v>79.760000000000005</c:v>
                </c:pt>
                <c:pt idx="19">
                  <c:v>80.22</c:v>
                </c:pt>
                <c:pt idx="20">
                  <c:v>79.69</c:v>
                </c:pt>
                <c:pt idx="24">
                  <c:v>77.650000000000006</c:v>
                </c:pt>
                <c:pt idx="25">
                  <c:v>77.13</c:v>
                </c:pt>
                <c:pt idx="26">
                  <c:v>76.739999999999995</c:v>
                </c:pt>
                <c:pt idx="27">
                  <c:v>76.47</c:v>
                </c:pt>
                <c:pt idx="31">
                  <c:v>100</c:v>
                </c:pt>
                <c:pt idx="32">
                  <c:v>78.010000000000005</c:v>
                </c:pt>
                <c:pt idx="33">
                  <c:v>78.27</c:v>
                </c:pt>
                <c:pt idx="37">
                  <c:v>77.900000000000006</c:v>
                </c:pt>
                <c:pt idx="38">
                  <c:v>78.95</c:v>
                </c:pt>
                <c:pt idx="39">
                  <c:v>78.28</c:v>
                </c:pt>
                <c:pt idx="40">
                  <c:v>78.37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14-4922-A9A3-54F001F7CC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00528"/>
        <c:axId val="1117608432"/>
      </c:scatterChart>
      <c:valAx>
        <c:axId val="11176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14672"/>
        <c:crosses val="autoZero"/>
        <c:crossBetween val="midCat"/>
      </c:valAx>
      <c:valAx>
        <c:axId val="1117614672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4272"/>
        <c:crosses val="autoZero"/>
        <c:crossBetween val="midCat"/>
      </c:valAx>
      <c:valAx>
        <c:axId val="1117608432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00528"/>
        <c:crosses val="max"/>
        <c:crossBetween val="midCat"/>
      </c:valAx>
      <c:valAx>
        <c:axId val="111760052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08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All!$HL$6:$HL$50</c:f>
              <c:numCache>
                <c:formatCode>General</c:formatCode>
                <c:ptCount val="45"/>
                <c:pt idx="0">
                  <c:v>53</c:v>
                </c:pt>
                <c:pt idx="1">
                  <c:v>51</c:v>
                </c:pt>
                <c:pt idx="2">
                  <c:v>54</c:v>
                </c:pt>
                <c:pt idx="3">
                  <c:v>55</c:v>
                </c:pt>
                <c:pt idx="4">
                  <c:v>56</c:v>
                </c:pt>
                <c:pt idx="8">
                  <c:v>61</c:v>
                </c:pt>
                <c:pt idx="9">
                  <c:v>57</c:v>
                </c:pt>
                <c:pt idx="10">
                  <c:v>57</c:v>
                </c:pt>
                <c:pt idx="11">
                  <c:v>58</c:v>
                </c:pt>
                <c:pt idx="12">
                  <c:v>57</c:v>
                </c:pt>
                <c:pt idx="16">
                  <c:v>63</c:v>
                </c:pt>
                <c:pt idx="17">
                  <c:v>60</c:v>
                </c:pt>
                <c:pt idx="18">
                  <c:v>61</c:v>
                </c:pt>
                <c:pt idx="19">
                  <c:v>59</c:v>
                </c:pt>
                <c:pt idx="20">
                  <c:v>59</c:v>
                </c:pt>
                <c:pt idx="24">
                  <c:v>62</c:v>
                </c:pt>
                <c:pt idx="25">
                  <c:v>55</c:v>
                </c:pt>
                <c:pt idx="26">
                  <c:v>56</c:v>
                </c:pt>
                <c:pt idx="27">
                  <c:v>57</c:v>
                </c:pt>
                <c:pt idx="31">
                  <c:v>61</c:v>
                </c:pt>
                <c:pt idx="32">
                  <c:v>58</c:v>
                </c:pt>
                <c:pt idx="33">
                  <c:v>58</c:v>
                </c:pt>
                <c:pt idx="37">
                  <c:v>62</c:v>
                </c:pt>
                <c:pt idx="38">
                  <c:v>58</c:v>
                </c:pt>
                <c:pt idx="39">
                  <c:v>57</c:v>
                </c:pt>
                <c:pt idx="40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2-4C0E-8E34-10ADA615D253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All!$HM$6:$HM$50</c:f>
              <c:numCache>
                <c:formatCode>General</c:formatCode>
                <c:ptCount val="45"/>
                <c:pt idx="0">
                  <c:v>50</c:v>
                </c:pt>
                <c:pt idx="1">
                  <c:v>49</c:v>
                </c:pt>
                <c:pt idx="2">
                  <c:v>48</c:v>
                </c:pt>
                <c:pt idx="3">
                  <c:v>48</c:v>
                </c:pt>
                <c:pt idx="4">
                  <c:v>49</c:v>
                </c:pt>
                <c:pt idx="8">
                  <c:v>50</c:v>
                </c:pt>
                <c:pt idx="9">
                  <c:v>49</c:v>
                </c:pt>
                <c:pt idx="10">
                  <c:v>49</c:v>
                </c:pt>
                <c:pt idx="11">
                  <c:v>50</c:v>
                </c:pt>
                <c:pt idx="12">
                  <c:v>50</c:v>
                </c:pt>
                <c:pt idx="16">
                  <c:v>51</c:v>
                </c:pt>
                <c:pt idx="17">
                  <c:v>51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4">
                  <c:v>51</c:v>
                </c:pt>
                <c:pt idx="25">
                  <c:v>51</c:v>
                </c:pt>
                <c:pt idx="26">
                  <c:v>50</c:v>
                </c:pt>
                <c:pt idx="27">
                  <c:v>50</c:v>
                </c:pt>
                <c:pt idx="31">
                  <c:v>51</c:v>
                </c:pt>
                <c:pt idx="32">
                  <c:v>51</c:v>
                </c:pt>
                <c:pt idx="33">
                  <c:v>51</c:v>
                </c:pt>
                <c:pt idx="37">
                  <c:v>52</c:v>
                </c:pt>
                <c:pt idx="38">
                  <c:v>51</c:v>
                </c:pt>
                <c:pt idx="39">
                  <c:v>51</c:v>
                </c:pt>
                <c:pt idx="40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C2-4C0E-8E34-10ADA615D253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All!$HN$6:$HN$50</c:f>
              <c:numCache>
                <c:formatCode>General</c:formatCode>
                <c:ptCount val="45"/>
                <c:pt idx="0">
                  <c:v>54</c:v>
                </c:pt>
                <c:pt idx="1">
                  <c:v>56</c:v>
                </c:pt>
                <c:pt idx="2">
                  <c:v>58</c:v>
                </c:pt>
                <c:pt idx="3">
                  <c:v>59</c:v>
                </c:pt>
                <c:pt idx="4">
                  <c:v>61</c:v>
                </c:pt>
                <c:pt idx="8">
                  <c:v>62</c:v>
                </c:pt>
                <c:pt idx="9">
                  <c:v>62</c:v>
                </c:pt>
                <c:pt idx="10">
                  <c:v>63</c:v>
                </c:pt>
                <c:pt idx="11">
                  <c:v>64</c:v>
                </c:pt>
                <c:pt idx="12">
                  <c:v>64</c:v>
                </c:pt>
                <c:pt idx="16">
                  <c:v>64</c:v>
                </c:pt>
                <c:pt idx="17">
                  <c:v>64</c:v>
                </c:pt>
                <c:pt idx="18">
                  <c:v>64</c:v>
                </c:pt>
                <c:pt idx="19">
                  <c:v>64</c:v>
                </c:pt>
                <c:pt idx="20">
                  <c:v>65</c:v>
                </c:pt>
                <c:pt idx="24">
                  <c:v>64</c:v>
                </c:pt>
                <c:pt idx="25">
                  <c:v>64</c:v>
                </c:pt>
                <c:pt idx="26">
                  <c:v>64</c:v>
                </c:pt>
                <c:pt idx="27">
                  <c:v>65</c:v>
                </c:pt>
                <c:pt idx="31">
                  <c:v>65</c:v>
                </c:pt>
                <c:pt idx="32">
                  <c:v>65</c:v>
                </c:pt>
                <c:pt idx="33">
                  <c:v>65</c:v>
                </c:pt>
                <c:pt idx="37">
                  <c:v>65</c:v>
                </c:pt>
                <c:pt idx="38">
                  <c:v>65</c:v>
                </c:pt>
                <c:pt idx="39">
                  <c:v>65</c:v>
                </c:pt>
                <c:pt idx="40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7C2-4C0E-8E34-10ADA615D253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All!$HO$6:$HO$50</c:f>
              <c:numCache>
                <c:formatCode>General</c:formatCode>
                <c:ptCount val="45"/>
                <c:pt idx="0">
                  <c:v>47</c:v>
                </c:pt>
                <c:pt idx="1">
                  <c:v>49</c:v>
                </c:pt>
                <c:pt idx="2">
                  <c:v>51</c:v>
                </c:pt>
                <c:pt idx="3">
                  <c:v>53</c:v>
                </c:pt>
                <c:pt idx="4">
                  <c:v>54</c:v>
                </c:pt>
                <c:pt idx="8">
                  <c:v>55</c:v>
                </c:pt>
                <c:pt idx="9">
                  <c:v>56</c:v>
                </c:pt>
                <c:pt idx="10">
                  <c:v>57</c:v>
                </c:pt>
                <c:pt idx="11">
                  <c:v>57</c:v>
                </c:pt>
                <c:pt idx="12">
                  <c:v>58</c:v>
                </c:pt>
                <c:pt idx="16">
                  <c:v>57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58</c:v>
                </c:pt>
                <c:pt idx="24">
                  <c:v>56</c:v>
                </c:pt>
                <c:pt idx="25">
                  <c:v>57</c:v>
                </c:pt>
                <c:pt idx="26">
                  <c:v>58</c:v>
                </c:pt>
                <c:pt idx="27">
                  <c:v>58</c:v>
                </c:pt>
                <c:pt idx="31">
                  <c:v>58</c:v>
                </c:pt>
                <c:pt idx="32">
                  <c:v>58</c:v>
                </c:pt>
                <c:pt idx="33">
                  <c:v>58</c:v>
                </c:pt>
                <c:pt idx="37">
                  <c:v>58</c:v>
                </c:pt>
                <c:pt idx="38">
                  <c:v>58</c:v>
                </c:pt>
                <c:pt idx="39">
                  <c:v>58</c:v>
                </c:pt>
                <c:pt idx="40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7C2-4C0E-8E34-10ADA615D253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All!$HP$6:$HP$50</c:f>
              <c:numCache>
                <c:formatCode>General</c:formatCode>
                <c:ptCount val="45"/>
                <c:pt idx="0">
                  <c:v>50</c:v>
                </c:pt>
                <c:pt idx="1">
                  <c:v>53</c:v>
                </c:pt>
                <c:pt idx="2">
                  <c:v>55</c:v>
                </c:pt>
                <c:pt idx="3">
                  <c:v>57</c:v>
                </c:pt>
                <c:pt idx="4">
                  <c:v>58</c:v>
                </c:pt>
                <c:pt idx="8">
                  <c:v>58</c:v>
                </c:pt>
                <c:pt idx="9">
                  <c:v>59</c:v>
                </c:pt>
                <c:pt idx="10">
                  <c:v>60</c:v>
                </c:pt>
                <c:pt idx="11">
                  <c:v>61</c:v>
                </c:pt>
                <c:pt idx="12">
                  <c:v>61</c:v>
                </c:pt>
                <c:pt idx="16">
                  <c:v>61</c:v>
                </c:pt>
                <c:pt idx="17">
                  <c:v>62</c:v>
                </c:pt>
                <c:pt idx="18">
                  <c:v>61</c:v>
                </c:pt>
                <c:pt idx="19">
                  <c:v>62</c:v>
                </c:pt>
                <c:pt idx="20">
                  <c:v>62</c:v>
                </c:pt>
                <c:pt idx="24">
                  <c:v>59</c:v>
                </c:pt>
                <c:pt idx="25">
                  <c:v>60</c:v>
                </c:pt>
                <c:pt idx="26">
                  <c:v>61</c:v>
                </c:pt>
                <c:pt idx="27">
                  <c:v>62</c:v>
                </c:pt>
                <c:pt idx="31">
                  <c:v>61</c:v>
                </c:pt>
                <c:pt idx="32">
                  <c:v>62</c:v>
                </c:pt>
                <c:pt idx="33">
                  <c:v>62</c:v>
                </c:pt>
                <c:pt idx="37">
                  <c:v>61</c:v>
                </c:pt>
                <c:pt idx="38">
                  <c:v>62</c:v>
                </c:pt>
                <c:pt idx="39">
                  <c:v>62</c:v>
                </c:pt>
                <c:pt idx="40">
                  <c:v>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7C2-4C0E-8E34-10ADA615D253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All!$HQ$6:$HQ$50</c:f>
              <c:numCache>
                <c:formatCode>General</c:formatCode>
                <c:ptCount val="45"/>
                <c:pt idx="0">
                  <c:v>48</c:v>
                </c:pt>
                <c:pt idx="1">
                  <c:v>51</c:v>
                </c:pt>
                <c:pt idx="2">
                  <c:v>53</c:v>
                </c:pt>
                <c:pt idx="3">
                  <c:v>55</c:v>
                </c:pt>
                <c:pt idx="4">
                  <c:v>56</c:v>
                </c:pt>
                <c:pt idx="8">
                  <c:v>56</c:v>
                </c:pt>
                <c:pt idx="9">
                  <c:v>57</c:v>
                </c:pt>
                <c:pt idx="10">
                  <c:v>58</c:v>
                </c:pt>
                <c:pt idx="11">
                  <c:v>59</c:v>
                </c:pt>
                <c:pt idx="12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  <c:pt idx="24">
                  <c:v>57</c:v>
                </c:pt>
                <c:pt idx="25">
                  <c:v>59</c:v>
                </c:pt>
                <c:pt idx="26">
                  <c:v>59</c:v>
                </c:pt>
                <c:pt idx="27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60</c:v>
                </c:pt>
                <c:pt idx="40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7C2-4C0E-8E34-10ADA615D253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All!$HR$6:$HR$50</c:f>
              <c:numCache>
                <c:formatCode>General</c:formatCode>
                <c:ptCount val="45"/>
                <c:pt idx="0">
                  <c:v>44</c:v>
                </c:pt>
                <c:pt idx="1">
                  <c:v>44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8">
                  <c:v>50</c:v>
                </c:pt>
                <c:pt idx="9">
                  <c:v>50</c:v>
                </c:pt>
                <c:pt idx="10">
                  <c:v>51</c:v>
                </c:pt>
                <c:pt idx="11">
                  <c:v>51</c:v>
                </c:pt>
                <c:pt idx="12">
                  <c:v>52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55</c:v>
                </c:pt>
                <c:pt idx="24">
                  <c:v>55</c:v>
                </c:pt>
                <c:pt idx="25">
                  <c:v>54</c:v>
                </c:pt>
                <c:pt idx="26">
                  <c:v>54</c:v>
                </c:pt>
                <c:pt idx="27">
                  <c:v>54</c:v>
                </c:pt>
                <c:pt idx="31">
                  <c:v>54</c:v>
                </c:pt>
                <c:pt idx="32">
                  <c:v>54</c:v>
                </c:pt>
                <c:pt idx="33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7C2-4C0E-8E34-10ADA615D253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All!$HS$6:$HS$50</c:f>
              <c:numCache>
                <c:formatCode>General</c:formatCode>
                <c:ptCount val="45"/>
                <c:pt idx="0">
                  <c:v>54</c:v>
                </c:pt>
                <c:pt idx="1">
                  <c:v>70</c:v>
                </c:pt>
                <c:pt idx="2">
                  <c:v>62</c:v>
                </c:pt>
                <c:pt idx="3">
                  <c:v>70</c:v>
                </c:pt>
                <c:pt idx="4">
                  <c:v>62</c:v>
                </c:pt>
                <c:pt idx="8">
                  <c:v>62</c:v>
                </c:pt>
                <c:pt idx="9">
                  <c:v>70</c:v>
                </c:pt>
                <c:pt idx="10">
                  <c:v>70</c:v>
                </c:pt>
                <c:pt idx="11">
                  <c:v>82</c:v>
                </c:pt>
                <c:pt idx="12">
                  <c:v>62</c:v>
                </c:pt>
                <c:pt idx="16">
                  <c:v>70</c:v>
                </c:pt>
                <c:pt idx="17">
                  <c:v>70</c:v>
                </c:pt>
                <c:pt idx="18">
                  <c:v>62</c:v>
                </c:pt>
                <c:pt idx="19">
                  <c:v>62</c:v>
                </c:pt>
                <c:pt idx="20">
                  <c:v>60</c:v>
                </c:pt>
                <c:pt idx="24">
                  <c:v>58</c:v>
                </c:pt>
                <c:pt idx="25">
                  <c:v>62</c:v>
                </c:pt>
                <c:pt idx="26">
                  <c:v>62</c:v>
                </c:pt>
                <c:pt idx="27">
                  <c:v>70</c:v>
                </c:pt>
                <c:pt idx="31">
                  <c:v>64</c:v>
                </c:pt>
                <c:pt idx="32">
                  <c:v>62</c:v>
                </c:pt>
                <c:pt idx="33">
                  <c:v>64</c:v>
                </c:pt>
                <c:pt idx="37">
                  <c:v>70</c:v>
                </c:pt>
                <c:pt idx="38">
                  <c:v>62</c:v>
                </c:pt>
                <c:pt idx="39">
                  <c:v>62</c:v>
                </c:pt>
                <c:pt idx="40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7C2-4C0E-8E34-10ADA615D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22576"/>
        <c:axId val="1117623408"/>
      </c:scatterChart>
      <c:valAx>
        <c:axId val="111762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3408"/>
        <c:crosses val="autoZero"/>
        <c:crossBetween val="midCat"/>
      </c:valAx>
      <c:valAx>
        <c:axId val="111762340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2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All!$HT$6:$HT$50</c:f>
              <c:numCache>
                <c:formatCode>General</c:formatCode>
                <c:ptCount val="45"/>
                <c:pt idx="0">
                  <c:v>-1.3380000000000001</c:v>
                </c:pt>
                <c:pt idx="1">
                  <c:v>-1.3720000000000001</c:v>
                </c:pt>
                <c:pt idx="2">
                  <c:v>-1.3779999999999999</c:v>
                </c:pt>
                <c:pt idx="3">
                  <c:v>-1.3859999999999999</c:v>
                </c:pt>
                <c:pt idx="4">
                  <c:v>-1.407</c:v>
                </c:pt>
                <c:pt idx="8">
                  <c:v>-1.421</c:v>
                </c:pt>
                <c:pt idx="9">
                  <c:v>-1.4155</c:v>
                </c:pt>
                <c:pt idx="10">
                  <c:v>-1.4315</c:v>
                </c:pt>
                <c:pt idx="11">
                  <c:v>-1.4035</c:v>
                </c:pt>
                <c:pt idx="12">
                  <c:v>-1.407</c:v>
                </c:pt>
                <c:pt idx="16">
                  <c:v>-1.4139999999999999</c:v>
                </c:pt>
                <c:pt idx="17">
                  <c:v>-1.4515</c:v>
                </c:pt>
                <c:pt idx="18">
                  <c:v>-1.456</c:v>
                </c:pt>
                <c:pt idx="19">
                  <c:v>-1.4575</c:v>
                </c:pt>
                <c:pt idx="20">
                  <c:v>-1.4384999999999999</c:v>
                </c:pt>
                <c:pt idx="24">
                  <c:v>-1.4444999999999999</c:v>
                </c:pt>
                <c:pt idx="25">
                  <c:v>-1.454</c:v>
                </c:pt>
                <c:pt idx="26">
                  <c:v>-1.476</c:v>
                </c:pt>
                <c:pt idx="27">
                  <c:v>-1.4630000000000001</c:v>
                </c:pt>
                <c:pt idx="31">
                  <c:v>-1.4730000000000001</c:v>
                </c:pt>
                <c:pt idx="32">
                  <c:v>-1.5115000000000001</c:v>
                </c:pt>
                <c:pt idx="33">
                  <c:v>-1.5149999999999999</c:v>
                </c:pt>
                <c:pt idx="37">
                  <c:v>-1.4984999999999999</c:v>
                </c:pt>
                <c:pt idx="38">
                  <c:v>-1.4995000000000001</c:v>
                </c:pt>
                <c:pt idx="39">
                  <c:v>-1.518</c:v>
                </c:pt>
                <c:pt idx="40">
                  <c:v>-1.5089999999999999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245-BB6B-E8F920C48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642128"/>
        <c:axId val="1117645456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All!$HU$6:$HU$50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12-4245-BB6B-E8F920C48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7592208"/>
        <c:axId val="1117601360"/>
      </c:scatterChart>
      <c:valAx>
        <c:axId val="111764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5456"/>
        <c:crosses val="autoZero"/>
        <c:crossBetween val="midCat"/>
      </c:valAx>
      <c:valAx>
        <c:axId val="1117645456"/>
        <c:scaling>
          <c:orientation val="minMax"/>
          <c:max val="2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642128"/>
        <c:crosses val="autoZero"/>
        <c:crossBetween val="midCat"/>
      </c:valAx>
      <c:valAx>
        <c:axId val="11176013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17592208"/>
        <c:crosses val="max"/>
        <c:crossBetween val="midCat"/>
      </c:valAx>
      <c:valAx>
        <c:axId val="111759220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601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1'!$B$2:$B$10</c:f>
              <c:numCache>
                <c:formatCode>General</c:formatCode>
                <c:ptCount val="9"/>
                <c:pt idx="0">
                  <c:v>298.74400000000003</c:v>
                </c:pt>
                <c:pt idx="1">
                  <c:v>275.56</c:v>
                </c:pt>
                <c:pt idx="2">
                  <c:v>244.68</c:v>
                </c:pt>
                <c:pt idx="3">
                  <c:v>218.9</c:v>
                </c:pt>
                <c:pt idx="4">
                  <c:v>495.36200000000002</c:v>
                </c:pt>
                <c:pt idx="5">
                  <c:v>287.154</c:v>
                </c:pt>
                <c:pt idx="6">
                  <c:v>211.17</c:v>
                </c:pt>
                <c:pt idx="7">
                  <c:v>252.86600000000001</c:v>
                </c:pt>
              </c:numCache>
            </c:numRef>
          </c:xVal>
          <c:yVal>
            <c:numRef>
              <c:f>'Driver 1'!$C$2:$C$10</c:f>
              <c:numCache>
                <c:formatCode>General</c:formatCode>
                <c:ptCount val="9"/>
                <c:pt idx="0">
                  <c:v>5.76</c:v>
                </c:pt>
                <c:pt idx="1">
                  <c:v>5.59</c:v>
                </c:pt>
                <c:pt idx="2">
                  <c:v>5.74</c:v>
                </c:pt>
                <c:pt idx="3">
                  <c:v>6.04</c:v>
                </c:pt>
                <c:pt idx="4">
                  <c:v>-23.13</c:v>
                </c:pt>
                <c:pt idx="5">
                  <c:v>5.82</c:v>
                </c:pt>
                <c:pt idx="6">
                  <c:v>6.09</c:v>
                </c:pt>
                <c:pt idx="7">
                  <c:v>5.99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D-4708-A36C-B65240EC4ECC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2'!$B$2:$B$11</c:f>
              <c:numCache>
                <c:formatCode>General</c:formatCode>
                <c:ptCount val="10"/>
                <c:pt idx="0">
                  <c:v>305.09100000000001</c:v>
                </c:pt>
                <c:pt idx="1">
                  <c:v>217.67</c:v>
                </c:pt>
                <c:pt idx="2">
                  <c:v>216.86</c:v>
                </c:pt>
                <c:pt idx="3">
                  <c:v>216.5</c:v>
                </c:pt>
                <c:pt idx="4">
                  <c:v>255.928</c:v>
                </c:pt>
                <c:pt idx="5">
                  <c:v>291.16500000000002</c:v>
                </c:pt>
                <c:pt idx="6">
                  <c:v>211.94</c:v>
                </c:pt>
                <c:pt idx="7">
                  <c:v>214.22</c:v>
                </c:pt>
                <c:pt idx="8">
                  <c:v>462.06799999999998</c:v>
                </c:pt>
              </c:numCache>
            </c:numRef>
          </c:xVal>
          <c:yVal>
            <c:numRef>
              <c:f>'Driver 2'!$C$2:$C$11</c:f>
              <c:numCache>
                <c:formatCode>General</c:formatCode>
                <c:ptCount val="10"/>
                <c:pt idx="0">
                  <c:v>5.74</c:v>
                </c:pt>
                <c:pt idx="1">
                  <c:v>5.96</c:v>
                </c:pt>
                <c:pt idx="2">
                  <c:v>5.91</c:v>
                </c:pt>
                <c:pt idx="3">
                  <c:v>5.9</c:v>
                </c:pt>
                <c:pt idx="4">
                  <c:v>-23.51</c:v>
                </c:pt>
                <c:pt idx="5">
                  <c:v>5.84</c:v>
                </c:pt>
                <c:pt idx="6">
                  <c:v>6.02</c:v>
                </c:pt>
                <c:pt idx="7">
                  <c:v>5.93</c:v>
                </c:pt>
                <c:pt idx="8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BD-4708-A36C-B65240EC4ECC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3'!$B$2:$B$11</c:f>
              <c:numCache>
                <c:formatCode>General</c:formatCode>
                <c:ptCount val="10"/>
                <c:pt idx="0">
                  <c:v>887.43799999999999</c:v>
                </c:pt>
                <c:pt idx="1">
                  <c:v>217.86</c:v>
                </c:pt>
                <c:pt idx="2">
                  <c:v>219.18</c:v>
                </c:pt>
                <c:pt idx="3">
                  <c:v>214.27</c:v>
                </c:pt>
                <c:pt idx="4">
                  <c:v>246.261</c:v>
                </c:pt>
                <c:pt idx="5">
                  <c:v>376.96100000000001</c:v>
                </c:pt>
                <c:pt idx="6">
                  <c:v>214.1</c:v>
                </c:pt>
                <c:pt idx="7">
                  <c:v>211.13</c:v>
                </c:pt>
                <c:pt idx="8">
                  <c:v>247.13499999999999</c:v>
                </c:pt>
              </c:numCache>
            </c:numRef>
          </c:xVal>
          <c:yVal>
            <c:numRef>
              <c:f>'Driver 3'!$C$2:$C$11</c:f>
              <c:numCache>
                <c:formatCode>General</c:formatCode>
                <c:ptCount val="10"/>
                <c:pt idx="0">
                  <c:v>5.76</c:v>
                </c:pt>
                <c:pt idx="1">
                  <c:v>5.79</c:v>
                </c:pt>
                <c:pt idx="2">
                  <c:v>5.7</c:v>
                </c:pt>
                <c:pt idx="3">
                  <c:v>5.98</c:v>
                </c:pt>
                <c:pt idx="4">
                  <c:v>-23.23</c:v>
                </c:pt>
                <c:pt idx="5">
                  <c:v>5.73</c:v>
                </c:pt>
                <c:pt idx="6">
                  <c:v>6.03</c:v>
                </c:pt>
                <c:pt idx="7">
                  <c:v>6.04</c:v>
                </c:pt>
                <c:pt idx="8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BD-4708-A36C-B65240EC4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599120"/>
        <c:axId val="1120601616"/>
      </c:scatterChart>
      <c:valAx>
        <c:axId val="1120599120"/>
        <c:scaling>
          <c:orientation val="minMax"/>
          <c:max val="227.99999999999997"/>
          <c:min val="207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01616"/>
        <c:crosses val="autoZero"/>
        <c:crossBetween val="midCat"/>
      </c:valAx>
      <c:valAx>
        <c:axId val="1120601616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599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1'!$B$2:$B$10</c:f>
              <c:numCache>
                <c:formatCode>General</c:formatCode>
                <c:ptCount val="9"/>
                <c:pt idx="0">
                  <c:v>298.74400000000003</c:v>
                </c:pt>
                <c:pt idx="1">
                  <c:v>275.56</c:v>
                </c:pt>
                <c:pt idx="2">
                  <c:v>244.68</c:v>
                </c:pt>
                <c:pt idx="3">
                  <c:v>218.9</c:v>
                </c:pt>
                <c:pt idx="4">
                  <c:v>495.36200000000002</c:v>
                </c:pt>
                <c:pt idx="5">
                  <c:v>287.154</c:v>
                </c:pt>
                <c:pt idx="6">
                  <c:v>211.17</c:v>
                </c:pt>
                <c:pt idx="7">
                  <c:v>252.86600000000001</c:v>
                </c:pt>
              </c:numCache>
            </c:numRef>
          </c:xVal>
          <c:yVal>
            <c:numRef>
              <c:f>'Driver 1'!$D$2:$D$10</c:f>
              <c:numCache>
                <c:formatCode>General</c:formatCode>
                <c:ptCount val="9"/>
                <c:pt idx="0">
                  <c:v>1.0489999999999999</c:v>
                </c:pt>
                <c:pt idx="1">
                  <c:v>1.37</c:v>
                </c:pt>
                <c:pt idx="2">
                  <c:v>1.6619999999999999</c:v>
                </c:pt>
                <c:pt idx="3">
                  <c:v>1.1599999999999999</c:v>
                </c:pt>
                <c:pt idx="5">
                  <c:v>1.355</c:v>
                </c:pt>
                <c:pt idx="6">
                  <c:v>1.73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1-40A7-8775-880C7368171F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2'!$B$2:$B$11</c:f>
              <c:numCache>
                <c:formatCode>General</c:formatCode>
                <c:ptCount val="10"/>
                <c:pt idx="0">
                  <c:v>305.09100000000001</c:v>
                </c:pt>
                <c:pt idx="1">
                  <c:v>217.67</c:v>
                </c:pt>
                <c:pt idx="2">
                  <c:v>216.86</c:v>
                </c:pt>
                <c:pt idx="3">
                  <c:v>216.5</c:v>
                </c:pt>
                <c:pt idx="4">
                  <c:v>255.928</c:v>
                </c:pt>
                <c:pt idx="5">
                  <c:v>291.16500000000002</c:v>
                </c:pt>
                <c:pt idx="6">
                  <c:v>211.94</c:v>
                </c:pt>
                <c:pt idx="7">
                  <c:v>214.22</c:v>
                </c:pt>
                <c:pt idx="8">
                  <c:v>462.06799999999998</c:v>
                </c:pt>
              </c:numCache>
            </c:numRef>
          </c:xVal>
          <c:yVal>
            <c:numRef>
              <c:f>'Driver 2'!$D$2:$D$11</c:f>
              <c:numCache>
                <c:formatCode>General</c:formatCode>
                <c:ptCount val="10"/>
                <c:pt idx="0">
                  <c:v>1.5580000000000001</c:v>
                </c:pt>
                <c:pt idx="1">
                  <c:v>1.548</c:v>
                </c:pt>
                <c:pt idx="2">
                  <c:v>1.611</c:v>
                </c:pt>
                <c:pt idx="3">
                  <c:v>1.603</c:v>
                </c:pt>
                <c:pt idx="5">
                  <c:v>1.4359999999999999</c:v>
                </c:pt>
                <c:pt idx="6">
                  <c:v>1.63</c:v>
                </c:pt>
                <c:pt idx="7">
                  <c:v>1.137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C1-40A7-8775-880C7368171F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3'!$B$2:$B$11</c:f>
              <c:numCache>
                <c:formatCode>General</c:formatCode>
                <c:ptCount val="10"/>
                <c:pt idx="0">
                  <c:v>887.43799999999999</c:v>
                </c:pt>
                <c:pt idx="1">
                  <c:v>217.86</c:v>
                </c:pt>
                <c:pt idx="2">
                  <c:v>219.18</c:v>
                </c:pt>
                <c:pt idx="3">
                  <c:v>214.27</c:v>
                </c:pt>
                <c:pt idx="4">
                  <c:v>246.261</c:v>
                </c:pt>
                <c:pt idx="5">
                  <c:v>376.96100000000001</c:v>
                </c:pt>
                <c:pt idx="6">
                  <c:v>214.1</c:v>
                </c:pt>
                <c:pt idx="7">
                  <c:v>211.13</c:v>
                </c:pt>
                <c:pt idx="8">
                  <c:v>247.13499999999999</c:v>
                </c:pt>
              </c:numCache>
            </c:numRef>
          </c:xVal>
          <c:yVal>
            <c:numRef>
              <c:f>'Driver 3'!$D$2:$D$11</c:f>
              <c:numCache>
                <c:formatCode>General</c:formatCode>
                <c:ptCount val="10"/>
                <c:pt idx="0">
                  <c:v>1.2090000000000001</c:v>
                </c:pt>
                <c:pt idx="1">
                  <c:v>1.5860000000000001</c:v>
                </c:pt>
                <c:pt idx="2">
                  <c:v>1.6779999999999999</c:v>
                </c:pt>
                <c:pt idx="3">
                  <c:v>1.47</c:v>
                </c:pt>
                <c:pt idx="5">
                  <c:v>1.29</c:v>
                </c:pt>
                <c:pt idx="6">
                  <c:v>1.659</c:v>
                </c:pt>
                <c:pt idx="7">
                  <c:v>1.5529999999999999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DC1-40A7-8775-880C73681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617424"/>
        <c:axId val="1120599120"/>
      </c:scatterChart>
      <c:valAx>
        <c:axId val="1120617424"/>
        <c:scaling>
          <c:orientation val="minMax"/>
          <c:max val="227.99999999999997"/>
          <c:min val="207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599120"/>
        <c:crosses val="autoZero"/>
        <c:crossBetween val="midCat"/>
      </c:valAx>
      <c:valAx>
        <c:axId val="112059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17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1'!$B$2:$B$10</c:f>
              <c:numCache>
                <c:formatCode>General</c:formatCode>
                <c:ptCount val="9"/>
                <c:pt idx="0">
                  <c:v>298.74400000000003</c:v>
                </c:pt>
                <c:pt idx="1">
                  <c:v>275.56</c:v>
                </c:pt>
                <c:pt idx="2">
                  <c:v>244.68</c:v>
                </c:pt>
                <c:pt idx="3">
                  <c:v>218.9</c:v>
                </c:pt>
                <c:pt idx="4">
                  <c:v>495.36200000000002</c:v>
                </c:pt>
                <c:pt idx="5">
                  <c:v>287.154</c:v>
                </c:pt>
                <c:pt idx="6">
                  <c:v>211.17</c:v>
                </c:pt>
                <c:pt idx="7">
                  <c:v>252.86600000000001</c:v>
                </c:pt>
              </c:numCache>
            </c:numRef>
          </c:xVal>
          <c:yVal>
            <c:numRef>
              <c:f>'Driver 1'!$E$2:$E$10</c:f>
              <c:numCache>
                <c:formatCode>General</c:formatCode>
                <c:ptCount val="9"/>
                <c:pt idx="0">
                  <c:v>4.8250000000000002</c:v>
                </c:pt>
                <c:pt idx="1">
                  <c:v>4.4850000000000003</c:v>
                </c:pt>
                <c:pt idx="2">
                  <c:v>4.6950000000000003</c:v>
                </c:pt>
                <c:pt idx="3">
                  <c:v>3.3180000000000001</c:v>
                </c:pt>
                <c:pt idx="5">
                  <c:v>5.4059999999999997</c:v>
                </c:pt>
                <c:pt idx="6">
                  <c:v>4.1749999999999998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1C-4C69-B58D-96EEEFB4F9FE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2'!$B$2:$B$11</c:f>
              <c:numCache>
                <c:formatCode>General</c:formatCode>
                <c:ptCount val="10"/>
                <c:pt idx="0">
                  <c:v>305.09100000000001</c:v>
                </c:pt>
                <c:pt idx="1">
                  <c:v>217.67</c:v>
                </c:pt>
                <c:pt idx="2">
                  <c:v>216.86</c:v>
                </c:pt>
                <c:pt idx="3">
                  <c:v>216.5</c:v>
                </c:pt>
                <c:pt idx="4">
                  <c:v>255.928</c:v>
                </c:pt>
                <c:pt idx="5">
                  <c:v>291.16500000000002</c:v>
                </c:pt>
                <c:pt idx="6">
                  <c:v>211.94</c:v>
                </c:pt>
                <c:pt idx="7">
                  <c:v>214.22</c:v>
                </c:pt>
                <c:pt idx="8">
                  <c:v>462.06799999999998</c:v>
                </c:pt>
              </c:numCache>
            </c:numRef>
          </c:xVal>
          <c:yVal>
            <c:numRef>
              <c:f>'Driver 2'!$E$2:$E$11</c:f>
              <c:numCache>
                <c:formatCode>General</c:formatCode>
                <c:ptCount val="10"/>
                <c:pt idx="0">
                  <c:v>4.8680000000000003</c:v>
                </c:pt>
                <c:pt idx="1">
                  <c:v>4.7960000000000003</c:v>
                </c:pt>
                <c:pt idx="2">
                  <c:v>4.7279999999999998</c:v>
                </c:pt>
                <c:pt idx="3">
                  <c:v>4.5720000000000001</c:v>
                </c:pt>
                <c:pt idx="5">
                  <c:v>5.6210000000000004</c:v>
                </c:pt>
                <c:pt idx="6">
                  <c:v>5.6680000000000001</c:v>
                </c:pt>
                <c:pt idx="7">
                  <c:v>4.1589999999999998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1C-4C69-B58D-96EEEFB4F9FE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3'!$B$2:$B$11</c:f>
              <c:numCache>
                <c:formatCode>General</c:formatCode>
                <c:ptCount val="10"/>
                <c:pt idx="0">
                  <c:v>887.43799999999999</c:v>
                </c:pt>
                <c:pt idx="1">
                  <c:v>217.86</c:v>
                </c:pt>
                <c:pt idx="2">
                  <c:v>219.18</c:v>
                </c:pt>
                <c:pt idx="3">
                  <c:v>214.27</c:v>
                </c:pt>
                <c:pt idx="4">
                  <c:v>246.261</c:v>
                </c:pt>
                <c:pt idx="5">
                  <c:v>376.96100000000001</c:v>
                </c:pt>
                <c:pt idx="6">
                  <c:v>214.1</c:v>
                </c:pt>
                <c:pt idx="7">
                  <c:v>211.13</c:v>
                </c:pt>
                <c:pt idx="8">
                  <c:v>247.13499999999999</c:v>
                </c:pt>
              </c:numCache>
            </c:numRef>
          </c:xVal>
          <c:yVal>
            <c:numRef>
              <c:f>'Driver 3'!$E$2:$E$11</c:f>
              <c:numCache>
                <c:formatCode>General</c:formatCode>
                <c:ptCount val="10"/>
                <c:pt idx="0">
                  <c:v>4.5830000000000002</c:v>
                </c:pt>
                <c:pt idx="1">
                  <c:v>5.4950000000000001</c:v>
                </c:pt>
                <c:pt idx="2">
                  <c:v>4.6879999999999997</c:v>
                </c:pt>
                <c:pt idx="3">
                  <c:v>3.944</c:v>
                </c:pt>
                <c:pt idx="5">
                  <c:v>4.7690000000000001</c:v>
                </c:pt>
                <c:pt idx="6">
                  <c:v>4.5410000000000004</c:v>
                </c:pt>
                <c:pt idx="7">
                  <c:v>4.3419999999999996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1C-4C69-B58D-96EEEFB4F9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639888"/>
        <c:axId val="1120639056"/>
      </c:scatterChart>
      <c:valAx>
        <c:axId val="1120639888"/>
        <c:scaling>
          <c:orientation val="minMax"/>
          <c:max val="227.99999999999997"/>
          <c:min val="207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39056"/>
        <c:crosses val="autoZero"/>
        <c:crossBetween val="midCat"/>
      </c:valAx>
      <c:valAx>
        <c:axId val="112063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39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1'!$B$2:$B$10</c:f>
              <c:numCache>
                <c:formatCode>General</c:formatCode>
                <c:ptCount val="9"/>
                <c:pt idx="0">
                  <c:v>298.74400000000003</c:v>
                </c:pt>
                <c:pt idx="1">
                  <c:v>275.56</c:v>
                </c:pt>
                <c:pt idx="2">
                  <c:v>244.68</c:v>
                </c:pt>
                <c:pt idx="3">
                  <c:v>218.9</c:v>
                </c:pt>
                <c:pt idx="4">
                  <c:v>495.36200000000002</c:v>
                </c:pt>
                <c:pt idx="5">
                  <c:v>287.154</c:v>
                </c:pt>
                <c:pt idx="6">
                  <c:v>211.17</c:v>
                </c:pt>
                <c:pt idx="7">
                  <c:v>252.86600000000001</c:v>
                </c:pt>
              </c:numCache>
            </c:numRef>
          </c:xVal>
          <c:yVal>
            <c:numRef>
              <c:f>'Driver 1'!$F$2:$F$10</c:f>
              <c:numCache>
                <c:formatCode>General</c:formatCode>
                <c:ptCount val="9"/>
                <c:pt idx="0">
                  <c:v>4.01</c:v>
                </c:pt>
                <c:pt idx="1">
                  <c:v>3.2109999999999999</c:v>
                </c:pt>
                <c:pt idx="2">
                  <c:v>3.7309999999999999</c:v>
                </c:pt>
                <c:pt idx="3">
                  <c:v>2.8860000000000001</c:v>
                </c:pt>
                <c:pt idx="5">
                  <c:v>3.3319999999999999</c:v>
                </c:pt>
                <c:pt idx="6">
                  <c:v>3.472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2-4EB1-A839-CB4F61AC944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2'!$B$2:$B$11</c:f>
              <c:numCache>
                <c:formatCode>General</c:formatCode>
                <c:ptCount val="10"/>
                <c:pt idx="0">
                  <c:v>305.09100000000001</c:v>
                </c:pt>
                <c:pt idx="1">
                  <c:v>217.67</c:v>
                </c:pt>
                <c:pt idx="2">
                  <c:v>216.86</c:v>
                </c:pt>
                <c:pt idx="3">
                  <c:v>216.5</c:v>
                </c:pt>
                <c:pt idx="4">
                  <c:v>255.928</c:v>
                </c:pt>
                <c:pt idx="5">
                  <c:v>291.16500000000002</c:v>
                </c:pt>
                <c:pt idx="6">
                  <c:v>211.94</c:v>
                </c:pt>
                <c:pt idx="7">
                  <c:v>214.22</c:v>
                </c:pt>
                <c:pt idx="8">
                  <c:v>462.06799999999998</c:v>
                </c:pt>
              </c:numCache>
            </c:numRef>
          </c:xVal>
          <c:yVal>
            <c:numRef>
              <c:f>'Driver 2'!$F$2:$F$11</c:f>
              <c:numCache>
                <c:formatCode>General</c:formatCode>
                <c:ptCount val="10"/>
                <c:pt idx="0">
                  <c:v>3.3090000000000002</c:v>
                </c:pt>
                <c:pt idx="1">
                  <c:v>3.718</c:v>
                </c:pt>
                <c:pt idx="2">
                  <c:v>3.7160000000000002</c:v>
                </c:pt>
                <c:pt idx="3">
                  <c:v>3.5019999999999998</c:v>
                </c:pt>
                <c:pt idx="5">
                  <c:v>3.3879999999999999</c:v>
                </c:pt>
                <c:pt idx="6">
                  <c:v>3.8050000000000002</c:v>
                </c:pt>
                <c:pt idx="7">
                  <c:v>2.8420000000000001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22-4EB1-A839-CB4F61AC944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3'!$B$2:$B$11</c:f>
              <c:numCache>
                <c:formatCode>General</c:formatCode>
                <c:ptCount val="10"/>
                <c:pt idx="0">
                  <c:v>887.43799999999999</c:v>
                </c:pt>
                <c:pt idx="1">
                  <c:v>217.86</c:v>
                </c:pt>
                <c:pt idx="2">
                  <c:v>219.18</c:v>
                </c:pt>
                <c:pt idx="3">
                  <c:v>214.27</c:v>
                </c:pt>
                <c:pt idx="4">
                  <c:v>246.261</c:v>
                </c:pt>
                <c:pt idx="5">
                  <c:v>376.96100000000001</c:v>
                </c:pt>
                <c:pt idx="6">
                  <c:v>214.1</c:v>
                </c:pt>
                <c:pt idx="7">
                  <c:v>211.13</c:v>
                </c:pt>
                <c:pt idx="8">
                  <c:v>247.13499999999999</c:v>
                </c:pt>
              </c:numCache>
            </c:numRef>
          </c:xVal>
          <c:yVal>
            <c:numRef>
              <c:f>'Driver 3'!$F$2:$F$11</c:f>
              <c:numCache>
                <c:formatCode>General</c:formatCode>
                <c:ptCount val="10"/>
                <c:pt idx="0">
                  <c:v>2.5110000000000001</c:v>
                </c:pt>
                <c:pt idx="1">
                  <c:v>3.5779999999999998</c:v>
                </c:pt>
                <c:pt idx="2">
                  <c:v>3.6749999999999998</c:v>
                </c:pt>
                <c:pt idx="3">
                  <c:v>3.4580000000000002</c:v>
                </c:pt>
                <c:pt idx="5">
                  <c:v>3.544</c:v>
                </c:pt>
                <c:pt idx="6">
                  <c:v>3.7280000000000002</c:v>
                </c:pt>
                <c:pt idx="7">
                  <c:v>3.407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22-4EB1-A839-CB4F61AC9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635312"/>
        <c:axId val="1120620336"/>
      </c:scatterChart>
      <c:valAx>
        <c:axId val="1120635312"/>
        <c:scaling>
          <c:orientation val="minMax"/>
          <c:max val="227.99999999999997"/>
          <c:min val="207.999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20336"/>
        <c:crosses val="autoZero"/>
        <c:crossBetween val="midCat"/>
      </c:valAx>
      <c:valAx>
        <c:axId val="1120620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35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1'!$E$2:$E$10</c:f>
              <c:numCache>
                <c:formatCode>General</c:formatCode>
                <c:ptCount val="9"/>
                <c:pt idx="0">
                  <c:v>4.8250000000000002</c:v>
                </c:pt>
                <c:pt idx="1">
                  <c:v>4.4850000000000003</c:v>
                </c:pt>
                <c:pt idx="2">
                  <c:v>4.6950000000000003</c:v>
                </c:pt>
                <c:pt idx="3">
                  <c:v>3.3180000000000001</c:v>
                </c:pt>
                <c:pt idx="5">
                  <c:v>5.4059999999999997</c:v>
                </c:pt>
                <c:pt idx="6">
                  <c:v>4.1749999999999998</c:v>
                </c:pt>
              </c:numCache>
            </c:numRef>
          </c:xVal>
          <c:yVal>
            <c:numRef>
              <c:f>'Driver 1'!$C$2:$C$10</c:f>
              <c:numCache>
                <c:formatCode>General</c:formatCode>
                <c:ptCount val="9"/>
                <c:pt idx="0">
                  <c:v>5.76</c:v>
                </c:pt>
                <c:pt idx="1">
                  <c:v>5.59</c:v>
                </c:pt>
                <c:pt idx="2">
                  <c:v>5.74</c:v>
                </c:pt>
                <c:pt idx="3">
                  <c:v>6.04</c:v>
                </c:pt>
                <c:pt idx="4">
                  <c:v>-23.13</c:v>
                </c:pt>
                <c:pt idx="5">
                  <c:v>5.82</c:v>
                </c:pt>
                <c:pt idx="6">
                  <c:v>6.09</c:v>
                </c:pt>
                <c:pt idx="7">
                  <c:v>5.99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E-4AA7-8AF4-888A43017814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2'!$E$2:$E$11</c:f>
              <c:numCache>
                <c:formatCode>General</c:formatCode>
                <c:ptCount val="10"/>
                <c:pt idx="0">
                  <c:v>4.8680000000000003</c:v>
                </c:pt>
                <c:pt idx="1">
                  <c:v>4.7960000000000003</c:v>
                </c:pt>
                <c:pt idx="2">
                  <c:v>4.7279999999999998</c:v>
                </c:pt>
                <c:pt idx="3">
                  <c:v>4.5720000000000001</c:v>
                </c:pt>
                <c:pt idx="5">
                  <c:v>5.6210000000000004</c:v>
                </c:pt>
                <c:pt idx="6">
                  <c:v>5.6680000000000001</c:v>
                </c:pt>
                <c:pt idx="7">
                  <c:v>4.1589999999999998</c:v>
                </c:pt>
              </c:numCache>
            </c:numRef>
          </c:xVal>
          <c:yVal>
            <c:numRef>
              <c:f>'Driver 2'!$C$2:$C$11</c:f>
              <c:numCache>
                <c:formatCode>General</c:formatCode>
                <c:ptCount val="10"/>
                <c:pt idx="0">
                  <c:v>5.74</c:v>
                </c:pt>
                <c:pt idx="1">
                  <c:v>5.96</c:v>
                </c:pt>
                <c:pt idx="2">
                  <c:v>5.91</c:v>
                </c:pt>
                <c:pt idx="3">
                  <c:v>5.9</c:v>
                </c:pt>
                <c:pt idx="4">
                  <c:v>-23.51</c:v>
                </c:pt>
                <c:pt idx="5">
                  <c:v>5.84</c:v>
                </c:pt>
                <c:pt idx="6">
                  <c:v>6.02</c:v>
                </c:pt>
                <c:pt idx="7">
                  <c:v>5.93</c:v>
                </c:pt>
                <c:pt idx="8">
                  <c:v>3.84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CE-4AA7-8AF4-888A43017814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3'!$E$2:$E$11</c:f>
              <c:numCache>
                <c:formatCode>General</c:formatCode>
                <c:ptCount val="10"/>
                <c:pt idx="0">
                  <c:v>4.5830000000000002</c:v>
                </c:pt>
                <c:pt idx="1">
                  <c:v>5.4950000000000001</c:v>
                </c:pt>
                <c:pt idx="2">
                  <c:v>4.6879999999999997</c:v>
                </c:pt>
                <c:pt idx="3">
                  <c:v>3.944</c:v>
                </c:pt>
                <c:pt idx="5">
                  <c:v>4.7690000000000001</c:v>
                </c:pt>
                <c:pt idx="6">
                  <c:v>4.5410000000000004</c:v>
                </c:pt>
                <c:pt idx="7">
                  <c:v>4.3419999999999996</c:v>
                </c:pt>
              </c:numCache>
            </c:numRef>
          </c:xVal>
          <c:yVal>
            <c:numRef>
              <c:f>'Driver 3'!$C$2:$C$11</c:f>
              <c:numCache>
                <c:formatCode>General</c:formatCode>
                <c:ptCount val="10"/>
                <c:pt idx="0">
                  <c:v>5.76</c:v>
                </c:pt>
                <c:pt idx="1">
                  <c:v>5.79</c:v>
                </c:pt>
                <c:pt idx="2">
                  <c:v>5.7</c:v>
                </c:pt>
                <c:pt idx="3">
                  <c:v>5.98</c:v>
                </c:pt>
                <c:pt idx="4">
                  <c:v>-23.23</c:v>
                </c:pt>
                <c:pt idx="5">
                  <c:v>5.73</c:v>
                </c:pt>
                <c:pt idx="6">
                  <c:v>6.03</c:v>
                </c:pt>
                <c:pt idx="7">
                  <c:v>6.04</c:v>
                </c:pt>
                <c:pt idx="8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CE-4AA7-8AF4-888A43017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651952"/>
        <c:axId val="1120648208"/>
      </c:scatterChart>
      <c:valAx>
        <c:axId val="1120651952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48208"/>
        <c:crosses val="autoZero"/>
        <c:crossBetween val="midCat"/>
      </c:valAx>
      <c:valAx>
        <c:axId val="1120648208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120651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CTRL!$O$50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1'!$E$2:$E$10</c:f>
              <c:numCache>
                <c:formatCode>General</c:formatCode>
                <c:ptCount val="9"/>
                <c:pt idx="0">
                  <c:v>4.8250000000000002</c:v>
                </c:pt>
                <c:pt idx="1">
                  <c:v>4.4850000000000003</c:v>
                </c:pt>
                <c:pt idx="2">
                  <c:v>4.6950000000000003</c:v>
                </c:pt>
                <c:pt idx="3">
                  <c:v>3.3180000000000001</c:v>
                </c:pt>
                <c:pt idx="5">
                  <c:v>5.4059999999999997</c:v>
                </c:pt>
                <c:pt idx="6">
                  <c:v>4.1749999999999998</c:v>
                </c:pt>
              </c:numCache>
            </c:numRef>
          </c:xVal>
          <c:yVal>
            <c:numRef>
              <c:f>'Driver 1'!$G$2:$G$10</c:f>
              <c:numCache>
                <c:formatCode>General</c:formatCode>
                <c:ptCount val="9"/>
                <c:pt idx="0">
                  <c:v>-287.76</c:v>
                </c:pt>
                <c:pt idx="1">
                  <c:v>66.959999999999994</c:v>
                </c:pt>
                <c:pt idx="2">
                  <c:v>69.06</c:v>
                </c:pt>
                <c:pt idx="3">
                  <c:v>74.22</c:v>
                </c:pt>
                <c:pt idx="4">
                  <c:v>39.4</c:v>
                </c:pt>
                <c:pt idx="5">
                  <c:v>-215.48</c:v>
                </c:pt>
                <c:pt idx="6">
                  <c:v>75.239999999999995</c:v>
                </c:pt>
                <c:pt idx="7">
                  <c:v>72.739999999999995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4-4498-BD8F-B76658A9958E}"/>
            </c:ext>
          </c:extLst>
        </c:ser>
        <c:ser>
          <c:idx val="1"/>
          <c:order val="1"/>
          <c:tx>
            <c:strRef>
              <c:f>CTRL!$O$51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2'!$E$2:$E$11</c:f>
              <c:numCache>
                <c:formatCode>General</c:formatCode>
                <c:ptCount val="10"/>
                <c:pt idx="0">
                  <c:v>4.8680000000000003</c:v>
                </c:pt>
                <c:pt idx="1">
                  <c:v>4.7960000000000003</c:v>
                </c:pt>
                <c:pt idx="2">
                  <c:v>4.7279999999999998</c:v>
                </c:pt>
                <c:pt idx="3">
                  <c:v>4.5720000000000001</c:v>
                </c:pt>
                <c:pt idx="5">
                  <c:v>5.6210000000000004</c:v>
                </c:pt>
                <c:pt idx="6">
                  <c:v>5.6680000000000001</c:v>
                </c:pt>
                <c:pt idx="7">
                  <c:v>4.1589999999999998</c:v>
                </c:pt>
              </c:numCache>
            </c:numRef>
          </c:xVal>
          <c:yVal>
            <c:numRef>
              <c:f>'Driver 2'!$G$2:$G$11</c:f>
              <c:numCache>
                <c:formatCode>General</c:formatCode>
                <c:ptCount val="10"/>
                <c:pt idx="0">
                  <c:v>-284.02</c:v>
                </c:pt>
                <c:pt idx="1">
                  <c:v>73.08</c:v>
                </c:pt>
                <c:pt idx="2">
                  <c:v>72.36</c:v>
                </c:pt>
                <c:pt idx="3">
                  <c:v>72.22</c:v>
                </c:pt>
                <c:pt idx="4">
                  <c:v>71.02</c:v>
                </c:pt>
                <c:pt idx="5">
                  <c:v>-148.04</c:v>
                </c:pt>
                <c:pt idx="6">
                  <c:v>73.5</c:v>
                </c:pt>
                <c:pt idx="7">
                  <c:v>72.040000000000006</c:v>
                </c:pt>
                <c:pt idx="8">
                  <c:v>35.840000000000003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14-4498-BD8F-B76658A9958E}"/>
            </c:ext>
          </c:extLst>
        </c:ser>
        <c:ser>
          <c:idx val="2"/>
          <c:order val="2"/>
          <c:tx>
            <c:strRef>
              <c:f>CTRL!$O$52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3'!$E$2:$E$11</c:f>
              <c:numCache>
                <c:formatCode>General</c:formatCode>
                <c:ptCount val="10"/>
                <c:pt idx="0">
                  <c:v>4.5830000000000002</c:v>
                </c:pt>
                <c:pt idx="1">
                  <c:v>5.4950000000000001</c:v>
                </c:pt>
                <c:pt idx="2">
                  <c:v>4.6879999999999997</c:v>
                </c:pt>
                <c:pt idx="3">
                  <c:v>3.944</c:v>
                </c:pt>
                <c:pt idx="5">
                  <c:v>4.7690000000000001</c:v>
                </c:pt>
                <c:pt idx="6">
                  <c:v>4.5410000000000004</c:v>
                </c:pt>
                <c:pt idx="7">
                  <c:v>4.3419999999999996</c:v>
                </c:pt>
              </c:numCache>
            </c:numRef>
          </c:xVal>
          <c:yVal>
            <c:numRef>
              <c:f>'Driver 3'!$G$2:$G$11</c:f>
              <c:numCache>
                <c:formatCode>General</c:formatCode>
                <c:ptCount val="10"/>
                <c:pt idx="0">
                  <c:v>-517.5</c:v>
                </c:pt>
                <c:pt idx="1">
                  <c:v>70.42</c:v>
                </c:pt>
                <c:pt idx="2">
                  <c:v>69.44</c:v>
                </c:pt>
                <c:pt idx="3">
                  <c:v>73.58</c:v>
                </c:pt>
                <c:pt idx="4">
                  <c:v>71.099999999999994</c:v>
                </c:pt>
                <c:pt idx="5">
                  <c:v>-250.82</c:v>
                </c:pt>
                <c:pt idx="6">
                  <c:v>73.66</c:v>
                </c:pt>
                <c:pt idx="7">
                  <c:v>74.28</c:v>
                </c:pt>
                <c:pt idx="8">
                  <c:v>69.28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14-4498-BD8F-B76658A99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8834368"/>
        <c:axId val="1228843104"/>
      </c:scatterChart>
      <c:valAx>
        <c:axId val="1228834368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8843104"/>
        <c:crosses val="autoZero"/>
        <c:crossBetween val="midCat"/>
      </c:valAx>
      <c:valAx>
        <c:axId val="1228843104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8834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All!$BE$6:$BE$186</c:f>
              <c:numCache>
                <c:formatCode>General</c:formatCode>
                <c:ptCount val="181"/>
                <c:pt idx="0">
                  <c:v>14.42</c:v>
                </c:pt>
                <c:pt idx="1">
                  <c:v>14.09</c:v>
                </c:pt>
                <c:pt idx="2">
                  <c:v>14.67</c:v>
                </c:pt>
                <c:pt idx="3">
                  <c:v>14.645</c:v>
                </c:pt>
                <c:pt idx="4">
                  <c:v>15.045</c:v>
                </c:pt>
                <c:pt idx="8">
                  <c:v>15.65</c:v>
                </c:pt>
                <c:pt idx="9">
                  <c:v>17.77</c:v>
                </c:pt>
                <c:pt idx="10">
                  <c:v>17.254999999999999</c:v>
                </c:pt>
                <c:pt idx="11">
                  <c:v>15.93</c:v>
                </c:pt>
                <c:pt idx="12">
                  <c:v>17.57</c:v>
                </c:pt>
                <c:pt idx="16">
                  <c:v>15.565</c:v>
                </c:pt>
                <c:pt idx="17">
                  <c:v>17</c:v>
                </c:pt>
                <c:pt idx="18">
                  <c:v>15.715</c:v>
                </c:pt>
                <c:pt idx="19">
                  <c:v>14.62</c:v>
                </c:pt>
                <c:pt idx="20">
                  <c:v>15.335000000000001</c:v>
                </c:pt>
                <c:pt idx="24">
                  <c:v>15.35</c:v>
                </c:pt>
                <c:pt idx="25">
                  <c:v>16.684999999999999</c:v>
                </c:pt>
                <c:pt idx="26">
                  <c:v>15.41</c:v>
                </c:pt>
                <c:pt idx="27">
                  <c:v>14.78</c:v>
                </c:pt>
                <c:pt idx="31">
                  <c:v>15.36</c:v>
                </c:pt>
                <c:pt idx="32">
                  <c:v>17.329999999999998</c:v>
                </c:pt>
                <c:pt idx="33">
                  <c:v>16.535</c:v>
                </c:pt>
                <c:pt idx="37">
                  <c:v>15.78</c:v>
                </c:pt>
                <c:pt idx="38">
                  <c:v>15.89</c:v>
                </c:pt>
                <c:pt idx="39">
                  <c:v>16.71</c:v>
                </c:pt>
                <c:pt idx="40">
                  <c:v>15.17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All!$BF$6:$BF$186</c:f>
              <c:numCache>
                <c:formatCode>General</c:formatCode>
                <c:ptCount val="181"/>
                <c:pt idx="0">
                  <c:v>12.09</c:v>
                </c:pt>
                <c:pt idx="1">
                  <c:v>12.53</c:v>
                </c:pt>
                <c:pt idx="2">
                  <c:v>13.645</c:v>
                </c:pt>
                <c:pt idx="3">
                  <c:v>13.23</c:v>
                </c:pt>
                <c:pt idx="4">
                  <c:v>13.345000000000001</c:v>
                </c:pt>
                <c:pt idx="8">
                  <c:v>12.87</c:v>
                </c:pt>
                <c:pt idx="9">
                  <c:v>13.445</c:v>
                </c:pt>
                <c:pt idx="10">
                  <c:v>13.395</c:v>
                </c:pt>
                <c:pt idx="11">
                  <c:v>14.9</c:v>
                </c:pt>
                <c:pt idx="12">
                  <c:v>15.065</c:v>
                </c:pt>
                <c:pt idx="16">
                  <c:v>13.205</c:v>
                </c:pt>
                <c:pt idx="17">
                  <c:v>15.654999999999999</c:v>
                </c:pt>
                <c:pt idx="18">
                  <c:v>14.22</c:v>
                </c:pt>
                <c:pt idx="19">
                  <c:v>11.74</c:v>
                </c:pt>
                <c:pt idx="20">
                  <c:v>13.02</c:v>
                </c:pt>
                <c:pt idx="24">
                  <c:v>12.68</c:v>
                </c:pt>
                <c:pt idx="25">
                  <c:v>11.715</c:v>
                </c:pt>
                <c:pt idx="26">
                  <c:v>15.705</c:v>
                </c:pt>
                <c:pt idx="27">
                  <c:v>13.535</c:v>
                </c:pt>
                <c:pt idx="31">
                  <c:v>14.375</c:v>
                </c:pt>
                <c:pt idx="32">
                  <c:v>14.234999999999999</c:v>
                </c:pt>
                <c:pt idx="33">
                  <c:v>14.885</c:v>
                </c:pt>
                <c:pt idx="37">
                  <c:v>14.65</c:v>
                </c:pt>
                <c:pt idx="38">
                  <c:v>14.55</c:v>
                </c:pt>
                <c:pt idx="39">
                  <c:v>14.01</c:v>
                </c:pt>
                <c:pt idx="40">
                  <c:v>11.715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All!$BG$6:$BG$186</c:f>
              <c:numCache>
                <c:formatCode>General</c:formatCode>
                <c:ptCount val="181"/>
                <c:pt idx="0">
                  <c:v>29.07</c:v>
                </c:pt>
                <c:pt idx="1">
                  <c:v>27.91</c:v>
                </c:pt>
                <c:pt idx="2">
                  <c:v>30.05</c:v>
                </c:pt>
                <c:pt idx="3">
                  <c:v>28.82</c:v>
                </c:pt>
                <c:pt idx="4">
                  <c:v>29.18</c:v>
                </c:pt>
                <c:pt idx="8">
                  <c:v>28.95</c:v>
                </c:pt>
                <c:pt idx="9">
                  <c:v>29.62</c:v>
                </c:pt>
                <c:pt idx="10">
                  <c:v>29.48</c:v>
                </c:pt>
                <c:pt idx="11">
                  <c:v>28.46</c:v>
                </c:pt>
                <c:pt idx="12">
                  <c:v>29.29</c:v>
                </c:pt>
                <c:pt idx="16">
                  <c:v>28.31</c:v>
                </c:pt>
                <c:pt idx="17">
                  <c:v>31.25</c:v>
                </c:pt>
                <c:pt idx="18">
                  <c:v>28.9</c:v>
                </c:pt>
                <c:pt idx="19">
                  <c:v>29.75</c:v>
                </c:pt>
                <c:pt idx="20">
                  <c:v>28.29</c:v>
                </c:pt>
                <c:pt idx="24">
                  <c:v>29.01</c:v>
                </c:pt>
                <c:pt idx="25">
                  <c:v>29.09</c:v>
                </c:pt>
                <c:pt idx="26">
                  <c:v>29.33</c:v>
                </c:pt>
                <c:pt idx="27">
                  <c:v>28.14</c:v>
                </c:pt>
                <c:pt idx="31">
                  <c:v>27.5</c:v>
                </c:pt>
                <c:pt idx="32">
                  <c:v>30.2</c:v>
                </c:pt>
                <c:pt idx="33">
                  <c:v>28.56</c:v>
                </c:pt>
                <c:pt idx="37">
                  <c:v>28.16</c:v>
                </c:pt>
                <c:pt idx="38">
                  <c:v>28.65</c:v>
                </c:pt>
                <c:pt idx="39">
                  <c:v>28.35</c:v>
                </c:pt>
                <c:pt idx="40">
                  <c:v>26.48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All!$BH$6:$BH$186</c:f>
              <c:numCache>
                <c:formatCode>General</c:formatCode>
                <c:ptCount val="181"/>
                <c:pt idx="0">
                  <c:v>28.29</c:v>
                </c:pt>
                <c:pt idx="1">
                  <c:v>27.74</c:v>
                </c:pt>
                <c:pt idx="2">
                  <c:v>28.08</c:v>
                </c:pt>
                <c:pt idx="3">
                  <c:v>27.97</c:v>
                </c:pt>
                <c:pt idx="4">
                  <c:v>29.86</c:v>
                </c:pt>
                <c:pt idx="8">
                  <c:v>27.89</c:v>
                </c:pt>
                <c:pt idx="9">
                  <c:v>28.21</c:v>
                </c:pt>
                <c:pt idx="10">
                  <c:v>27.97</c:v>
                </c:pt>
                <c:pt idx="11">
                  <c:v>31.4</c:v>
                </c:pt>
                <c:pt idx="12">
                  <c:v>27.78</c:v>
                </c:pt>
                <c:pt idx="16">
                  <c:v>29.84</c:v>
                </c:pt>
                <c:pt idx="17">
                  <c:v>29.46</c:v>
                </c:pt>
                <c:pt idx="18">
                  <c:v>26.04</c:v>
                </c:pt>
                <c:pt idx="19">
                  <c:v>29.03</c:v>
                </c:pt>
                <c:pt idx="20">
                  <c:v>24.09</c:v>
                </c:pt>
                <c:pt idx="24">
                  <c:v>28.42</c:v>
                </c:pt>
                <c:pt idx="25">
                  <c:v>28.46</c:v>
                </c:pt>
                <c:pt idx="26">
                  <c:v>28.63</c:v>
                </c:pt>
                <c:pt idx="27">
                  <c:v>31.23</c:v>
                </c:pt>
                <c:pt idx="31">
                  <c:v>28.63</c:v>
                </c:pt>
                <c:pt idx="32">
                  <c:v>29.99</c:v>
                </c:pt>
                <c:pt idx="33">
                  <c:v>29.6</c:v>
                </c:pt>
                <c:pt idx="37">
                  <c:v>32.049999999999997</c:v>
                </c:pt>
                <c:pt idx="38">
                  <c:v>31.61</c:v>
                </c:pt>
                <c:pt idx="39">
                  <c:v>31.34</c:v>
                </c:pt>
                <c:pt idx="40">
                  <c:v>23.44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14:47.4</c:v>
                </c:pt>
                <c:pt idx="1">
                  <c:v>03:37.8</c:v>
                </c:pt>
                <c:pt idx="2">
                  <c:v>03:39.1</c:v>
                </c:pt>
                <c:pt idx="3">
                  <c:v>03:34.2</c:v>
                </c:pt>
                <c:pt idx="4">
                  <c:v>04:06.3</c:v>
                </c:pt>
                <c:pt idx="8">
                  <c:v>05:05.1</c:v>
                </c:pt>
                <c:pt idx="9">
                  <c:v>03:37.7</c:v>
                </c:pt>
                <c:pt idx="10">
                  <c:v>03:36.9</c:v>
                </c:pt>
                <c:pt idx="11">
                  <c:v>03:36.5</c:v>
                </c:pt>
                <c:pt idx="12">
                  <c:v>04:15.9</c:v>
                </c:pt>
                <c:pt idx="16">
                  <c:v>04:58.7</c:v>
                </c:pt>
                <c:pt idx="17">
                  <c:v>04:35.5</c:v>
                </c:pt>
                <c:pt idx="18">
                  <c:v>04:04.6</c:v>
                </c:pt>
                <c:pt idx="19">
                  <c:v>03:38.9</c:v>
                </c:pt>
                <c:pt idx="20">
                  <c:v>08:15.4</c:v>
                </c:pt>
                <c:pt idx="24">
                  <c:v>06:17.0</c:v>
                </c:pt>
                <c:pt idx="25">
                  <c:v>03:34.1</c:v>
                </c:pt>
                <c:pt idx="26">
                  <c:v>03:31.1</c:v>
                </c:pt>
                <c:pt idx="27">
                  <c:v>04:07.1</c:v>
                </c:pt>
                <c:pt idx="31">
                  <c:v>04:47.2</c:v>
                </c:pt>
                <c:pt idx="32">
                  <c:v>03:31.2</c:v>
                </c:pt>
                <c:pt idx="33">
                  <c:v>04:12.9</c:v>
                </c:pt>
                <c:pt idx="37">
                  <c:v>04:51.17 &lt;</c:v>
                </c:pt>
                <c:pt idx="38">
                  <c:v>03:31.90 *</c:v>
                </c:pt>
                <c:pt idx="39">
                  <c:v>03:34.2</c:v>
                </c:pt>
                <c:pt idx="40">
                  <c:v>07:42.07 &gt;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10478" name="Chart 10477">
          <a:extLst>
            <a:ext uri="{FF2B5EF4-FFF2-40B4-BE49-F238E27FC236}">
              <a16:creationId xmlns:a16="http://schemas.microsoft.com/office/drawing/2014/main" id="{06A030AA-4D9E-428F-9AC8-D619ACA949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10479" name="Chart 10478">
          <a:extLst>
            <a:ext uri="{FF2B5EF4-FFF2-40B4-BE49-F238E27FC236}">
              <a16:creationId xmlns:a16="http://schemas.microsoft.com/office/drawing/2014/main" id="{E2E9AA2B-1BC7-401D-981D-B9667F562B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10480" name="Chart 10479">
          <a:extLst>
            <a:ext uri="{FF2B5EF4-FFF2-40B4-BE49-F238E27FC236}">
              <a16:creationId xmlns:a16="http://schemas.microsoft.com/office/drawing/2014/main" id="{CA6EBF94-3C28-4907-8773-17B6E40DDE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10481" name="Chart 10480">
          <a:extLst>
            <a:ext uri="{FF2B5EF4-FFF2-40B4-BE49-F238E27FC236}">
              <a16:creationId xmlns:a16="http://schemas.microsoft.com/office/drawing/2014/main" id="{774D6809-1E6E-4980-A4EC-A7DECC50C0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10482" name="Chart 10481">
          <a:extLst>
            <a:ext uri="{FF2B5EF4-FFF2-40B4-BE49-F238E27FC236}">
              <a16:creationId xmlns:a16="http://schemas.microsoft.com/office/drawing/2014/main" id="{A0AC4AC7-1AA9-4F45-B17A-24086CD3E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10483" name="Chart 10482">
          <a:extLst>
            <a:ext uri="{FF2B5EF4-FFF2-40B4-BE49-F238E27FC236}">
              <a16:creationId xmlns:a16="http://schemas.microsoft.com/office/drawing/2014/main" id="{1DD9852A-C33C-4579-BA64-7DC58264F7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10484" name="Chart 10483">
          <a:extLst>
            <a:ext uri="{FF2B5EF4-FFF2-40B4-BE49-F238E27FC236}">
              <a16:creationId xmlns:a16="http://schemas.microsoft.com/office/drawing/2014/main" id="{169E13BA-94A1-4409-8A2D-E08AD46231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10485" name="Chart 10484">
          <a:extLst>
            <a:ext uri="{FF2B5EF4-FFF2-40B4-BE49-F238E27FC236}">
              <a16:creationId xmlns:a16="http://schemas.microsoft.com/office/drawing/2014/main" id="{F0630F41-8F1B-4CC6-9D22-F70F70135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10486" name="Chart 10485">
          <a:extLst>
            <a:ext uri="{FF2B5EF4-FFF2-40B4-BE49-F238E27FC236}">
              <a16:creationId xmlns:a16="http://schemas.microsoft.com/office/drawing/2014/main" id="{1EF8D812-40A5-4C19-B5D9-B55D46E777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10487" name="Chart 10486">
          <a:extLst>
            <a:ext uri="{FF2B5EF4-FFF2-40B4-BE49-F238E27FC236}">
              <a16:creationId xmlns:a16="http://schemas.microsoft.com/office/drawing/2014/main" id="{9F917D52-DED1-4BEC-8B51-9FEF52227B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10488" name="Chart 10487">
          <a:extLst>
            <a:ext uri="{FF2B5EF4-FFF2-40B4-BE49-F238E27FC236}">
              <a16:creationId xmlns:a16="http://schemas.microsoft.com/office/drawing/2014/main" id="{A6605987-7BF4-478B-88A8-2FCB0D9FD1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10489" name="Chart 10488">
          <a:extLst>
            <a:ext uri="{FF2B5EF4-FFF2-40B4-BE49-F238E27FC236}">
              <a16:creationId xmlns:a16="http://schemas.microsoft.com/office/drawing/2014/main" id="{4C0E85C0-A72D-4106-A995-516EAF870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10490" name="Chart 10489">
          <a:extLst>
            <a:ext uri="{FF2B5EF4-FFF2-40B4-BE49-F238E27FC236}">
              <a16:creationId xmlns:a16="http://schemas.microsoft.com/office/drawing/2014/main" id="{F029B583-2BEB-498B-82CE-ADB190F5E0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10491" name="Chart 10490">
          <a:extLst>
            <a:ext uri="{FF2B5EF4-FFF2-40B4-BE49-F238E27FC236}">
              <a16:creationId xmlns:a16="http://schemas.microsoft.com/office/drawing/2014/main" id="{B76CC752-FD25-4A76-9D5F-45C1EDA2D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10492" name="Chart 10491">
          <a:extLst>
            <a:ext uri="{FF2B5EF4-FFF2-40B4-BE49-F238E27FC236}">
              <a16:creationId xmlns:a16="http://schemas.microsoft.com/office/drawing/2014/main" id="{197F8EA0-8A45-4B5F-AC53-4CF9A0516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10493" name="Chart 10492">
          <a:extLst>
            <a:ext uri="{FF2B5EF4-FFF2-40B4-BE49-F238E27FC236}">
              <a16:creationId xmlns:a16="http://schemas.microsoft.com/office/drawing/2014/main" id="{CA31781B-BE0D-4338-9832-52D3B3493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10494" name="Chart 10493">
          <a:extLst>
            <a:ext uri="{FF2B5EF4-FFF2-40B4-BE49-F238E27FC236}">
              <a16:creationId xmlns:a16="http://schemas.microsoft.com/office/drawing/2014/main" id="{EE6572D1-E387-4526-837F-AE5FECAF3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10495" name="Chart 10494">
          <a:extLst>
            <a:ext uri="{FF2B5EF4-FFF2-40B4-BE49-F238E27FC236}">
              <a16:creationId xmlns:a16="http://schemas.microsoft.com/office/drawing/2014/main" id="{1A47F7BF-4FBA-435B-AD20-3056C1BD9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10496" name="Chart 10495">
          <a:extLst>
            <a:ext uri="{FF2B5EF4-FFF2-40B4-BE49-F238E27FC236}">
              <a16:creationId xmlns:a16="http://schemas.microsoft.com/office/drawing/2014/main" id="{A6045210-5282-49F1-9691-6587B98663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10497" name="Chart 10496">
          <a:extLst>
            <a:ext uri="{FF2B5EF4-FFF2-40B4-BE49-F238E27FC236}">
              <a16:creationId xmlns:a16="http://schemas.microsoft.com/office/drawing/2014/main" id="{A48DED64-1530-45B2-9591-E37774B224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10498" name="Chart 10497">
          <a:extLst>
            <a:ext uri="{FF2B5EF4-FFF2-40B4-BE49-F238E27FC236}">
              <a16:creationId xmlns:a16="http://schemas.microsoft.com/office/drawing/2014/main" id="{DCD4A4C2-BCB9-4AB1-848E-714B85DFB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10499" name="Chart 10498">
          <a:extLst>
            <a:ext uri="{FF2B5EF4-FFF2-40B4-BE49-F238E27FC236}">
              <a16:creationId xmlns:a16="http://schemas.microsoft.com/office/drawing/2014/main" id="{31549CD3-26C4-42AE-B681-F8AC15818B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10500" name="Chart 10499">
          <a:extLst>
            <a:ext uri="{FF2B5EF4-FFF2-40B4-BE49-F238E27FC236}">
              <a16:creationId xmlns:a16="http://schemas.microsoft.com/office/drawing/2014/main" id="{00E987A4-BC6A-4585-A948-5CB332223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10501" name="Chart 10500">
          <a:extLst>
            <a:ext uri="{FF2B5EF4-FFF2-40B4-BE49-F238E27FC236}">
              <a16:creationId xmlns:a16="http://schemas.microsoft.com/office/drawing/2014/main" id="{8BFD9565-C092-4651-A56A-7F2623A45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10502" name="Chart 10501">
          <a:extLst>
            <a:ext uri="{FF2B5EF4-FFF2-40B4-BE49-F238E27FC236}">
              <a16:creationId xmlns:a16="http://schemas.microsoft.com/office/drawing/2014/main" id="{4FB63D78-7C25-42A7-9B31-AF79935CC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10503" name="Chart 10502">
          <a:extLst>
            <a:ext uri="{FF2B5EF4-FFF2-40B4-BE49-F238E27FC236}">
              <a16:creationId xmlns:a16="http://schemas.microsoft.com/office/drawing/2014/main" id="{E80824A8-0141-4AF2-B411-BE632101D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10504" name="Chart 10503">
          <a:extLst>
            <a:ext uri="{FF2B5EF4-FFF2-40B4-BE49-F238E27FC236}">
              <a16:creationId xmlns:a16="http://schemas.microsoft.com/office/drawing/2014/main" id="{9AE5E8C1-57AF-49B4-9DB1-EFE3CF5B1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10505" name="Chart 10504">
          <a:extLst>
            <a:ext uri="{FF2B5EF4-FFF2-40B4-BE49-F238E27FC236}">
              <a16:creationId xmlns:a16="http://schemas.microsoft.com/office/drawing/2014/main" id="{C0D5E42A-4F74-4A7A-81B7-07E94346CE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10506" name="Chart 10505">
          <a:extLst>
            <a:ext uri="{FF2B5EF4-FFF2-40B4-BE49-F238E27FC236}">
              <a16:creationId xmlns:a16="http://schemas.microsoft.com/office/drawing/2014/main" id="{6E0FF6A2-372C-4710-9479-90942577F0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10507" name="Chart 10506">
          <a:extLst>
            <a:ext uri="{FF2B5EF4-FFF2-40B4-BE49-F238E27FC236}">
              <a16:creationId xmlns:a16="http://schemas.microsoft.com/office/drawing/2014/main" id="{456F8300-C141-4C1C-B0F5-83A01983A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10508" name="Chart 10507">
          <a:extLst>
            <a:ext uri="{FF2B5EF4-FFF2-40B4-BE49-F238E27FC236}">
              <a16:creationId xmlns:a16="http://schemas.microsoft.com/office/drawing/2014/main" id="{30EB321E-F08D-44C1-A451-1C4A1D1FE2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10509" name="Chart 10508">
          <a:extLst>
            <a:ext uri="{FF2B5EF4-FFF2-40B4-BE49-F238E27FC236}">
              <a16:creationId xmlns:a16="http://schemas.microsoft.com/office/drawing/2014/main" id="{B934C299-C64F-4827-9AC8-2C60564E5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10510" name="Chart 10509">
          <a:extLst>
            <a:ext uri="{FF2B5EF4-FFF2-40B4-BE49-F238E27FC236}">
              <a16:creationId xmlns:a16="http://schemas.microsoft.com/office/drawing/2014/main" id="{E2978FF8-D587-4040-8FA6-154FAD880A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10511" name="Chart 10510">
          <a:extLst>
            <a:ext uri="{FF2B5EF4-FFF2-40B4-BE49-F238E27FC236}">
              <a16:creationId xmlns:a16="http://schemas.microsoft.com/office/drawing/2014/main" id="{DAAD7BFA-AE28-408E-9BE7-D61B0ED9F1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10512" name="Chart 10511">
          <a:extLst>
            <a:ext uri="{FF2B5EF4-FFF2-40B4-BE49-F238E27FC236}">
              <a16:creationId xmlns:a16="http://schemas.microsoft.com/office/drawing/2014/main" id="{FD5E282A-4262-4FDC-AA3D-DAE8A46407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10513" name="Chart 10512">
          <a:extLst>
            <a:ext uri="{FF2B5EF4-FFF2-40B4-BE49-F238E27FC236}">
              <a16:creationId xmlns:a16="http://schemas.microsoft.com/office/drawing/2014/main" id="{D03F06D8-9517-4BF0-B4BD-A2B4C0B6AB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10514" name="Chart 10513">
          <a:extLst>
            <a:ext uri="{FF2B5EF4-FFF2-40B4-BE49-F238E27FC236}">
              <a16:creationId xmlns:a16="http://schemas.microsoft.com/office/drawing/2014/main" id="{15028CBC-72E9-4E4A-B933-8024150EC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10515" name="Chart 10514">
          <a:extLst>
            <a:ext uri="{FF2B5EF4-FFF2-40B4-BE49-F238E27FC236}">
              <a16:creationId xmlns:a16="http://schemas.microsoft.com/office/drawing/2014/main" id="{C16335C6-B5E1-4CA4-9AEA-6C34F45F0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10516" name="Chart 10515">
          <a:extLst>
            <a:ext uri="{FF2B5EF4-FFF2-40B4-BE49-F238E27FC236}">
              <a16:creationId xmlns:a16="http://schemas.microsoft.com/office/drawing/2014/main" id="{3716BEE3-6F3E-4DC8-BC16-9CB34B95F2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10517" name="Chart 10516">
          <a:extLst>
            <a:ext uri="{FF2B5EF4-FFF2-40B4-BE49-F238E27FC236}">
              <a16:creationId xmlns:a16="http://schemas.microsoft.com/office/drawing/2014/main" id="{80D34D6E-42D1-414E-AD64-D530F1F34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10518" name="Chart 10517">
          <a:extLst>
            <a:ext uri="{FF2B5EF4-FFF2-40B4-BE49-F238E27FC236}">
              <a16:creationId xmlns:a16="http://schemas.microsoft.com/office/drawing/2014/main" id="{2DC595DE-CBF2-469C-A64B-8EF06D399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10519" name="Chart 10518">
          <a:extLst>
            <a:ext uri="{FF2B5EF4-FFF2-40B4-BE49-F238E27FC236}">
              <a16:creationId xmlns:a16="http://schemas.microsoft.com/office/drawing/2014/main" id="{29AAE809-FEC8-48F5-AD52-F58D0B4074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10520" name="Chart 10519">
          <a:extLst>
            <a:ext uri="{FF2B5EF4-FFF2-40B4-BE49-F238E27FC236}">
              <a16:creationId xmlns:a16="http://schemas.microsoft.com/office/drawing/2014/main" id="{1372B83E-A636-4D0D-80C1-BC385F5FC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10521" name="Chart 10520">
          <a:extLst>
            <a:ext uri="{FF2B5EF4-FFF2-40B4-BE49-F238E27FC236}">
              <a16:creationId xmlns:a16="http://schemas.microsoft.com/office/drawing/2014/main" id="{986B0493-9C38-425B-9AB5-DF7002A7C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10522" name="Chart 10521">
          <a:extLst>
            <a:ext uri="{FF2B5EF4-FFF2-40B4-BE49-F238E27FC236}">
              <a16:creationId xmlns:a16="http://schemas.microsoft.com/office/drawing/2014/main" id="{3509DB83-EE01-431D-B440-C13D8E4021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10523" name="Chart 10522">
          <a:extLst>
            <a:ext uri="{FF2B5EF4-FFF2-40B4-BE49-F238E27FC236}">
              <a16:creationId xmlns:a16="http://schemas.microsoft.com/office/drawing/2014/main" id="{EE23D8C4-8BD8-4D48-BBBB-96FACD884B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10524" name="Chart 10523">
          <a:extLst>
            <a:ext uri="{FF2B5EF4-FFF2-40B4-BE49-F238E27FC236}">
              <a16:creationId xmlns:a16="http://schemas.microsoft.com/office/drawing/2014/main" id="{3517580D-4A25-4E34-BDFC-ABBFAE9632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10525" name="Chart 10524">
          <a:extLst>
            <a:ext uri="{FF2B5EF4-FFF2-40B4-BE49-F238E27FC236}">
              <a16:creationId xmlns:a16="http://schemas.microsoft.com/office/drawing/2014/main" id="{C6317263-E8EA-4ED4-B236-D8CA91EE47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25</xdr:row>
      <xdr:rowOff>63500</xdr:rowOff>
    </xdr:from>
    <xdr:to>
      <xdr:col>143</xdr:col>
      <xdr:colOff>628650</xdr:colOff>
      <xdr:row>37</xdr:row>
      <xdr:rowOff>0</xdr:rowOff>
    </xdr:to>
    <xdr:graphicFrame macro="">
      <xdr:nvGraphicFramePr>
        <xdr:cNvPr id="10526" name="Chart 10525">
          <a:extLst>
            <a:ext uri="{FF2B5EF4-FFF2-40B4-BE49-F238E27FC236}">
              <a16:creationId xmlns:a16="http://schemas.microsoft.com/office/drawing/2014/main" id="{435CDAF6-D91C-4059-BB26-5F1F7837A1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37</xdr:row>
      <xdr:rowOff>63500</xdr:rowOff>
    </xdr:from>
    <xdr:to>
      <xdr:col>143</xdr:col>
      <xdr:colOff>628650</xdr:colOff>
      <xdr:row>49</xdr:row>
      <xdr:rowOff>0</xdr:rowOff>
    </xdr:to>
    <xdr:graphicFrame macro="">
      <xdr:nvGraphicFramePr>
        <xdr:cNvPr id="10527" name="Chart 10526">
          <a:extLst>
            <a:ext uri="{FF2B5EF4-FFF2-40B4-BE49-F238E27FC236}">
              <a16:creationId xmlns:a16="http://schemas.microsoft.com/office/drawing/2014/main" id="{2BD80FD6-F1AC-412E-8DBA-BF34AF238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10528" name="Chart 10527">
          <a:extLst>
            <a:ext uri="{FF2B5EF4-FFF2-40B4-BE49-F238E27FC236}">
              <a16:creationId xmlns:a16="http://schemas.microsoft.com/office/drawing/2014/main" id="{A8DAB2F2-E57E-4211-86B9-183AF1045E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10529" name="Chart 10528">
          <a:extLst>
            <a:ext uri="{FF2B5EF4-FFF2-40B4-BE49-F238E27FC236}">
              <a16:creationId xmlns:a16="http://schemas.microsoft.com/office/drawing/2014/main" id="{3E42E722-0B59-47C4-9890-6661D55DD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10530" name="Chart 10529">
          <a:extLst>
            <a:ext uri="{FF2B5EF4-FFF2-40B4-BE49-F238E27FC236}">
              <a16:creationId xmlns:a16="http://schemas.microsoft.com/office/drawing/2014/main" id="{50C13B2B-7D32-4068-B51A-A582F9C387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10531" name="Chart 10530">
          <a:extLst>
            <a:ext uri="{FF2B5EF4-FFF2-40B4-BE49-F238E27FC236}">
              <a16:creationId xmlns:a16="http://schemas.microsoft.com/office/drawing/2014/main" id="{1C79E18B-F5FB-4CD1-AF6B-6B6B09BBC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10532" name="Chart 10531">
          <a:extLst>
            <a:ext uri="{FF2B5EF4-FFF2-40B4-BE49-F238E27FC236}">
              <a16:creationId xmlns:a16="http://schemas.microsoft.com/office/drawing/2014/main" id="{40BA9ADA-5F40-4DC4-89F7-6A859B1BE8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10533" name="Chart 10532">
          <a:extLst>
            <a:ext uri="{FF2B5EF4-FFF2-40B4-BE49-F238E27FC236}">
              <a16:creationId xmlns:a16="http://schemas.microsoft.com/office/drawing/2014/main" id="{80B60C62-B214-416E-96CA-D974B2610F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10534" name="Chart 10533">
          <a:extLst>
            <a:ext uri="{FF2B5EF4-FFF2-40B4-BE49-F238E27FC236}">
              <a16:creationId xmlns:a16="http://schemas.microsoft.com/office/drawing/2014/main" id="{E286B346-E5FC-443E-AD64-AAFB3E8299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10535" name="Chart 10534">
          <a:extLst>
            <a:ext uri="{FF2B5EF4-FFF2-40B4-BE49-F238E27FC236}">
              <a16:creationId xmlns:a16="http://schemas.microsoft.com/office/drawing/2014/main" id="{2AB1067B-FB8D-4E0C-91DB-C123ADAE21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10536" name="Chart 10535">
          <a:extLst>
            <a:ext uri="{FF2B5EF4-FFF2-40B4-BE49-F238E27FC236}">
              <a16:creationId xmlns:a16="http://schemas.microsoft.com/office/drawing/2014/main" id="{EB2EDC76-9BE5-4434-88F3-CD381333A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10537" name="Chart 10536">
          <a:extLst>
            <a:ext uri="{FF2B5EF4-FFF2-40B4-BE49-F238E27FC236}">
              <a16:creationId xmlns:a16="http://schemas.microsoft.com/office/drawing/2014/main" id="{6D0BBA8E-68DC-40D6-A73C-1DF5FC583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10538" name="Chart 10537">
          <a:extLst>
            <a:ext uri="{FF2B5EF4-FFF2-40B4-BE49-F238E27FC236}">
              <a16:creationId xmlns:a16="http://schemas.microsoft.com/office/drawing/2014/main" id="{34B1FA0A-8C30-45AF-B5CC-ED0E3A5F0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10539" name="Chart 10538">
          <a:extLst>
            <a:ext uri="{FF2B5EF4-FFF2-40B4-BE49-F238E27FC236}">
              <a16:creationId xmlns:a16="http://schemas.microsoft.com/office/drawing/2014/main" id="{216D6D0B-B516-4D21-B760-849CE06C0B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13</xdr:row>
      <xdr:rowOff>63500</xdr:rowOff>
    </xdr:from>
    <xdr:to>
      <xdr:col>179</xdr:col>
      <xdr:colOff>628650</xdr:colOff>
      <xdr:row>25</xdr:row>
      <xdr:rowOff>0</xdr:rowOff>
    </xdr:to>
    <xdr:graphicFrame macro="">
      <xdr:nvGraphicFramePr>
        <xdr:cNvPr id="10540" name="Chart 10539">
          <a:extLst>
            <a:ext uri="{FF2B5EF4-FFF2-40B4-BE49-F238E27FC236}">
              <a16:creationId xmlns:a16="http://schemas.microsoft.com/office/drawing/2014/main" id="{A6899DB1-0851-4E3B-BDD0-6B99F8EC11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171</xdr:col>
      <xdr:colOff>12700</xdr:colOff>
      <xdr:row>25</xdr:row>
      <xdr:rowOff>63500</xdr:rowOff>
    </xdr:from>
    <xdr:to>
      <xdr:col>179</xdr:col>
      <xdr:colOff>628650</xdr:colOff>
      <xdr:row>37</xdr:row>
      <xdr:rowOff>0</xdr:rowOff>
    </xdr:to>
    <xdr:graphicFrame macro="">
      <xdr:nvGraphicFramePr>
        <xdr:cNvPr id="10541" name="Chart 10540">
          <a:extLst>
            <a:ext uri="{FF2B5EF4-FFF2-40B4-BE49-F238E27FC236}">
              <a16:creationId xmlns:a16="http://schemas.microsoft.com/office/drawing/2014/main" id="{FDF1ED1F-FD8E-4FCB-8519-3F988FACC2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171</xdr:col>
      <xdr:colOff>12700</xdr:colOff>
      <xdr:row>37</xdr:row>
      <xdr:rowOff>63500</xdr:rowOff>
    </xdr:from>
    <xdr:to>
      <xdr:col>179</xdr:col>
      <xdr:colOff>628650</xdr:colOff>
      <xdr:row>49</xdr:row>
      <xdr:rowOff>0</xdr:rowOff>
    </xdr:to>
    <xdr:graphicFrame macro="">
      <xdr:nvGraphicFramePr>
        <xdr:cNvPr id="10542" name="Chart 10541">
          <a:extLst>
            <a:ext uri="{FF2B5EF4-FFF2-40B4-BE49-F238E27FC236}">
              <a16:creationId xmlns:a16="http://schemas.microsoft.com/office/drawing/2014/main" id="{8DBA9583-F835-47A3-A3CF-EE9026C79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180</xdr:col>
      <xdr:colOff>12700</xdr:colOff>
      <xdr:row>1</xdr:row>
      <xdr:rowOff>63500</xdr:rowOff>
    </xdr:from>
    <xdr:to>
      <xdr:col>188</xdr:col>
      <xdr:colOff>628650</xdr:colOff>
      <xdr:row>13</xdr:row>
      <xdr:rowOff>0</xdr:rowOff>
    </xdr:to>
    <xdr:graphicFrame macro="">
      <xdr:nvGraphicFramePr>
        <xdr:cNvPr id="10543" name="Chart 10542">
          <a:extLst>
            <a:ext uri="{FF2B5EF4-FFF2-40B4-BE49-F238E27FC236}">
              <a16:creationId xmlns:a16="http://schemas.microsoft.com/office/drawing/2014/main" id="{7744DCB5-83B6-4634-BA86-C259AEC23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10544" name="Rectangle 10543">
          <a:extLst>
            <a:ext uri="{FF2B5EF4-FFF2-40B4-BE49-F238E27FC236}">
              <a16:creationId xmlns:a16="http://schemas.microsoft.com/office/drawing/2014/main" id="{85486152-F0DB-4C07-A13A-514C1D0A7C26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10545" name="Rectangle 10544">
          <a:extLst>
            <a:ext uri="{FF2B5EF4-FFF2-40B4-BE49-F238E27FC236}">
              <a16:creationId xmlns:a16="http://schemas.microsoft.com/office/drawing/2014/main" id="{D572D1AF-59F5-44E3-8FCC-978368BA93C8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10546" name="Rectangle 10545">
          <a:extLst>
            <a:ext uri="{FF2B5EF4-FFF2-40B4-BE49-F238E27FC236}">
              <a16:creationId xmlns:a16="http://schemas.microsoft.com/office/drawing/2014/main" id="{B4549202-102F-47EF-94EC-E43CA13135DD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10547" name="Rectangle 10546">
          <a:extLst>
            <a:ext uri="{FF2B5EF4-FFF2-40B4-BE49-F238E27FC236}">
              <a16:creationId xmlns:a16="http://schemas.microsoft.com/office/drawing/2014/main" id="{42E394EE-4996-4031-8C42-A998552FC4C6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10548" name="Rectangle 10547">
          <a:extLst>
            <a:ext uri="{FF2B5EF4-FFF2-40B4-BE49-F238E27FC236}">
              <a16:creationId xmlns:a16="http://schemas.microsoft.com/office/drawing/2014/main" id="{1F38B5E5-E3C5-43A1-BAFB-AB6B17D74FE0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10549" name="Rectangle 10548">
          <a:extLst>
            <a:ext uri="{FF2B5EF4-FFF2-40B4-BE49-F238E27FC236}">
              <a16:creationId xmlns:a16="http://schemas.microsoft.com/office/drawing/2014/main" id="{19A99768-25BF-4C7B-B654-DC767E8FBD59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10550" name="Rectangle 10549">
          <a:extLst>
            <a:ext uri="{FF2B5EF4-FFF2-40B4-BE49-F238E27FC236}">
              <a16:creationId xmlns:a16="http://schemas.microsoft.com/office/drawing/2014/main" id="{1DB79DCE-58CA-456B-ADBC-9FBBF2064DCC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10551" name="Rectangle 10550">
          <a:extLst>
            <a:ext uri="{FF2B5EF4-FFF2-40B4-BE49-F238E27FC236}">
              <a16:creationId xmlns:a16="http://schemas.microsoft.com/office/drawing/2014/main" id="{5D0E9E89-6D38-4191-A1F5-36C92F5FC83D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10552" name="Rectangle 10551">
          <a:extLst>
            <a:ext uri="{FF2B5EF4-FFF2-40B4-BE49-F238E27FC236}">
              <a16:creationId xmlns:a16="http://schemas.microsoft.com/office/drawing/2014/main" id="{B582EED8-86CD-46FB-9965-DE1E161691DE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10553" name="Rectangle 10552">
          <a:extLst>
            <a:ext uri="{FF2B5EF4-FFF2-40B4-BE49-F238E27FC236}">
              <a16:creationId xmlns:a16="http://schemas.microsoft.com/office/drawing/2014/main" id="{F80713C6-FEB1-4E85-882E-41C5542B2E00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10554" name="Rectangle 10553">
          <a:extLst>
            <a:ext uri="{FF2B5EF4-FFF2-40B4-BE49-F238E27FC236}">
              <a16:creationId xmlns:a16="http://schemas.microsoft.com/office/drawing/2014/main" id="{3C7C66CA-B785-40C4-916A-13121986CAA6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 wear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10555" name="Rectangle 10554">
          <a:extLst>
            <a:ext uri="{FF2B5EF4-FFF2-40B4-BE49-F238E27FC236}">
              <a16:creationId xmlns:a16="http://schemas.microsoft.com/office/drawing/2014/main" id="{E903C37F-2393-4624-BD41-E5EC8477157E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10556" name="Rectangle 10555">
          <a:extLst>
            <a:ext uri="{FF2B5EF4-FFF2-40B4-BE49-F238E27FC236}">
              <a16:creationId xmlns:a16="http://schemas.microsoft.com/office/drawing/2014/main" id="{75B016A1-7E81-49D1-AEAD-D94AE7226FFD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10557" name="Rectangle 10556">
          <a:extLst>
            <a:ext uri="{FF2B5EF4-FFF2-40B4-BE49-F238E27FC236}">
              <a16:creationId xmlns:a16="http://schemas.microsoft.com/office/drawing/2014/main" id="{D6A332A2-5EFD-4FEC-9E7F-20E8FC649022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10558" name="Rectangle 10557">
          <a:extLst>
            <a:ext uri="{FF2B5EF4-FFF2-40B4-BE49-F238E27FC236}">
              <a16:creationId xmlns:a16="http://schemas.microsoft.com/office/drawing/2014/main" id="{F803B924-0ADE-4065-9C2F-F3BB3AFDAA0F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10559" name="Rectangle 10558">
          <a:extLst>
            <a:ext uri="{FF2B5EF4-FFF2-40B4-BE49-F238E27FC236}">
              <a16:creationId xmlns:a16="http://schemas.microsoft.com/office/drawing/2014/main" id="{601E5645-D990-40D7-BBA3-C7406EB3BB06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10560" name="Rectangle 10559">
          <a:extLst>
            <a:ext uri="{FF2B5EF4-FFF2-40B4-BE49-F238E27FC236}">
              <a16:creationId xmlns:a16="http://schemas.microsoft.com/office/drawing/2014/main" id="{6D06D226-CCF4-44FF-9208-61CA83104B68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10561" name="Rectangle 10560">
          <a:extLst>
            <a:ext uri="{FF2B5EF4-FFF2-40B4-BE49-F238E27FC236}">
              <a16:creationId xmlns:a16="http://schemas.microsoft.com/office/drawing/2014/main" id="{9973FEEA-1BD1-4CB3-8CE5-C54A9AE2EB06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181</xdr:col>
      <xdr:colOff>47625</xdr:colOff>
      <xdr:row>0</xdr:row>
      <xdr:rowOff>0</xdr:rowOff>
    </xdr:from>
    <xdr:to>
      <xdr:col>187</xdr:col>
      <xdr:colOff>549275</xdr:colOff>
      <xdr:row>1</xdr:row>
      <xdr:rowOff>0</xdr:rowOff>
    </xdr:to>
    <xdr:sp macro="" textlink="">
      <xdr:nvSpPr>
        <xdr:cNvPr id="10562" name="Rectangle 10561">
          <a:extLst>
            <a:ext uri="{FF2B5EF4-FFF2-40B4-BE49-F238E27FC236}">
              <a16:creationId xmlns:a16="http://schemas.microsoft.com/office/drawing/2014/main" id="{2E6C4A88-F7A9-45C8-9A09-A8FD43B2B73F}"/>
            </a:ext>
          </a:extLst>
        </xdr:cNvPr>
        <xdr:cNvSpPr/>
      </xdr:nvSpPr>
      <xdr:spPr>
        <a:xfrm>
          <a:off x="119005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10563" name="Chart 10562">
          <a:extLst>
            <a:ext uri="{FF2B5EF4-FFF2-40B4-BE49-F238E27FC236}">
              <a16:creationId xmlns:a16="http://schemas.microsoft.com/office/drawing/2014/main" id="{7EB9EAF6-5B6E-44DB-826B-55785B2F65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10564" name="Chart 10563">
          <a:extLst>
            <a:ext uri="{FF2B5EF4-FFF2-40B4-BE49-F238E27FC236}">
              <a16:creationId xmlns:a16="http://schemas.microsoft.com/office/drawing/2014/main" id="{B100E77F-C157-4A8F-889D-52CA171A64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10565" name="Chart 10564">
          <a:extLst>
            <a:ext uri="{FF2B5EF4-FFF2-40B4-BE49-F238E27FC236}">
              <a16:creationId xmlns:a16="http://schemas.microsoft.com/office/drawing/2014/main" id="{04AC8BCA-4B3D-4967-9DD0-D5F2B6636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10566" name="Chart 10565">
          <a:extLst>
            <a:ext uri="{FF2B5EF4-FFF2-40B4-BE49-F238E27FC236}">
              <a16:creationId xmlns:a16="http://schemas.microsoft.com/office/drawing/2014/main" id="{A9B1D5E4-9AAC-4118-81F8-A2A658F21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10567" name="Chart 10566">
          <a:extLst>
            <a:ext uri="{FF2B5EF4-FFF2-40B4-BE49-F238E27FC236}">
              <a16:creationId xmlns:a16="http://schemas.microsoft.com/office/drawing/2014/main" id="{5FF8F123-B60C-4354-8FA8-141E2EC909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10568" name="Chart 10567">
          <a:extLst>
            <a:ext uri="{FF2B5EF4-FFF2-40B4-BE49-F238E27FC236}">
              <a16:creationId xmlns:a16="http://schemas.microsoft.com/office/drawing/2014/main" id="{50F9F850-D159-49BF-ADCB-644C9C6B3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186" totalsRowShown="0" headerRowDxfId="2" headerRowBorderDxfId="1" tableBorderDxfId="0">
  <autoFilter ref="B5:BM186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4"/>
  <sheetViews>
    <sheetView zoomScale="70" zoomScaleNormal="70" workbookViewId="0">
      <selection activeCell="B11" sqref="B11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7"/>
    </row>
    <row r="3" spans="1:20" ht="15.75" thickBot="1" x14ac:dyDescent="0.3">
      <c r="A3" s="27" t="s">
        <v>272</v>
      </c>
      <c r="B3" s="27">
        <v>6</v>
      </c>
    </row>
    <row r="4" spans="1:20" ht="15.75" thickBot="1" x14ac:dyDescent="0.3">
      <c r="A4" s="26" t="s">
        <v>273</v>
      </c>
      <c r="B4" s="26">
        <v>50</v>
      </c>
      <c r="O4" s="37" t="s">
        <v>373</v>
      </c>
      <c r="P4" s="38" t="s">
        <v>372</v>
      </c>
      <c r="Q4" s="39" t="s">
        <v>374</v>
      </c>
    </row>
    <row r="5" spans="1:20" x14ac:dyDescent="0.25">
      <c r="A5" s="26" t="s">
        <v>367</v>
      </c>
      <c r="B5" s="26">
        <v>10</v>
      </c>
      <c r="O5" s="34">
        <f>P5/86400</f>
        <v>2.4074074074074072E-3</v>
      </c>
      <c r="P5" s="35">
        <f>P6-5</f>
        <v>207.99999999999997</v>
      </c>
      <c r="Q5" s="36">
        <f>P5/86400</f>
        <v>2.4074074074074072E-3</v>
      </c>
    </row>
    <row r="6" spans="1:20" x14ac:dyDescent="0.25">
      <c r="A6" s="26" t="s">
        <v>368</v>
      </c>
      <c r="B6" s="26">
        <v>11</v>
      </c>
      <c r="O6" s="30">
        <v>2.4652777777777776E-3</v>
      </c>
      <c r="P6" s="28">
        <f>+O6*86400</f>
        <v>212.99999999999997</v>
      </c>
      <c r="Q6" s="29">
        <f t="shared" ref="Q6:Q7" si="0">P6/86400</f>
        <v>2.4652777777777776E-3</v>
      </c>
    </row>
    <row r="7" spans="1:20" ht="15.75" thickBot="1" x14ac:dyDescent="0.3">
      <c r="A7" s="26" t="s">
        <v>369</v>
      </c>
      <c r="B7" s="26">
        <v>11</v>
      </c>
      <c r="O7" s="31">
        <f>P7/86400</f>
        <v>2.6388888888888885E-3</v>
      </c>
      <c r="P7" s="32">
        <f>P6+15</f>
        <v>227.99999999999997</v>
      </c>
      <c r="Q7" s="33">
        <f t="shared" si="0"/>
        <v>2.6388888888888885E-3</v>
      </c>
    </row>
    <row r="8" spans="1:20" ht="15.75" thickBot="1" x14ac:dyDescent="0.3">
      <c r="O8" s="37" t="s">
        <v>375</v>
      </c>
      <c r="P8" s="38" t="s">
        <v>377</v>
      </c>
      <c r="Q8" s="39" t="s">
        <v>378</v>
      </c>
    </row>
    <row r="9" spans="1:20" ht="15.75" thickBot="1" x14ac:dyDescent="0.3">
      <c r="O9" s="40">
        <v>6</v>
      </c>
      <c r="P9" s="41">
        <f>O9+1</f>
        <v>7</v>
      </c>
      <c r="Q9" s="42">
        <f>O9-1</f>
        <v>5</v>
      </c>
    </row>
    <row r="10" spans="1:20" ht="15.75" thickBot="1" x14ac:dyDescent="0.3">
      <c r="O10" s="37" t="s">
        <v>376</v>
      </c>
      <c r="P10" s="38" t="s">
        <v>379</v>
      </c>
      <c r="Q10" s="39" t="s">
        <v>380</v>
      </c>
    </row>
    <row r="11" spans="1:20" ht="15.75" thickBot="1" x14ac:dyDescent="0.3">
      <c r="O11" s="43">
        <v>70</v>
      </c>
      <c r="P11" s="44">
        <f>O11+10</f>
        <v>80</v>
      </c>
      <c r="Q11" s="45">
        <f>+O11-10</f>
        <v>60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8" t="s">
        <v>274</v>
      </c>
      <c r="B17" s="9"/>
      <c r="C17" s="9"/>
      <c r="D17" s="9"/>
      <c r="E17" s="9"/>
      <c r="F17" s="9"/>
      <c r="G17" s="9"/>
      <c r="H17" s="9"/>
      <c r="I17" s="9"/>
      <c r="J17" s="9"/>
      <c r="K17" s="9"/>
      <c r="L17" s="10"/>
      <c r="N17" s="8" t="s">
        <v>347</v>
      </c>
      <c r="O17" s="9"/>
      <c r="P17" s="9"/>
      <c r="Q17" s="9"/>
      <c r="R17" s="10"/>
    </row>
    <row r="18" spans="1:24" ht="15.75" thickBot="1" x14ac:dyDescent="0.3">
      <c r="A18" s="16" t="s">
        <v>275</v>
      </c>
      <c r="B18" s="17" t="s">
        <v>276</v>
      </c>
      <c r="C18" s="17" t="s">
        <v>277</v>
      </c>
      <c r="D18" s="17" t="s">
        <v>278</v>
      </c>
      <c r="E18" s="17" t="s">
        <v>339</v>
      </c>
      <c r="F18" s="17" t="s">
        <v>340</v>
      </c>
      <c r="G18" s="17" t="s">
        <v>341</v>
      </c>
      <c r="H18" s="17" t="s">
        <v>342</v>
      </c>
      <c r="I18" s="17" t="s">
        <v>343</v>
      </c>
      <c r="J18" s="17" t="s">
        <v>344</v>
      </c>
      <c r="K18" s="17" t="s">
        <v>345</v>
      </c>
      <c r="L18" s="18" t="s">
        <v>346</v>
      </c>
      <c r="N18" s="16" t="s">
        <v>275</v>
      </c>
      <c r="O18" s="17" t="s">
        <v>348</v>
      </c>
      <c r="P18" s="17" t="s">
        <v>276</v>
      </c>
      <c r="Q18" s="17" t="s">
        <v>352</v>
      </c>
      <c r="R18" s="18" t="s">
        <v>278</v>
      </c>
    </row>
    <row r="19" spans="1:24" x14ac:dyDescent="0.25">
      <c r="A19" s="14">
        <v>1</v>
      </c>
      <c r="B19" s="15" t="s">
        <v>279</v>
      </c>
      <c r="C19" s="15">
        <v>932.5</v>
      </c>
      <c r="D19" s="15">
        <v>20</v>
      </c>
      <c r="E19" s="15">
        <v>4</v>
      </c>
      <c r="F19" s="15"/>
      <c r="G19" s="12"/>
      <c r="H19" s="12"/>
      <c r="I19" s="12"/>
      <c r="J19" s="12"/>
      <c r="K19" s="12"/>
      <c r="L19" s="13"/>
      <c r="N19" s="8">
        <v>1</v>
      </c>
      <c r="O19" s="9">
        <v>3</v>
      </c>
      <c r="P19" s="9" t="s">
        <v>66</v>
      </c>
      <c r="Q19" s="9">
        <v>982.5</v>
      </c>
      <c r="R19" s="10">
        <v>80</v>
      </c>
      <c r="X19">
        <v>932.5</v>
      </c>
    </row>
    <row r="20" spans="1:24" x14ac:dyDescent="0.25">
      <c r="A20" s="14">
        <v>2</v>
      </c>
      <c r="B20" s="15" t="s">
        <v>280</v>
      </c>
      <c r="C20" s="15">
        <v>932.5</v>
      </c>
      <c r="D20" s="15">
        <f>D19+180</f>
        <v>200</v>
      </c>
      <c r="E20" s="12">
        <f>COLUMN(G1)</f>
        <v>7</v>
      </c>
      <c r="F20" s="12">
        <f>COLUMN(EX1)</f>
        <v>154</v>
      </c>
      <c r="G20" s="12"/>
      <c r="H20" s="12"/>
      <c r="I20" s="12"/>
      <c r="J20" s="12"/>
      <c r="K20" s="12"/>
      <c r="L20" s="13"/>
      <c r="N20" s="11">
        <v>2</v>
      </c>
      <c r="O20" s="12">
        <v>4</v>
      </c>
      <c r="P20" s="12" t="s">
        <v>93</v>
      </c>
      <c r="Q20" s="12">
        <f>+Q19+466</f>
        <v>1448.5</v>
      </c>
      <c r="R20" s="13">
        <v>80</v>
      </c>
      <c r="X20">
        <f>+X19+465.75</f>
        <v>1398.25</v>
      </c>
    </row>
    <row r="21" spans="1:24" x14ac:dyDescent="0.25">
      <c r="A21" s="14">
        <v>3</v>
      </c>
      <c r="B21" s="15" t="s">
        <v>281</v>
      </c>
      <c r="C21" s="15">
        <v>932.5</v>
      </c>
      <c r="D21" s="15">
        <f>D20+180</f>
        <v>380</v>
      </c>
      <c r="E21" s="12">
        <f>COLUMN(BR1)</f>
        <v>70</v>
      </c>
      <c r="F21" s="12"/>
      <c r="G21" s="12"/>
      <c r="H21" s="12"/>
      <c r="I21" s="12"/>
      <c r="J21" s="12"/>
      <c r="K21" s="12"/>
      <c r="L21" s="13"/>
      <c r="N21" s="11">
        <v>3</v>
      </c>
      <c r="O21" s="12">
        <v>5</v>
      </c>
      <c r="P21" s="12" t="s">
        <v>261</v>
      </c>
      <c r="Q21" s="12">
        <f t="shared" ref="Q21:Q37" si="1">+Q20+466</f>
        <v>1914.5</v>
      </c>
      <c r="R21" s="13">
        <v>80</v>
      </c>
      <c r="X21">
        <f t="shared" ref="X21:X37" si="2">+X20+465.75</f>
        <v>1864</v>
      </c>
    </row>
    <row r="22" spans="1:24" x14ac:dyDescent="0.25">
      <c r="A22" s="14">
        <v>4</v>
      </c>
      <c r="B22" s="15" t="s">
        <v>282</v>
      </c>
      <c r="C22" s="15">
        <v>932.5</v>
      </c>
      <c r="D22" s="15">
        <f>D21+180</f>
        <v>560</v>
      </c>
      <c r="E22" s="12">
        <f>COLUMN(K1)</f>
        <v>11</v>
      </c>
      <c r="F22" s="12">
        <f>COLUMN(L1)</f>
        <v>12</v>
      </c>
      <c r="G22" s="12">
        <f>COLUMN(M1)</f>
        <v>13</v>
      </c>
      <c r="H22" s="12">
        <f>COLUMN(N1)</f>
        <v>14</v>
      </c>
      <c r="I22" s="12">
        <f>COLUMN(O1)</f>
        <v>15</v>
      </c>
      <c r="J22" s="12"/>
      <c r="K22" s="12"/>
      <c r="L22" s="13"/>
      <c r="N22" s="11">
        <v>4</v>
      </c>
      <c r="O22" s="12">
        <v>6</v>
      </c>
      <c r="P22" s="12" t="s">
        <v>92</v>
      </c>
      <c r="Q22" s="12">
        <f t="shared" si="1"/>
        <v>2380.5</v>
      </c>
      <c r="R22" s="13">
        <v>80</v>
      </c>
      <c r="X22">
        <f t="shared" si="2"/>
        <v>2329.75</v>
      </c>
    </row>
    <row r="23" spans="1:24" x14ac:dyDescent="0.25">
      <c r="A23" s="11">
        <v>5</v>
      </c>
      <c r="B23" s="12" t="s">
        <v>283</v>
      </c>
      <c r="C23" s="12">
        <f>$X$20</f>
        <v>1398.25</v>
      </c>
      <c r="D23" s="15">
        <v>20</v>
      </c>
      <c r="E23" s="12">
        <f>COLUMN(CI1)</f>
        <v>87</v>
      </c>
      <c r="F23" s="12">
        <f>COLUMN(CJ1)</f>
        <v>88</v>
      </c>
      <c r="G23" s="12">
        <f>COLUMN(CK1)</f>
        <v>89</v>
      </c>
      <c r="H23" s="12"/>
      <c r="I23" s="12"/>
      <c r="J23" s="12"/>
      <c r="K23" s="12"/>
      <c r="L23" s="13"/>
      <c r="N23" s="11">
        <v>5</v>
      </c>
      <c r="O23" s="12">
        <v>7</v>
      </c>
      <c r="P23" s="12" t="s">
        <v>349</v>
      </c>
      <c r="Q23" s="12">
        <f t="shared" si="1"/>
        <v>2846.5</v>
      </c>
      <c r="R23" s="13">
        <v>80</v>
      </c>
      <c r="X23">
        <f t="shared" si="2"/>
        <v>2795.5</v>
      </c>
    </row>
    <row r="24" spans="1:24" x14ac:dyDescent="0.25">
      <c r="A24" s="11">
        <v>6</v>
      </c>
      <c r="B24" s="12" t="s">
        <v>284</v>
      </c>
      <c r="C24" s="12">
        <f>$X$20</f>
        <v>1398.25</v>
      </c>
      <c r="D24" s="15">
        <f>D23+180</f>
        <v>200</v>
      </c>
      <c r="E24" s="12">
        <f>COLUMN(I1)</f>
        <v>9</v>
      </c>
      <c r="F24" s="12">
        <f>COLUMN(J1)</f>
        <v>10</v>
      </c>
      <c r="G24" s="12">
        <f>COLUMN(EY1)</f>
        <v>155</v>
      </c>
      <c r="H24" s="12"/>
      <c r="I24" s="12"/>
      <c r="J24" s="12"/>
      <c r="K24" s="12"/>
      <c r="L24" s="13"/>
      <c r="N24" s="11">
        <v>6</v>
      </c>
      <c r="O24" s="12">
        <v>8</v>
      </c>
      <c r="P24" s="12" t="s">
        <v>139</v>
      </c>
      <c r="Q24" s="12">
        <f t="shared" si="1"/>
        <v>3312.5</v>
      </c>
      <c r="R24" s="13">
        <v>80</v>
      </c>
      <c r="X24">
        <f t="shared" si="2"/>
        <v>3261.25</v>
      </c>
    </row>
    <row r="25" spans="1:24" x14ac:dyDescent="0.25">
      <c r="A25" s="11">
        <v>7</v>
      </c>
      <c r="B25" s="12" t="s">
        <v>285</v>
      </c>
      <c r="C25" s="12">
        <f>$X$20</f>
        <v>1398.25</v>
      </c>
      <c r="D25" s="15">
        <f>D24+180</f>
        <v>380</v>
      </c>
      <c r="E25" s="12">
        <f>COLUMN(BT1)</f>
        <v>72</v>
      </c>
      <c r="F25" s="12">
        <f>COLUMN(EZ1)</f>
        <v>156</v>
      </c>
      <c r="G25" s="12">
        <f>COLUMN(FA1)</f>
        <v>157</v>
      </c>
      <c r="H25" s="12"/>
      <c r="I25" s="12"/>
      <c r="J25" s="12"/>
      <c r="K25" s="12"/>
      <c r="L25" s="13"/>
      <c r="N25" s="11">
        <v>7</v>
      </c>
      <c r="O25" s="12">
        <v>9</v>
      </c>
      <c r="P25" s="12" t="s">
        <v>350</v>
      </c>
      <c r="Q25" s="12">
        <f t="shared" si="1"/>
        <v>3778.5</v>
      </c>
      <c r="R25" s="13">
        <v>80</v>
      </c>
      <c r="X25">
        <f t="shared" si="2"/>
        <v>3727</v>
      </c>
    </row>
    <row r="26" spans="1:24" x14ac:dyDescent="0.25">
      <c r="A26" s="11">
        <v>8</v>
      </c>
      <c r="B26" s="12" t="s">
        <v>286</v>
      </c>
      <c r="C26" s="12">
        <f>$X$20</f>
        <v>1398.25</v>
      </c>
      <c r="D26" s="15">
        <f>D25+180</f>
        <v>560</v>
      </c>
      <c r="E26" s="12">
        <f>COLUMN(BY1)</f>
        <v>77</v>
      </c>
      <c r="F26" s="12">
        <f>COLUMN(BZ1)</f>
        <v>78</v>
      </c>
      <c r="G26" s="12"/>
      <c r="H26" s="12"/>
      <c r="I26" s="12"/>
      <c r="J26" s="12"/>
      <c r="K26" s="12"/>
      <c r="L26" s="13"/>
      <c r="N26" s="11">
        <v>8</v>
      </c>
      <c r="O26" s="12">
        <v>10</v>
      </c>
      <c r="P26" s="12" t="s">
        <v>351</v>
      </c>
      <c r="Q26" s="12">
        <f t="shared" si="1"/>
        <v>4244.5</v>
      </c>
      <c r="R26" s="13">
        <v>80</v>
      </c>
      <c r="X26">
        <f t="shared" si="2"/>
        <v>4192.75</v>
      </c>
    </row>
    <row r="27" spans="1:24" x14ac:dyDescent="0.25">
      <c r="A27" s="14">
        <v>9</v>
      </c>
      <c r="B27" s="15" t="s">
        <v>287</v>
      </c>
      <c r="C27" s="15">
        <f>$X$21</f>
        <v>1864</v>
      </c>
      <c r="D27" s="15">
        <v>20</v>
      </c>
      <c r="E27" s="12">
        <f>COLUMN(BI2)</f>
        <v>61</v>
      </c>
      <c r="F27" s="12">
        <f>COLUMN(BJ2)</f>
        <v>62</v>
      </c>
      <c r="G27" s="12"/>
      <c r="H27" s="12"/>
      <c r="I27" s="12"/>
      <c r="J27" s="12"/>
      <c r="K27" s="12"/>
      <c r="L27" s="13"/>
      <c r="N27" s="11">
        <v>9</v>
      </c>
      <c r="O27" s="12">
        <v>11</v>
      </c>
      <c r="P27" s="12" t="s">
        <v>58</v>
      </c>
      <c r="Q27" s="12">
        <f t="shared" si="1"/>
        <v>4710.5</v>
      </c>
      <c r="R27" s="13">
        <v>80</v>
      </c>
      <c r="X27">
        <f t="shared" si="2"/>
        <v>4658.5</v>
      </c>
    </row>
    <row r="28" spans="1:24" x14ac:dyDescent="0.25">
      <c r="A28" s="14">
        <v>10</v>
      </c>
      <c r="B28" s="15" t="s">
        <v>288</v>
      </c>
      <c r="C28" s="15">
        <f>$X$21</f>
        <v>1864</v>
      </c>
      <c r="D28" s="15">
        <f>D27+180</f>
        <v>200</v>
      </c>
      <c r="E28" s="12">
        <f>COLUMN(AR3)</f>
        <v>44</v>
      </c>
      <c r="F28" s="12">
        <f>COLUMN(AS3)</f>
        <v>45</v>
      </c>
      <c r="G28" s="12"/>
      <c r="H28" s="12"/>
      <c r="I28" s="12"/>
      <c r="J28" s="12"/>
      <c r="K28" s="12"/>
      <c r="L28" s="13"/>
      <c r="N28" s="11">
        <v>10</v>
      </c>
      <c r="O28" s="12">
        <v>12</v>
      </c>
      <c r="P28" s="12" t="s">
        <v>59</v>
      </c>
      <c r="Q28" s="12">
        <f t="shared" si="1"/>
        <v>5176.5</v>
      </c>
      <c r="R28" s="13">
        <v>80</v>
      </c>
      <c r="X28">
        <f t="shared" si="2"/>
        <v>5124.25</v>
      </c>
    </row>
    <row r="29" spans="1:24" x14ac:dyDescent="0.25">
      <c r="A29" s="14">
        <v>11</v>
      </c>
      <c r="B29" s="15" t="s">
        <v>289</v>
      </c>
      <c r="C29" s="15">
        <f>$X$21</f>
        <v>1864</v>
      </c>
      <c r="D29" s="15">
        <f>D28+180</f>
        <v>380</v>
      </c>
      <c r="E29" s="12">
        <f>COLUMN(F4)</f>
        <v>6</v>
      </c>
      <c r="F29" s="12">
        <f>COLUMN(IA4)</f>
        <v>235</v>
      </c>
      <c r="G29" s="12"/>
      <c r="H29" s="12"/>
      <c r="I29" s="12"/>
      <c r="J29" s="12"/>
      <c r="K29" s="12"/>
      <c r="L29" s="13"/>
      <c r="N29" s="11">
        <v>11</v>
      </c>
      <c r="O29" s="12">
        <v>13</v>
      </c>
      <c r="P29" s="22" t="s">
        <v>406</v>
      </c>
      <c r="Q29" s="12">
        <f t="shared" si="1"/>
        <v>5642.5</v>
      </c>
      <c r="R29" s="23">
        <v>80</v>
      </c>
      <c r="X29">
        <f t="shared" si="2"/>
        <v>5590</v>
      </c>
    </row>
    <row r="30" spans="1:24" x14ac:dyDescent="0.25">
      <c r="A30" s="14">
        <v>12</v>
      </c>
      <c r="B30" s="15" t="s">
        <v>290</v>
      </c>
      <c r="C30" s="15">
        <f>$X$21</f>
        <v>1864</v>
      </c>
      <c r="D30" s="15">
        <f>D29+180</f>
        <v>560</v>
      </c>
      <c r="E30" s="12">
        <f>COLUMN(AP5)</f>
        <v>42</v>
      </c>
      <c r="F30" s="12">
        <f>COLUMN(AQ5)</f>
        <v>43</v>
      </c>
      <c r="G30" s="12"/>
      <c r="H30" s="12"/>
      <c r="I30" s="12"/>
      <c r="J30" s="12"/>
      <c r="K30" s="12"/>
      <c r="L30" s="13"/>
      <c r="N30" s="11">
        <v>12</v>
      </c>
      <c r="O30" s="12">
        <v>14</v>
      </c>
      <c r="P30" s="12" t="s">
        <v>60</v>
      </c>
      <c r="Q30" s="12">
        <f t="shared" si="1"/>
        <v>6108.5</v>
      </c>
      <c r="R30" s="13">
        <v>80</v>
      </c>
      <c r="X30">
        <f t="shared" si="2"/>
        <v>6055.75</v>
      </c>
    </row>
    <row r="31" spans="1:24" x14ac:dyDescent="0.25">
      <c r="A31" s="11">
        <v>13</v>
      </c>
      <c r="B31" s="12" t="s">
        <v>292</v>
      </c>
      <c r="C31" s="12">
        <f>$X$22</f>
        <v>2329.75</v>
      </c>
      <c r="D31" s="15">
        <v>20</v>
      </c>
      <c r="E31" s="12">
        <f>COLUMN(CC6)</f>
        <v>81</v>
      </c>
      <c r="F31" s="12">
        <f>COLUMN(CD6)</f>
        <v>82</v>
      </c>
      <c r="G31" s="12"/>
      <c r="H31" s="12"/>
      <c r="I31" s="12"/>
      <c r="J31" s="12"/>
      <c r="K31" s="12"/>
      <c r="L31" s="13"/>
      <c r="N31" s="11">
        <v>13</v>
      </c>
      <c r="O31" s="12">
        <v>15</v>
      </c>
      <c r="P31" s="12" t="s">
        <v>137</v>
      </c>
      <c r="Q31" s="12">
        <f t="shared" si="1"/>
        <v>6574.5</v>
      </c>
      <c r="R31" s="13">
        <v>80</v>
      </c>
      <c r="X31">
        <f t="shared" si="2"/>
        <v>6521.5</v>
      </c>
    </row>
    <row r="32" spans="1:24" x14ac:dyDescent="0.25">
      <c r="A32" s="11">
        <v>14</v>
      </c>
      <c r="B32" s="12" t="s">
        <v>293</v>
      </c>
      <c r="C32" s="12">
        <f>$X$22</f>
        <v>2329.75</v>
      </c>
      <c r="D32" s="15">
        <f>D31+180</f>
        <v>200</v>
      </c>
      <c r="E32" s="12">
        <f>COLUMN(CE7)</f>
        <v>83</v>
      </c>
      <c r="F32" s="12">
        <f>COLUMN(CF7)</f>
        <v>84</v>
      </c>
      <c r="G32" s="12"/>
      <c r="H32" s="12"/>
      <c r="I32" s="12"/>
      <c r="J32" s="12"/>
      <c r="K32" s="12"/>
      <c r="L32" s="13"/>
      <c r="N32" s="11">
        <v>14</v>
      </c>
      <c r="O32" s="12">
        <v>16</v>
      </c>
      <c r="P32" s="12" t="s">
        <v>267</v>
      </c>
      <c r="Q32" s="12">
        <f t="shared" si="1"/>
        <v>7040.5</v>
      </c>
      <c r="R32" s="13">
        <v>80</v>
      </c>
      <c r="X32">
        <f t="shared" si="2"/>
        <v>6987.25</v>
      </c>
    </row>
    <row r="33" spans="1:24" x14ac:dyDescent="0.25">
      <c r="A33" s="11">
        <v>15</v>
      </c>
      <c r="B33" s="12" t="s">
        <v>291</v>
      </c>
      <c r="C33" s="12">
        <f>$X$22</f>
        <v>2329.75</v>
      </c>
      <c r="D33" s="15">
        <f>D32+180</f>
        <v>380</v>
      </c>
      <c r="E33" s="12">
        <f>COLUMN(DP8)</f>
        <v>120</v>
      </c>
      <c r="F33" s="12">
        <f>COLUMN(DQ8)</f>
        <v>121</v>
      </c>
      <c r="G33" s="12">
        <f>COLUMN(DR8)</f>
        <v>122</v>
      </c>
      <c r="H33" s="12">
        <f>COLUMN(DS8)</f>
        <v>123</v>
      </c>
      <c r="I33" s="12"/>
      <c r="J33" s="12"/>
      <c r="K33" s="12"/>
      <c r="L33" s="13"/>
      <c r="N33" s="11">
        <v>15</v>
      </c>
      <c r="O33" s="12">
        <v>17</v>
      </c>
      <c r="P33" s="22" t="s">
        <v>397</v>
      </c>
      <c r="Q33" s="12">
        <f t="shared" si="1"/>
        <v>7506.5</v>
      </c>
      <c r="R33" s="23">
        <v>80</v>
      </c>
      <c r="X33">
        <f t="shared" si="2"/>
        <v>7453</v>
      </c>
    </row>
    <row r="34" spans="1:24" x14ac:dyDescent="0.25">
      <c r="A34" s="11">
        <v>16</v>
      </c>
      <c r="B34" s="12" t="s">
        <v>294</v>
      </c>
      <c r="C34" s="12">
        <f>$X$22</f>
        <v>2329.75</v>
      </c>
      <c r="D34" s="15">
        <f>D33+180</f>
        <v>560</v>
      </c>
      <c r="E34" s="12">
        <f>COLUMN(DL9)</f>
        <v>116</v>
      </c>
      <c r="F34" s="12">
        <f>COLUMN(DM9)</f>
        <v>117</v>
      </c>
      <c r="G34" s="12">
        <f>COLUMN(DN9)</f>
        <v>118</v>
      </c>
      <c r="H34" s="12">
        <f>COLUMN(DO9)</f>
        <v>119</v>
      </c>
      <c r="I34" s="12"/>
      <c r="J34" s="12"/>
      <c r="K34" s="12"/>
      <c r="L34" s="13"/>
      <c r="N34" s="11">
        <v>16</v>
      </c>
      <c r="O34" s="12">
        <v>18</v>
      </c>
      <c r="P34" s="12" t="s">
        <v>94</v>
      </c>
      <c r="Q34" s="12">
        <f t="shared" si="1"/>
        <v>7972.5</v>
      </c>
      <c r="R34" s="13">
        <v>80</v>
      </c>
      <c r="X34">
        <f t="shared" si="2"/>
        <v>7918.75</v>
      </c>
    </row>
    <row r="35" spans="1:24" x14ac:dyDescent="0.25">
      <c r="A35" s="14">
        <v>17</v>
      </c>
      <c r="B35" s="15" t="s">
        <v>295</v>
      </c>
      <c r="C35" s="15">
        <f>$X$23</f>
        <v>2795.5</v>
      </c>
      <c r="D35" s="15">
        <v>20</v>
      </c>
      <c r="E35" s="12">
        <f>COLUMN(HW10)</f>
        <v>231</v>
      </c>
      <c r="F35" s="12">
        <f>COLUMN(HX10)</f>
        <v>232</v>
      </c>
      <c r="G35" s="12"/>
      <c r="H35" s="12"/>
      <c r="I35" s="12"/>
      <c r="J35" s="12"/>
      <c r="K35" s="12"/>
      <c r="L35" s="13"/>
      <c r="N35" s="11">
        <v>17</v>
      </c>
      <c r="O35" s="12">
        <v>19</v>
      </c>
      <c r="P35" s="12" t="s">
        <v>138</v>
      </c>
      <c r="Q35" s="12">
        <f t="shared" si="1"/>
        <v>8438.5</v>
      </c>
      <c r="R35" s="13">
        <v>80</v>
      </c>
      <c r="X35">
        <f t="shared" si="2"/>
        <v>8384.5</v>
      </c>
    </row>
    <row r="36" spans="1:24" x14ac:dyDescent="0.25">
      <c r="A36" s="14">
        <v>18</v>
      </c>
      <c r="B36" s="15" t="s">
        <v>296</v>
      </c>
      <c r="C36" s="15">
        <f>$X$23</f>
        <v>2795.5</v>
      </c>
      <c r="D36" s="15">
        <v>200</v>
      </c>
      <c r="E36" s="12">
        <f>COLUMN(HY11)</f>
        <v>233</v>
      </c>
      <c r="F36" s="12">
        <f>COLUMN(HZ11)</f>
        <v>234</v>
      </c>
      <c r="G36" s="12"/>
      <c r="H36" s="12"/>
      <c r="I36" s="12"/>
      <c r="J36" s="12"/>
      <c r="K36" s="12"/>
      <c r="L36" s="13"/>
      <c r="N36" s="11">
        <v>18</v>
      </c>
      <c r="O36" s="12">
        <v>20</v>
      </c>
      <c r="P36" s="12" t="s">
        <v>268</v>
      </c>
      <c r="Q36" s="12">
        <f t="shared" si="1"/>
        <v>8904.5</v>
      </c>
      <c r="R36" s="13">
        <v>80</v>
      </c>
      <c r="X36">
        <f t="shared" si="2"/>
        <v>8850.25</v>
      </c>
    </row>
    <row r="37" spans="1:24" ht="15.75" thickBot="1" x14ac:dyDescent="0.3">
      <c r="A37" s="11">
        <v>19</v>
      </c>
      <c r="B37" s="12" t="s">
        <v>297</v>
      </c>
      <c r="C37" s="19">
        <f>$X$24</f>
        <v>3261.25</v>
      </c>
      <c r="D37" s="15">
        <v>20</v>
      </c>
      <c r="E37" s="12">
        <f>COLUMN(AL12)</f>
        <v>38</v>
      </c>
      <c r="F37" s="12">
        <f>COLUMN(AM12)</f>
        <v>39</v>
      </c>
      <c r="G37" s="12">
        <f>COLUMN(AN12)</f>
        <v>40</v>
      </c>
      <c r="H37" s="12">
        <f>COLUMN(AO12)</f>
        <v>41</v>
      </c>
      <c r="I37" s="12"/>
      <c r="J37" s="12"/>
      <c r="K37" s="12"/>
      <c r="L37" s="13"/>
      <c r="N37" s="16">
        <v>19</v>
      </c>
      <c r="O37" s="17">
        <v>21</v>
      </c>
      <c r="P37" s="17" t="s">
        <v>269</v>
      </c>
      <c r="Q37" s="17">
        <f t="shared" si="1"/>
        <v>9370.5</v>
      </c>
      <c r="R37" s="18">
        <v>80</v>
      </c>
      <c r="X37">
        <f t="shared" si="2"/>
        <v>9316</v>
      </c>
    </row>
    <row r="38" spans="1:24" ht="15.75" thickBot="1" x14ac:dyDescent="0.3">
      <c r="A38" s="11">
        <v>20</v>
      </c>
      <c r="B38" s="12" t="s">
        <v>298</v>
      </c>
      <c r="C38" s="19">
        <f>$X$24</f>
        <v>3261.25</v>
      </c>
      <c r="D38" s="15">
        <f>D37+180</f>
        <v>200</v>
      </c>
      <c r="E38" s="12">
        <f>COLUMN(BU13)</f>
        <v>73</v>
      </c>
      <c r="F38" s="12">
        <f>COLUMN(BV13)</f>
        <v>74</v>
      </c>
      <c r="G38" s="12">
        <f>COLUMN(BW13)</f>
        <v>75</v>
      </c>
      <c r="H38" s="12">
        <f>COLUMN(BX13)</f>
        <v>76</v>
      </c>
      <c r="I38" s="12"/>
      <c r="J38" s="12"/>
      <c r="K38" s="12"/>
      <c r="L38" s="13"/>
      <c r="T38" s="22"/>
      <c r="U38" s="22"/>
    </row>
    <row r="39" spans="1:24" x14ac:dyDescent="0.25">
      <c r="A39" s="11">
        <v>21</v>
      </c>
      <c r="B39" s="12" t="s">
        <v>299</v>
      </c>
      <c r="C39" s="19">
        <f>$X$24</f>
        <v>3261.25</v>
      </c>
      <c r="D39" s="15">
        <f>D38+180</f>
        <v>380</v>
      </c>
      <c r="E39" s="12">
        <f>COLUMN(CA14)</f>
        <v>79</v>
      </c>
      <c r="F39" s="12">
        <f>COLUMN(CB14)</f>
        <v>80</v>
      </c>
      <c r="G39" s="12"/>
      <c r="H39" s="12"/>
      <c r="I39" s="12"/>
      <c r="J39" s="12"/>
      <c r="K39" s="12"/>
      <c r="L39" s="13"/>
      <c r="N39" s="8" t="s">
        <v>353</v>
      </c>
      <c r="O39" s="9"/>
      <c r="P39" s="9"/>
      <c r="Q39" s="9"/>
      <c r="R39" s="9"/>
      <c r="S39" s="10"/>
    </row>
    <row r="40" spans="1:24" ht="15.75" thickBot="1" x14ac:dyDescent="0.3">
      <c r="A40" s="14">
        <v>22</v>
      </c>
      <c r="B40" s="15" t="s">
        <v>300</v>
      </c>
      <c r="C40" s="20">
        <f>$X$25</f>
        <v>3727</v>
      </c>
      <c r="D40" s="15">
        <v>20</v>
      </c>
      <c r="E40" s="12">
        <f>COLUMN(DF15)</f>
        <v>110</v>
      </c>
      <c r="F40" s="12"/>
      <c r="G40" s="12"/>
      <c r="H40" s="12"/>
      <c r="I40" s="12"/>
      <c r="J40" s="12"/>
      <c r="K40" s="12"/>
      <c r="L40" s="13"/>
      <c r="N40" s="16" t="s">
        <v>275</v>
      </c>
      <c r="O40" s="17" t="s">
        <v>276</v>
      </c>
      <c r="P40" s="17" t="s">
        <v>352</v>
      </c>
      <c r="Q40" s="17" t="s">
        <v>278</v>
      </c>
      <c r="R40" s="24" t="s">
        <v>365</v>
      </c>
      <c r="S40" s="25" t="s">
        <v>366</v>
      </c>
    </row>
    <row r="41" spans="1:24" x14ac:dyDescent="0.25">
      <c r="A41" s="14">
        <v>23</v>
      </c>
      <c r="B41" s="15" t="s">
        <v>301</v>
      </c>
      <c r="C41" s="20">
        <f>$X$25</f>
        <v>3727</v>
      </c>
      <c r="D41" s="15">
        <f>D40+180</f>
        <v>200</v>
      </c>
      <c r="E41" s="12">
        <f>COLUMN(DG16)</f>
        <v>111</v>
      </c>
      <c r="F41" s="12">
        <f>COLUMN(DH16)</f>
        <v>112</v>
      </c>
      <c r="G41" s="12">
        <f>COLUMN(DI16)</f>
        <v>113</v>
      </c>
      <c r="H41" s="12"/>
      <c r="I41" s="12"/>
      <c r="J41" s="12"/>
      <c r="K41" s="12"/>
      <c r="L41" s="13"/>
      <c r="N41" s="11">
        <v>1</v>
      </c>
      <c r="O41" s="12" t="s">
        <v>354</v>
      </c>
      <c r="P41" s="12">
        <v>0</v>
      </c>
      <c r="Q41" s="12">
        <v>0</v>
      </c>
      <c r="R41" s="22">
        <v>2</v>
      </c>
      <c r="S41" s="23">
        <v>3</v>
      </c>
    </row>
    <row r="42" spans="1:24" x14ac:dyDescent="0.25">
      <c r="A42" s="14">
        <v>24</v>
      </c>
      <c r="B42" s="15" t="s">
        <v>302</v>
      </c>
      <c r="C42" s="20">
        <f>$X$25</f>
        <v>3727</v>
      </c>
      <c r="D42" s="15">
        <f>D41+180</f>
        <v>380</v>
      </c>
      <c r="E42" s="12">
        <f>COLUMN(DJ17)</f>
        <v>114</v>
      </c>
      <c r="F42" s="12">
        <f>COLUMN(DK17)</f>
        <v>115</v>
      </c>
      <c r="G42" s="12"/>
      <c r="H42" s="12"/>
      <c r="I42" s="12"/>
      <c r="J42" s="12"/>
      <c r="K42" s="12"/>
      <c r="L42" s="13"/>
      <c r="N42" s="11">
        <v>2</v>
      </c>
      <c r="O42" s="12" t="s">
        <v>355</v>
      </c>
      <c r="P42" s="12">
        <v>0</v>
      </c>
      <c r="Q42" s="12">
        <v>240</v>
      </c>
      <c r="R42" s="22">
        <v>2</v>
      </c>
      <c r="S42" s="23">
        <v>4</v>
      </c>
    </row>
    <row r="43" spans="1:24" x14ac:dyDescent="0.25">
      <c r="A43" s="11">
        <v>25</v>
      </c>
      <c r="B43" s="12" t="s">
        <v>303</v>
      </c>
      <c r="C43" s="19">
        <f>$X$26</f>
        <v>4192.75</v>
      </c>
      <c r="D43" s="15">
        <v>20</v>
      </c>
      <c r="E43" s="12">
        <f>COLUMN(DT18)</f>
        <v>124</v>
      </c>
      <c r="F43" s="12">
        <f>COLUMN(DU18)</f>
        <v>125</v>
      </c>
      <c r="G43" s="12">
        <f>COLUMN(DV18)</f>
        <v>126</v>
      </c>
      <c r="H43" s="12">
        <f>COLUMN(DW18)</f>
        <v>127</v>
      </c>
      <c r="I43" s="12"/>
      <c r="J43" s="12"/>
      <c r="K43" s="12"/>
      <c r="L43" s="13"/>
      <c r="N43" s="11">
        <v>3</v>
      </c>
      <c r="O43" s="12" t="s">
        <v>356</v>
      </c>
      <c r="P43" s="12">
        <v>0</v>
      </c>
      <c r="Q43" s="12">
        <v>480</v>
      </c>
      <c r="R43" s="22">
        <v>2</v>
      </c>
      <c r="S43" s="23">
        <v>5</v>
      </c>
    </row>
    <row r="44" spans="1:24" x14ac:dyDescent="0.25">
      <c r="A44" s="11">
        <v>26</v>
      </c>
      <c r="B44" s="12" t="s">
        <v>304</v>
      </c>
      <c r="C44" s="19">
        <f>$X$26</f>
        <v>4192.75</v>
      </c>
      <c r="D44" s="15">
        <f>D43+180</f>
        <v>200</v>
      </c>
      <c r="E44" s="12">
        <f>COLUMN(DX19)</f>
        <v>128</v>
      </c>
      <c r="F44" s="12">
        <f>COLUMN(DY19)</f>
        <v>129</v>
      </c>
      <c r="G44" s="12">
        <f>COLUMN(DZ19)</f>
        <v>130</v>
      </c>
      <c r="H44" s="12">
        <f>COLUMN(EA19)</f>
        <v>131</v>
      </c>
      <c r="I44" s="12"/>
      <c r="J44" s="12"/>
      <c r="K44" s="12"/>
      <c r="L44" s="13"/>
      <c r="N44" s="11">
        <v>4</v>
      </c>
      <c r="O44" s="12" t="s">
        <v>370</v>
      </c>
      <c r="P44" s="12">
        <v>466.25</v>
      </c>
      <c r="Q44" s="12">
        <v>0</v>
      </c>
      <c r="R44" s="22">
        <v>2</v>
      </c>
      <c r="S44" s="23">
        <v>6</v>
      </c>
    </row>
    <row r="45" spans="1:24" x14ac:dyDescent="0.25">
      <c r="A45" s="11">
        <v>27</v>
      </c>
      <c r="B45" s="12" t="s">
        <v>305</v>
      </c>
      <c r="C45" s="19">
        <f>$X$26</f>
        <v>4192.75</v>
      </c>
      <c r="D45" s="15">
        <f>D44+180</f>
        <v>380</v>
      </c>
      <c r="E45" s="12">
        <f>COLUMN(EB20)</f>
        <v>132</v>
      </c>
      <c r="F45" s="12">
        <f>COLUMN(EC20)</f>
        <v>133</v>
      </c>
      <c r="G45" s="12">
        <f>COLUMN(ED20)</f>
        <v>134</v>
      </c>
      <c r="H45" s="12">
        <f>COLUMN(EE20)</f>
        <v>135</v>
      </c>
      <c r="I45" s="12"/>
      <c r="J45" s="12"/>
      <c r="K45" s="12"/>
      <c r="L45" s="13"/>
      <c r="N45" s="11">
        <v>5</v>
      </c>
      <c r="O45" s="12" t="s">
        <v>371</v>
      </c>
      <c r="P45" s="12">
        <v>466.25</v>
      </c>
      <c r="Q45" s="12">
        <v>240</v>
      </c>
      <c r="R45" s="22">
        <v>5</v>
      </c>
      <c r="S45" s="23">
        <v>3</v>
      </c>
    </row>
    <row r="46" spans="1:24" ht="15.75" thickBot="1" x14ac:dyDescent="0.3">
      <c r="A46" s="11">
        <v>28</v>
      </c>
      <c r="B46" s="12" t="s">
        <v>306</v>
      </c>
      <c r="C46" s="19">
        <f>$X$26</f>
        <v>4192.75</v>
      </c>
      <c r="D46" s="15">
        <f>D45+180</f>
        <v>560</v>
      </c>
      <c r="E46" s="12">
        <f>COLUMN(EF21)</f>
        <v>136</v>
      </c>
      <c r="F46" s="12">
        <f>COLUMN(EG21)</f>
        <v>137</v>
      </c>
      <c r="G46" s="12">
        <f>COLUMN(EH21)</f>
        <v>138</v>
      </c>
      <c r="H46" s="12">
        <f>COLUMN(EI21)</f>
        <v>139</v>
      </c>
      <c r="I46" s="12"/>
      <c r="J46" s="12"/>
      <c r="K46" s="12"/>
      <c r="L46" s="13"/>
      <c r="N46" s="16">
        <v>6</v>
      </c>
      <c r="O46" s="17" t="s">
        <v>357</v>
      </c>
      <c r="P46" s="17">
        <v>466.25</v>
      </c>
      <c r="Q46" s="17">
        <v>480</v>
      </c>
      <c r="R46" s="24">
        <v>5</v>
      </c>
      <c r="S46" s="25">
        <v>7</v>
      </c>
    </row>
    <row r="47" spans="1:24" ht="15.75" thickBot="1" x14ac:dyDescent="0.3">
      <c r="A47" s="14">
        <v>29</v>
      </c>
      <c r="B47" s="15" t="s">
        <v>307</v>
      </c>
      <c r="C47" s="15">
        <f>$X$27</f>
        <v>4658.5</v>
      </c>
      <c r="D47" s="15">
        <v>20</v>
      </c>
      <c r="E47" s="12">
        <f>COLUMN(AD22)</f>
        <v>30</v>
      </c>
      <c r="F47" s="12">
        <f>COLUMN(AE22)</f>
        <v>31</v>
      </c>
      <c r="G47" s="12">
        <f>COLUMN(AF22)</f>
        <v>32</v>
      </c>
      <c r="H47" s="12">
        <f>COLUMN(AG22)</f>
        <v>33</v>
      </c>
      <c r="I47" s="12"/>
      <c r="J47" s="12"/>
      <c r="K47" s="12"/>
      <c r="L47" s="13"/>
    </row>
    <row r="48" spans="1:24" x14ac:dyDescent="0.25">
      <c r="A48" s="14">
        <v>30</v>
      </c>
      <c r="B48" s="15" t="s">
        <v>311</v>
      </c>
      <c r="C48" s="15">
        <f>$X$27</f>
        <v>4658.5</v>
      </c>
      <c r="D48" s="15">
        <f>D47+180</f>
        <v>200</v>
      </c>
      <c r="E48" s="12">
        <f>COLUMN(AH23)</f>
        <v>34</v>
      </c>
      <c r="F48" s="12">
        <f>COLUMN(AI23)</f>
        <v>35</v>
      </c>
      <c r="G48" s="12">
        <f>COLUMN(AJ23)</f>
        <v>36</v>
      </c>
      <c r="H48" s="12">
        <f>COLUMN(AK23)</f>
        <v>37</v>
      </c>
      <c r="I48" s="12"/>
      <c r="J48" s="12"/>
      <c r="K48" s="12"/>
      <c r="L48" s="13"/>
      <c r="N48" s="8" t="s">
        <v>359</v>
      </c>
      <c r="O48" s="10"/>
    </row>
    <row r="49" spans="1:15" ht="15.75" thickBot="1" x14ac:dyDescent="0.3">
      <c r="A49" s="14">
        <v>31</v>
      </c>
      <c r="B49" s="15" t="s">
        <v>310</v>
      </c>
      <c r="C49" s="15">
        <f>$X$27</f>
        <v>4658.5</v>
      </c>
      <c r="D49" s="15">
        <f>D48+180</f>
        <v>380</v>
      </c>
      <c r="E49" s="12">
        <f>COLUMN(FC24)</f>
        <v>159</v>
      </c>
      <c r="F49" s="12">
        <f>COLUMN(FD24)</f>
        <v>160</v>
      </c>
      <c r="G49" s="12">
        <f>COLUMN(FE24)</f>
        <v>161</v>
      </c>
      <c r="H49" s="12">
        <f>COLUMN(FF24)</f>
        <v>162</v>
      </c>
      <c r="I49" s="12"/>
      <c r="J49" s="12"/>
      <c r="K49" s="12"/>
      <c r="L49" s="13"/>
      <c r="N49" s="16" t="s">
        <v>275</v>
      </c>
      <c r="O49" s="18"/>
    </row>
    <row r="50" spans="1:15" x14ac:dyDescent="0.25">
      <c r="A50" s="14">
        <v>32</v>
      </c>
      <c r="B50" s="15" t="s">
        <v>308</v>
      </c>
      <c r="C50" s="15">
        <f>$X$27</f>
        <v>4658.5</v>
      </c>
      <c r="D50" s="15">
        <f>D49+180</f>
        <v>560</v>
      </c>
      <c r="E50" s="12">
        <f>COLUMN(CL25)</f>
        <v>90</v>
      </c>
      <c r="F50" s="12">
        <f>COLUMN(CM25)</f>
        <v>91</v>
      </c>
      <c r="G50" s="12">
        <f>COLUMN(CN25)</f>
        <v>92</v>
      </c>
      <c r="H50" s="12">
        <f>COLUMN(CO25)</f>
        <v>93</v>
      </c>
      <c r="I50" s="12"/>
      <c r="J50" s="12"/>
      <c r="K50" s="12"/>
      <c r="L50" s="13"/>
      <c r="N50" s="11">
        <v>1</v>
      </c>
      <c r="O50" s="13" t="s">
        <v>410</v>
      </c>
    </row>
    <row r="51" spans="1:15" x14ac:dyDescent="0.25">
      <c r="A51" s="11">
        <v>33</v>
      </c>
      <c r="B51" s="12" t="s">
        <v>309</v>
      </c>
      <c r="C51" s="19">
        <f>$X$28</f>
        <v>5124.25</v>
      </c>
      <c r="D51" s="15">
        <v>20</v>
      </c>
      <c r="E51" s="12">
        <f>COLUMN(V26)</f>
        <v>22</v>
      </c>
      <c r="F51" s="12">
        <f>COLUMN(W26)</f>
        <v>23</v>
      </c>
      <c r="G51" s="12">
        <f>COLUMN(X26)</f>
        <v>24</v>
      </c>
      <c r="H51" s="12">
        <f>COLUMN(Y26)</f>
        <v>25</v>
      </c>
      <c r="I51" s="12"/>
      <c r="J51" s="12"/>
      <c r="K51" s="12"/>
      <c r="L51" s="13"/>
      <c r="N51" s="11">
        <v>2</v>
      </c>
      <c r="O51" s="13" t="s">
        <v>411</v>
      </c>
    </row>
    <row r="52" spans="1:15" ht="15.75" thickBot="1" x14ac:dyDescent="0.3">
      <c r="A52" s="11">
        <v>34</v>
      </c>
      <c r="B52" s="12" t="s">
        <v>312</v>
      </c>
      <c r="C52" s="19">
        <f>$X$28</f>
        <v>5124.25</v>
      </c>
      <c r="D52" s="15">
        <f>D51+180</f>
        <v>200</v>
      </c>
      <c r="E52" s="12">
        <f>COLUMN(Z27)</f>
        <v>26</v>
      </c>
      <c r="F52" s="12">
        <f>COLUMN(AA27)</f>
        <v>27</v>
      </c>
      <c r="G52" s="12">
        <f>COLUMN(AB27)</f>
        <v>28</v>
      </c>
      <c r="H52" s="12">
        <f>COLUMN(AC27)</f>
        <v>29</v>
      </c>
      <c r="I52" s="12"/>
      <c r="J52" s="12"/>
      <c r="K52" s="12"/>
      <c r="L52" s="13"/>
      <c r="N52" s="16">
        <v>3</v>
      </c>
      <c r="O52" s="18" t="s">
        <v>412</v>
      </c>
    </row>
    <row r="53" spans="1:15" x14ac:dyDescent="0.25">
      <c r="A53" s="11">
        <v>35</v>
      </c>
      <c r="B53" s="12" t="s">
        <v>313</v>
      </c>
      <c r="C53" s="19">
        <f>$X$28</f>
        <v>5124.25</v>
      </c>
      <c r="D53" s="15">
        <f>D52+180</f>
        <v>380</v>
      </c>
      <c r="E53" s="12">
        <f>COLUMN(T28)</f>
        <v>20</v>
      </c>
      <c r="F53" s="12">
        <f>COLUMN(U28)</f>
        <v>21</v>
      </c>
      <c r="G53" s="12"/>
      <c r="H53" s="12"/>
      <c r="I53" s="12"/>
      <c r="J53" s="12"/>
      <c r="K53" s="12"/>
      <c r="L53" s="13"/>
    </row>
    <row r="54" spans="1:15" x14ac:dyDescent="0.25">
      <c r="A54" s="11">
        <v>36</v>
      </c>
      <c r="B54" s="12" t="s">
        <v>314</v>
      </c>
      <c r="C54" s="19">
        <f>$X$28</f>
        <v>5124.25</v>
      </c>
      <c r="D54" s="15">
        <f>D53+180</f>
        <v>560</v>
      </c>
      <c r="E54" s="12">
        <f>COLUMN(BN29)</f>
        <v>66</v>
      </c>
      <c r="F54" s="12">
        <f>COLUMN(BO29)</f>
        <v>67</v>
      </c>
      <c r="G54" s="12">
        <f>COLUMN(BP29)</f>
        <v>68</v>
      </c>
      <c r="H54" s="12">
        <f>COLUMN(BQ29)</f>
        <v>69</v>
      </c>
      <c r="I54" s="12">
        <f>COLUMN(CP29)</f>
        <v>94</v>
      </c>
      <c r="J54" s="12">
        <f>COLUMN(CQ29)</f>
        <v>95</v>
      </c>
      <c r="K54" s="12">
        <f>COLUMN(CR29)</f>
        <v>96</v>
      </c>
      <c r="L54" s="13">
        <f>COLUMN(CS29)</f>
        <v>97</v>
      </c>
    </row>
    <row r="55" spans="1:15" x14ac:dyDescent="0.25">
      <c r="A55" s="14">
        <v>37</v>
      </c>
      <c r="B55" s="50" t="s">
        <v>400</v>
      </c>
      <c r="C55" s="15">
        <f>$X$29</f>
        <v>5590</v>
      </c>
      <c r="D55" s="15">
        <v>20</v>
      </c>
      <c r="E55" s="12">
        <v>251</v>
      </c>
      <c r="F55" s="50">
        <v>252</v>
      </c>
      <c r="G55" s="12"/>
      <c r="H55" s="12"/>
      <c r="I55" s="12"/>
      <c r="J55" s="12"/>
      <c r="K55" s="12"/>
      <c r="L55" s="13"/>
    </row>
    <row r="56" spans="1:15" x14ac:dyDescent="0.25">
      <c r="A56" s="14">
        <v>38</v>
      </c>
      <c r="B56" s="50" t="s">
        <v>401</v>
      </c>
      <c r="C56" s="15">
        <f>$X$29</f>
        <v>5590</v>
      </c>
      <c r="D56" s="15">
        <f>D55+180</f>
        <v>200</v>
      </c>
      <c r="E56" s="12">
        <v>253</v>
      </c>
      <c r="F56" s="12">
        <v>254</v>
      </c>
      <c r="G56" s="12"/>
      <c r="H56" s="12"/>
      <c r="I56" s="12"/>
      <c r="J56" s="12"/>
      <c r="K56" s="12"/>
      <c r="L56" s="13"/>
    </row>
    <row r="57" spans="1:15" x14ac:dyDescent="0.25">
      <c r="A57" s="11">
        <v>39</v>
      </c>
      <c r="B57" s="46" t="s">
        <v>315</v>
      </c>
      <c r="C57" s="47">
        <f>$X$30</f>
        <v>6055.75</v>
      </c>
      <c r="D57" s="46">
        <v>20</v>
      </c>
      <c r="E57" s="46">
        <f>COLUMN(AV30)</f>
        <v>48</v>
      </c>
      <c r="F57" s="12">
        <f>COLUMN(AW30)</f>
        <v>49</v>
      </c>
      <c r="G57" s="12">
        <f>COLUMN(FS30)</f>
        <v>175</v>
      </c>
      <c r="H57" s="12">
        <f>COLUMN(FT30)</f>
        <v>176</v>
      </c>
      <c r="I57" s="12"/>
      <c r="J57" s="12"/>
      <c r="K57" s="12"/>
      <c r="L57" s="13"/>
    </row>
    <row r="58" spans="1:15" x14ac:dyDescent="0.25">
      <c r="A58" s="11">
        <v>40</v>
      </c>
      <c r="B58" s="46" t="s">
        <v>316</v>
      </c>
      <c r="C58" s="47">
        <f>$X$30</f>
        <v>6055.75</v>
      </c>
      <c r="D58" s="46">
        <f>D57+180</f>
        <v>200</v>
      </c>
      <c r="E58" s="46">
        <f>COLUMN(AT31)</f>
        <v>46</v>
      </c>
      <c r="F58" s="12">
        <f>COLUMN(FL31)</f>
        <v>168</v>
      </c>
      <c r="G58" s="12">
        <f>COLUMN(AU31)</f>
        <v>47</v>
      </c>
      <c r="H58" s="12">
        <f>COLUMN(EK31)</f>
        <v>141</v>
      </c>
      <c r="I58" s="12">
        <v>237</v>
      </c>
      <c r="J58" s="12">
        <v>237</v>
      </c>
      <c r="K58" s="12"/>
      <c r="L58" s="13"/>
    </row>
    <row r="59" spans="1:15" x14ac:dyDescent="0.25">
      <c r="A59" s="11">
        <v>41</v>
      </c>
      <c r="B59" s="46" t="s">
        <v>317</v>
      </c>
      <c r="C59" s="47">
        <f>$X$30</f>
        <v>6055.75</v>
      </c>
      <c r="D59" s="46">
        <f>D58+180</f>
        <v>380</v>
      </c>
      <c r="E59" s="46">
        <f>COLUMN(CU32)</f>
        <v>99</v>
      </c>
      <c r="F59" s="12">
        <f t="shared" ref="F59:L59" si="3">COLUMN(CV32)</f>
        <v>100</v>
      </c>
      <c r="G59" s="12">
        <f t="shared" si="3"/>
        <v>101</v>
      </c>
      <c r="H59" s="12">
        <f t="shared" si="3"/>
        <v>102</v>
      </c>
      <c r="I59" s="12">
        <f t="shared" si="3"/>
        <v>103</v>
      </c>
      <c r="J59" s="12">
        <f t="shared" si="3"/>
        <v>104</v>
      </c>
      <c r="K59" s="12">
        <f t="shared" si="3"/>
        <v>105</v>
      </c>
      <c r="L59" s="13">
        <f t="shared" si="3"/>
        <v>106</v>
      </c>
    </row>
    <row r="60" spans="1:15" x14ac:dyDescent="0.25">
      <c r="A60" s="11">
        <v>42</v>
      </c>
      <c r="B60" s="46" t="s">
        <v>318</v>
      </c>
      <c r="C60" s="47">
        <f>$X$30</f>
        <v>6055.75</v>
      </c>
      <c r="D60" s="46">
        <f>D59+180</f>
        <v>560</v>
      </c>
      <c r="E60" s="46">
        <f>COLUMN(AZ33)</f>
        <v>52</v>
      </c>
      <c r="F60" s="12">
        <f>COLUMN(FO33)</f>
        <v>171</v>
      </c>
      <c r="G60" s="12">
        <f>COLUMN(BA33)</f>
        <v>53</v>
      </c>
      <c r="H60" s="12">
        <f>COLUMN(BB33)</f>
        <v>54</v>
      </c>
      <c r="I60" s="12">
        <v>238</v>
      </c>
      <c r="J60" s="12">
        <v>239</v>
      </c>
      <c r="K60" s="12"/>
      <c r="L60" s="13"/>
    </row>
    <row r="61" spans="1:15" x14ac:dyDescent="0.25">
      <c r="A61" s="14">
        <v>43</v>
      </c>
      <c r="B61" s="15" t="s">
        <v>319</v>
      </c>
      <c r="C61" s="21">
        <f>$X$31</f>
        <v>6521.5</v>
      </c>
      <c r="D61" s="15">
        <v>20</v>
      </c>
      <c r="E61" s="12">
        <f>COLUMN(EL34)</f>
        <v>142</v>
      </c>
      <c r="F61" s="12">
        <f>COLUMN(EM34)</f>
        <v>143</v>
      </c>
      <c r="G61" s="12">
        <f>COLUMN(FM34)</f>
        <v>169</v>
      </c>
      <c r="H61" s="12">
        <f>COLUMN(FN34)</f>
        <v>170</v>
      </c>
      <c r="I61" s="12">
        <f>COLUMN(HV34)</f>
        <v>230</v>
      </c>
      <c r="J61" s="12"/>
      <c r="K61" s="12"/>
      <c r="L61" s="13"/>
    </row>
    <row r="62" spans="1:15" x14ac:dyDescent="0.25">
      <c r="A62" s="14">
        <v>44</v>
      </c>
      <c r="B62" s="15" t="s">
        <v>320</v>
      </c>
      <c r="C62" s="21">
        <f>$X$31</f>
        <v>6521.5</v>
      </c>
      <c r="D62" s="15">
        <f>D61+180</f>
        <v>200</v>
      </c>
      <c r="E62" s="12">
        <f>COLUMN(FG35)</f>
        <v>163</v>
      </c>
      <c r="F62" s="12">
        <f>COLUMN(FH35)</f>
        <v>164</v>
      </c>
      <c r="G62" s="12">
        <f>COLUMN(FI35)</f>
        <v>165</v>
      </c>
      <c r="H62" s="12">
        <f>COLUMN(FJ35)</f>
        <v>166</v>
      </c>
      <c r="I62" s="12">
        <v>246</v>
      </c>
      <c r="J62" s="12">
        <v>247</v>
      </c>
      <c r="K62" s="12"/>
      <c r="L62" s="13"/>
    </row>
    <row r="63" spans="1:15" x14ac:dyDescent="0.25">
      <c r="A63" s="14">
        <v>45</v>
      </c>
      <c r="B63" s="15" t="s">
        <v>321</v>
      </c>
      <c r="C63" s="21">
        <f>$X$31</f>
        <v>6521.5</v>
      </c>
      <c r="D63" s="15">
        <f>D62+180</f>
        <v>380</v>
      </c>
      <c r="E63" s="12">
        <f>COLUMN(FK36)</f>
        <v>167</v>
      </c>
      <c r="F63" s="12">
        <f>COLUMN(FP36)</f>
        <v>172</v>
      </c>
      <c r="G63" s="12">
        <f>COLUMN(FQ36)</f>
        <v>173</v>
      </c>
      <c r="H63" s="12">
        <f>COLUMN(FR36)</f>
        <v>174</v>
      </c>
      <c r="I63" s="12"/>
      <c r="J63" s="12"/>
      <c r="K63" s="12"/>
      <c r="L63" s="13"/>
    </row>
    <row r="64" spans="1:15" x14ac:dyDescent="0.25">
      <c r="A64" s="14">
        <v>46</v>
      </c>
      <c r="B64" s="15" t="s">
        <v>322</v>
      </c>
      <c r="C64" s="21">
        <f>$X$31</f>
        <v>6521.5</v>
      </c>
      <c r="D64" s="15">
        <f>D63+180</f>
        <v>560</v>
      </c>
      <c r="E64" s="12">
        <f>COLUMN(FU37)</f>
        <v>177</v>
      </c>
      <c r="F64" s="12">
        <f>COLUMN(GF37)</f>
        <v>188</v>
      </c>
      <c r="G64" s="12"/>
      <c r="H64" s="12"/>
      <c r="I64" s="12"/>
      <c r="J64" s="12"/>
      <c r="K64" s="12"/>
      <c r="L64" s="13"/>
    </row>
    <row r="65" spans="1:12" x14ac:dyDescent="0.25">
      <c r="A65" s="11">
        <v>47</v>
      </c>
      <c r="B65" s="46" t="s">
        <v>323</v>
      </c>
      <c r="C65" s="47">
        <f>$X$32</f>
        <v>6987.25</v>
      </c>
      <c r="D65" s="46">
        <v>20</v>
      </c>
      <c r="E65" s="12">
        <f>COLUMN(FV38)</f>
        <v>178</v>
      </c>
      <c r="F65" s="12">
        <f>COLUMN(FW38)</f>
        <v>179</v>
      </c>
      <c r="G65" s="12"/>
      <c r="H65" s="12"/>
      <c r="I65" s="12"/>
      <c r="J65" s="12"/>
      <c r="K65" s="12"/>
      <c r="L65" s="13"/>
    </row>
    <row r="66" spans="1:12" x14ac:dyDescent="0.25">
      <c r="A66" s="11">
        <v>48</v>
      </c>
      <c r="B66" s="46" t="s">
        <v>324</v>
      </c>
      <c r="C66" s="47">
        <f>$X$32</f>
        <v>6987.25</v>
      </c>
      <c r="D66" s="46">
        <f>D65+180</f>
        <v>200</v>
      </c>
      <c r="E66" s="12">
        <f>COLUMN(FX39)</f>
        <v>180</v>
      </c>
      <c r="F66" s="12">
        <f>COLUMN(FY39)</f>
        <v>181</v>
      </c>
      <c r="G66" s="12">
        <f>COLUMN(FZ39)</f>
        <v>182</v>
      </c>
      <c r="H66" s="12">
        <f>COLUMN(GA39)</f>
        <v>183</v>
      </c>
      <c r="I66" s="12"/>
      <c r="J66" s="12"/>
      <c r="K66" s="12"/>
      <c r="L66" s="13"/>
    </row>
    <row r="67" spans="1:12" x14ac:dyDescent="0.25">
      <c r="A67" s="11">
        <v>49</v>
      </c>
      <c r="B67" s="46" t="s">
        <v>325</v>
      </c>
      <c r="C67" s="47">
        <f>$X$32</f>
        <v>6987.25</v>
      </c>
      <c r="D67" s="46">
        <f>D66+180</f>
        <v>380</v>
      </c>
      <c r="E67" s="12">
        <f>COLUMN(GB40)</f>
        <v>184</v>
      </c>
      <c r="F67" s="12">
        <f>COLUMN(GC40)</f>
        <v>185</v>
      </c>
      <c r="G67" s="12">
        <f>COLUMN(GD40)</f>
        <v>186</v>
      </c>
      <c r="H67" s="12">
        <f>COLUMN(GE40)</f>
        <v>187</v>
      </c>
      <c r="I67" s="12"/>
      <c r="J67" s="12"/>
      <c r="K67" s="12"/>
      <c r="L67" s="13"/>
    </row>
    <row r="68" spans="1:12" x14ac:dyDescent="0.25">
      <c r="A68" s="11">
        <v>50</v>
      </c>
      <c r="B68" s="46" t="s">
        <v>405</v>
      </c>
      <c r="C68" s="47">
        <f>$X$32</f>
        <v>6987.25</v>
      </c>
      <c r="D68" s="46">
        <f>D67+180</f>
        <v>560</v>
      </c>
      <c r="E68" s="12">
        <f>COLUMN(GG41)</f>
        <v>189</v>
      </c>
      <c r="F68" s="12">
        <f>COLUMN(GH41)</f>
        <v>190</v>
      </c>
      <c r="G68" s="12">
        <f>COLUMN(GI41)</f>
        <v>191</v>
      </c>
      <c r="H68" s="12">
        <f>COLUMN(GJ41)</f>
        <v>192</v>
      </c>
      <c r="I68" s="12"/>
      <c r="J68" s="12"/>
      <c r="K68" s="12"/>
      <c r="L68" s="13"/>
    </row>
    <row r="69" spans="1:12" x14ac:dyDescent="0.25">
      <c r="A69" s="14">
        <v>51</v>
      </c>
      <c r="B69" s="15" t="s">
        <v>395</v>
      </c>
      <c r="C69" s="15">
        <f>$X$33</f>
        <v>7453</v>
      </c>
      <c r="D69" s="15">
        <v>20</v>
      </c>
      <c r="E69" s="46">
        <v>238</v>
      </c>
      <c r="F69" s="51">
        <v>239</v>
      </c>
      <c r="G69" s="51">
        <v>244</v>
      </c>
      <c r="H69" s="51">
        <v>245</v>
      </c>
      <c r="I69" s="51">
        <v>249</v>
      </c>
      <c r="J69" s="46"/>
      <c r="K69" s="46"/>
      <c r="L69" s="52"/>
    </row>
    <row r="70" spans="1:12" x14ac:dyDescent="0.25">
      <c r="A70" s="14">
        <v>52</v>
      </c>
      <c r="B70" s="15" t="s">
        <v>396</v>
      </c>
      <c r="C70" s="15">
        <f>$X$33</f>
        <v>7453</v>
      </c>
      <c r="D70" s="15">
        <f>D69+180</f>
        <v>200</v>
      </c>
      <c r="E70" s="46">
        <v>240</v>
      </c>
      <c r="F70" s="46">
        <v>241</v>
      </c>
      <c r="G70" s="46">
        <v>242</v>
      </c>
      <c r="H70" s="51">
        <v>243</v>
      </c>
      <c r="I70" s="51">
        <v>248</v>
      </c>
      <c r="J70" s="46"/>
      <c r="K70" s="46"/>
      <c r="L70" s="52"/>
    </row>
    <row r="71" spans="1:12" x14ac:dyDescent="0.25">
      <c r="A71" s="14">
        <v>53</v>
      </c>
      <c r="B71" s="50" t="s">
        <v>399</v>
      </c>
      <c r="C71" s="15">
        <f>$X$33</f>
        <v>7453</v>
      </c>
      <c r="D71" s="4">
        <v>380</v>
      </c>
      <c r="E71" s="53">
        <v>250</v>
      </c>
      <c r="F71" s="53"/>
      <c r="G71" s="53"/>
      <c r="H71" s="53"/>
      <c r="I71" s="53"/>
      <c r="J71" s="53"/>
      <c r="K71" s="53"/>
      <c r="L71" s="53"/>
    </row>
    <row r="72" spans="1:12" x14ac:dyDescent="0.25">
      <c r="A72" s="11">
        <v>54</v>
      </c>
      <c r="B72" s="46" t="s">
        <v>326</v>
      </c>
      <c r="C72" s="47">
        <f>$X$34</f>
        <v>7918.75</v>
      </c>
      <c r="D72" s="46">
        <v>20</v>
      </c>
      <c r="E72" s="12">
        <f>COLUMN(CG42)</f>
        <v>85</v>
      </c>
      <c r="F72" s="12">
        <f>COLUMN(CH42)</f>
        <v>86</v>
      </c>
      <c r="G72" s="12">
        <f>COLUMN(GK42)</f>
        <v>193</v>
      </c>
      <c r="H72" s="12">
        <f>COLUMN(GL42)</f>
        <v>194</v>
      </c>
      <c r="I72" s="12">
        <f>COLUMN(GM42)</f>
        <v>195</v>
      </c>
      <c r="J72" s="12"/>
      <c r="K72" s="12"/>
      <c r="L72" s="13"/>
    </row>
    <row r="73" spans="1:12" x14ac:dyDescent="0.25">
      <c r="A73" s="11">
        <v>55</v>
      </c>
      <c r="B73" s="46" t="s">
        <v>327</v>
      </c>
      <c r="C73" s="47">
        <f>$X$34</f>
        <v>7918.75</v>
      </c>
      <c r="D73" s="46">
        <f>D72+180</f>
        <v>200</v>
      </c>
      <c r="E73" s="12">
        <f>COLUMN(GN43)</f>
        <v>196</v>
      </c>
      <c r="F73" s="12"/>
      <c r="G73" s="12"/>
      <c r="H73" s="12"/>
      <c r="I73" s="12"/>
      <c r="J73" s="12"/>
      <c r="K73" s="12"/>
      <c r="L73" s="13"/>
    </row>
    <row r="74" spans="1:12" x14ac:dyDescent="0.25">
      <c r="A74" s="11">
        <v>56</v>
      </c>
      <c r="B74" s="46" t="s">
        <v>328</v>
      </c>
      <c r="C74" s="47">
        <f>$X$34</f>
        <v>7918.75</v>
      </c>
      <c r="D74" s="46">
        <f>D73+180</f>
        <v>380</v>
      </c>
      <c r="E74" s="12">
        <f>COLUMN(CT44)</f>
        <v>98</v>
      </c>
      <c r="F74" s="12"/>
      <c r="G74" s="12"/>
      <c r="H74" s="12"/>
      <c r="I74" s="12"/>
      <c r="J74" s="12"/>
      <c r="K74" s="12"/>
      <c r="L74" s="13"/>
    </row>
    <row r="75" spans="1:12" x14ac:dyDescent="0.25">
      <c r="A75" s="11">
        <v>57</v>
      </c>
      <c r="B75" s="46" t="s">
        <v>329</v>
      </c>
      <c r="C75" s="47">
        <f>$X$34</f>
        <v>7918.75</v>
      </c>
      <c r="D75" s="46">
        <f>D74+180</f>
        <v>560</v>
      </c>
      <c r="E75" s="12">
        <f>COLUMN(ER45)</f>
        <v>148</v>
      </c>
      <c r="F75" s="12">
        <f>COLUMN(EQ45)</f>
        <v>147</v>
      </c>
      <c r="G75" s="12">
        <f>COLUMN(EP45)</f>
        <v>146</v>
      </c>
      <c r="H75" s="12">
        <f>COLUMN(GO45)</f>
        <v>197</v>
      </c>
      <c r="I75" s="12"/>
      <c r="J75" s="12"/>
      <c r="K75" s="12"/>
      <c r="L75" s="13"/>
    </row>
    <row r="76" spans="1:12" x14ac:dyDescent="0.25">
      <c r="A76" s="14">
        <v>58</v>
      </c>
      <c r="B76" s="15" t="s">
        <v>331</v>
      </c>
      <c r="C76" s="21">
        <f>$X$35</f>
        <v>8384.5</v>
      </c>
      <c r="D76" s="15">
        <v>20</v>
      </c>
      <c r="E76" s="12">
        <f>COLUMN(GQ46)</f>
        <v>199</v>
      </c>
      <c r="F76" s="12">
        <f>COLUMN(ES46)</f>
        <v>149</v>
      </c>
      <c r="G76" s="12">
        <f>COLUMN(GP46)</f>
        <v>198</v>
      </c>
      <c r="H76" s="12"/>
      <c r="I76" s="12"/>
      <c r="J76" s="12"/>
      <c r="K76" s="12"/>
      <c r="L76" s="13"/>
    </row>
    <row r="77" spans="1:12" x14ac:dyDescent="0.25">
      <c r="A77" s="14">
        <v>59</v>
      </c>
      <c r="B77" s="15" t="s">
        <v>332</v>
      </c>
      <c r="C77" s="21">
        <f t="shared" ref="C77:C79" si="4">$X$35</f>
        <v>8384.5</v>
      </c>
      <c r="D77" s="15">
        <f>D76+180</f>
        <v>200</v>
      </c>
      <c r="E77" s="12">
        <f>COLUMN(GS47)</f>
        <v>201</v>
      </c>
      <c r="F77" s="12">
        <f>COLUMN(ET47)</f>
        <v>150</v>
      </c>
      <c r="G77" s="12">
        <f>COLUMN(GR47)</f>
        <v>200</v>
      </c>
      <c r="H77" s="12"/>
      <c r="I77" s="12"/>
      <c r="J77" s="12"/>
      <c r="K77" s="12"/>
      <c r="L77" s="13"/>
    </row>
    <row r="78" spans="1:12" x14ac:dyDescent="0.25">
      <c r="A78" s="14">
        <v>60</v>
      </c>
      <c r="B78" s="15" t="s">
        <v>333</v>
      </c>
      <c r="C78" s="21">
        <f t="shared" si="4"/>
        <v>8384.5</v>
      </c>
      <c r="D78" s="15">
        <f>D77+180</f>
        <v>380</v>
      </c>
      <c r="E78" s="12">
        <f>COLUMN(GU48)</f>
        <v>203</v>
      </c>
      <c r="F78" s="12">
        <f>COLUMN(EU48)</f>
        <v>151</v>
      </c>
      <c r="G78" s="12">
        <f>COLUMN(GT48)</f>
        <v>202</v>
      </c>
      <c r="H78" s="12"/>
      <c r="I78" s="12"/>
      <c r="J78" s="12"/>
      <c r="K78" s="12"/>
      <c r="L78" s="13"/>
    </row>
    <row r="79" spans="1:12" x14ac:dyDescent="0.25">
      <c r="A79" s="14">
        <v>61</v>
      </c>
      <c r="B79" s="15" t="s">
        <v>330</v>
      </c>
      <c r="C79" s="21">
        <f t="shared" si="4"/>
        <v>8384.5</v>
      </c>
      <c r="D79" s="15">
        <f>D78+180</f>
        <v>560</v>
      </c>
      <c r="E79" s="12">
        <f t="shared" ref="E79:J79" si="5">COLUMN(GV49)</f>
        <v>204</v>
      </c>
      <c r="F79" s="12">
        <f t="shared" si="5"/>
        <v>205</v>
      </c>
      <c r="G79" s="12">
        <f t="shared" si="5"/>
        <v>206</v>
      </c>
      <c r="H79" s="12">
        <f t="shared" si="5"/>
        <v>207</v>
      </c>
      <c r="I79" s="12">
        <f t="shared" si="5"/>
        <v>208</v>
      </c>
      <c r="J79" s="12">
        <f t="shared" si="5"/>
        <v>209</v>
      </c>
      <c r="K79" s="12"/>
      <c r="L79" s="13"/>
    </row>
    <row r="80" spans="1:12" x14ac:dyDescent="0.25">
      <c r="A80" s="11">
        <v>62</v>
      </c>
      <c r="B80" s="46" t="s">
        <v>334</v>
      </c>
      <c r="C80" s="54">
        <f>$X$36</f>
        <v>8850.25</v>
      </c>
      <c r="D80" s="53">
        <v>20</v>
      </c>
      <c r="E80" s="12">
        <f>COLUMN(BS1)</f>
        <v>71</v>
      </c>
      <c r="F80" s="12">
        <f>COLUMN(EJ1)</f>
        <v>140</v>
      </c>
      <c r="G80" s="12">
        <f>COLUMN(FB1)</f>
        <v>158</v>
      </c>
      <c r="H80" s="12"/>
      <c r="I80" s="12"/>
      <c r="J80" s="12"/>
      <c r="K80" s="12"/>
      <c r="L80" s="13"/>
    </row>
    <row r="81" spans="1:12" x14ac:dyDescent="0.25">
      <c r="A81" s="11">
        <v>63</v>
      </c>
      <c r="B81" s="46" t="s">
        <v>335</v>
      </c>
      <c r="C81" s="54">
        <f t="shared" ref="C81:C83" si="6">$X$36</f>
        <v>8850.25</v>
      </c>
      <c r="D81" s="46">
        <f>D80+180</f>
        <v>200</v>
      </c>
      <c r="E81" s="12">
        <f>COLUMN(HB51)</f>
        <v>210</v>
      </c>
      <c r="F81" s="12">
        <f>COLUMN(HC51)</f>
        <v>211</v>
      </c>
      <c r="G81" s="12">
        <f>COLUMN(HD51)</f>
        <v>212</v>
      </c>
      <c r="H81" s="12"/>
      <c r="I81" s="12"/>
      <c r="J81" s="12"/>
      <c r="K81" s="12"/>
      <c r="L81" s="13"/>
    </row>
    <row r="82" spans="1:12" x14ac:dyDescent="0.25">
      <c r="A82" s="11">
        <v>64</v>
      </c>
      <c r="B82" s="46" t="s">
        <v>336</v>
      </c>
      <c r="C82" s="54">
        <f t="shared" si="6"/>
        <v>8850.25</v>
      </c>
      <c r="D82" s="46">
        <f>D81+180</f>
        <v>380</v>
      </c>
      <c r="E82" s="12">
        <f t="shared" ref="E82:K82" si="7">COLUMN(HE52)</f>
        <v>213</v>
      </c>
      <c r="F82" s="12">
        <f t="shared" si="7"/>
        <v>214</v>
      </c>
      <c r="G82" s="12">
        <f t="shared" si="7"/>
        <v>215</v>
      </c>
      <c r="H82" s="12">
        <f t="shared" si="7"/>
        <v>216</v>
      </c>
      <c r="I82" s="12">
        <f t="shared" si="7"/>
        <v>217</v>
      </c>
      <c r="J82" s="12">
        <f t="shared" si="7"/>
        <v>218</v>
      </c>
      <c r="K82" s="12">
        <f t="shared" si="7"/>
        <v>219</v>
      </c>
      <c r="L82" s="13"/>
    </row>
    <row r="83" spans="1:12" ht="15.75" thickBot="1" x14ac:dyDescent="0.3">
      <c r="A83" s="11">
        <v>65</v>
      </c>
      <c r="B83" s="55" t="s">
        <v>337</v>
      </c>
      <c r="C83" s="54">
        <f t="shared" si="6"/>
        <v>8850.25</v>
      </c>
      <c r="D83" s="46">
        <f>D82+180</f>
        <v>560</v>
      </c>
      <c r="E83" s="17">
        <f t="shared" ref="E83:L83" si="8">COLUMN(HL53)</f>
        <v>220</v>
      </c>
      <c r="F83" s="17">
        <f t="shared" si="8"/>
        <v>221</v>
      </c>
      <c r="G83" s="17">
        <f t="shared" si="8"/>
        <v>222</v>
      </c>
      <c r="H83" s="17">
        <f t="shared" si="8"/>
        <v>223</v>
      </c>
      <c r="I83" s="17">
        <f t="shared" si="8"/>
        <v>224</v>
      </c>
      <c r="J83" s="17">
        <f t="shared" si="8"/>
        <v>225</v>
      </c>
      <c r="K83" s="17">
        <f t="shared" si="8"/>
        <v>226</v>
      </c>
      <c r="L83" s="18">
        <f t="shared" si="8"/>
        <v>227</v>
      </c>
    </row>
    <row r="84" spans="1:12" x14ac:dyDescent="0.25">
      <c r="A84" s="14">
        <v>66</v>
      </c>
      <c r="B84" s="4" t="s">
        <v>338</v>
      </c>
      <c r="C84" s="4">
        <f>$X$37</f>
        <v>9316</v>
      </c>
      <c r="D84" s="4">
        <v>20</v>
      </c>
      <c r="E84">
        <f>COLUMN(HT54)</f>
        <v>228</v>
      </c>
      <c r="F84">
        <f>COLUMN(HU54)</f>
        <v>229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view="pageLayout" topLeftCell="FF1" zoomScale="70" zoomScaleNormal="50" zoomScaleSheetLayoutView="90" zoomScalePageLayoutView="70" workbookViewId="0">
      <selection activeCell="M49" sqref="M49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LMH&amp;CKsiKpi_Track report&amp;R&amp;G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T147"/>
  <sheetViews>
    <sheetView zoomScale="70" zoomScaleNormal="70" workbookViewId="0">
      <pane xSplit="1" topLeftCell="HJ1" activePane="topRight" state="frozen"/>
      <selection pane="topRight" activeCell="HL50" sqref="HL50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11" max="211" width="25.140625" customWidth="1"/>
    <col min="212" max="212" width="18" customWidth="1"/>
    <col min="231" max="231" width="13.28515625" customWidth="1"/>
    <col min="232" max="232" width="14" customWidth="1"/>
  </cols>
  <sheetData>
    <row r="2" spans="1:254" x14ac:dyDescent="0.25">
      <c r="B2" s="4" t="s">
        <v>46</v>
      </c>
      <c r="C2">
        <f>MAX(C8:C108)</f>
        <v>0</v>
      </c>
      <c r="D2" s="5">
        <f>MAX(D8:D108)*3600*24</f>
        <v>495.36</v>
      </c>
      <c r="E2">
        <f t="shared" ref="E2:BP2" si="0">MAX(E8:E108)</f>
        <v>495.36200000000002</v>
      </c>
      <c r="F2">
        <f t="shared" si="0"/>
        <v>334.35</v>
      </c>
      <c r="G2">
        <f t="shared" si="0"/>
        <v>6.09</v>
      </c>
      <c r="H2">
        <f t="shared" si="0"/>
        <v>26.1</v>
      </c>
      <c r="I2">
        <f t="shared" si="0"/>
        <v>0.42</v>
      </c>
      <c r="J2">
        <f t="shared" si="0"/>
        <v>153.4</v>
      </c>
      <c r="K2">
        <f t="shared" si="0"/>
        <v>7</v>
      </c>
      <c r="L2">
        <f t="shared" si="0"/>
        <v>6</v>
      </c>
      <c r="M2">
        <f t="shared" si="0"/>
        <v>7</v>
      </c>
      <c r="N2">
        <f t="shared" si="0"/>
        <v>3</v>
      </c>
      <c r="O2">
        <f t="shared" si="0"/>
        <v>3</v>
      </c>
      <c r="P2">
        <f t="shared" si="0"/>
        <v>1.046</v>
      </c>
      <c r="Q2">
        <f t="shared" si="0"/>
        <v>1.605</v>
      </c>
      <c r="R2">
        <f t="shared" si="0"/>
        <v>1.069</v>
      </c>
      <c r="S2">
        <f t="shared" si="0"/>
        <v>0.82299999999999995</v>
      </c>
      <c r="T2">
        <f t="shared" si="0"/>
        <v>91.27</v>
      </c>
      <c r="U2">
        <f t="shared" si="0"/>
        <v>61.497999999999998</v>
      </c>
      <c r="V2">
        <f t="shared" si="0"/>
        <v>250</v>
      </c>
      <c r="W2">
        <f t="shared" si="0"/>
        <v>278.33999999999997</v>
      </c>
      <c r="X2">
        <f t="shared" si="0"/>
        <v>187.5</v>
      </c>
      <c r="Y2">
        <f t="shared" si="0"/>
        <v>230</v>
      </c>
      <c r="Z2">
        <f t="shared" si="0"/>
        <v>384.97</v>
      </c>
      <c r="AA2">
        <f t="shared" si="0"/>
        <v>409.94</v>
      </c>
      <c r="AB2">
        <f t="shared" si="0"/>
        <v>312.33999999999997</v>
      </c>
      <c r="AC2">
        <f t="shared" si="0"/>
        <v>381.34</v>
      </c>
      <c r="AD2">
        <f t="shared" si="0"/>
        <v>1.9810000000000001</v>
      </c>
      <c r="AE2">
        <f t="shared" si="0"/>
        <v>2.085</v>
      </c>
      <c r="AF2">
        <f t="shared" si="0"/>
        <v>1.992</v>
      </c>
      <c r="AG2">
        <f t="shared" si="0"/>
        <v>2.0659999999999998</v>
      </c>
      <c r="AH2">
        <f t="shared" si="0"/>
        <v>81.040000000000006</v>
      </c>
      <c r="AI2">
        <f t="shared" si="0"/>
        <v>73.56</v>
      </c>
      <c r="AJ2">
        <f t="shared" si="0"/>
        <v>110.17</v>
      </c>
      <c r="AK2">
        <f t="shared" si="0"/>
        <v>111.08</v>
      </c>
      <c r="AL2">
        <f t="shared" si="0"/>
        <v>758.51599999999996</v>
      </c>
      <c r="AM2">
        <f t="shared" si="0"/>
        <v>715.86699999999996</v>
      </c>
      <c r="AN2">
        <f t="shared" si="0"/>
        <v>973.57799999999997</v>
      </c>
      <c r="AO2">
        <f t="shared" si="0"/>
        <v>912.87699999999995</v>
      </c>
      <c r="AP2">
        <f t="shared" si="0"/>
        <v>1.4430000000000001</v>
      </c>
      <c r="AQ2">
        <f t="shared" si="0"/>
        <v>1.9139999999999999</v>
      </c>
      <c r="AR2">
        <f t="shared" si="0"/>
        <v>44.564</v>
      </c>
      <c r="AS2">
        <f t="shared" si="0"/>
        <v>40.921999999999997</v>
      </c>
      <c r="AT2">
        <f t="shared" si="0"/>
        <v>85</v>
      </c>
      <c r="AU2">
        <f t="shared" si="0"/>
        <v>122</v>
      </c>
      <c r="AV2">
        <f t="shared" si="0"/>
        <v>2.3290000000000002</v>
      </c>
      <c r="AW2">
        <f t="shared" si="0"/>
        <v>5.0046999999999997</v>
      </c>
      <c r="AX2">
        <f t="shared" si="0"/>
        <v>1020.4</v>
      </c>
      <c r="AY2">
        <f t="shared" si="0"/>
        <v>2.95</v>
      </c>
      <c r="AZ2">
        <f t="shared" si="0"/>
        <v>5.73</v>
      </c>
      <c r="BA2">
        <f t="shared" si="0"/>
        <v>139.70599999999999</v>
      </c>
      <c r="BB2">
        <f t="shared" si="0"/>
        <v>137.63900000000001</v>
      </c>
      <c r="BC2">
        <f t="shared" si="0"/>
        <v>8250</v>
      </c>
      <c r="BD2">
        <f t="shared" si="0"/>
        <v>90</v>
      </c>
      <c r="BE2">
        <f t="shared" si="0"/>
        <v>17.77</v>
      </c>
      <c r="BF2">
        <f t="shared" si="0"/>
        <v>15.705</v>
      </c>
      <c r="BG2">
        <f t="shared" si="0"/>
        <v>31.25</v>
      </c>
      <c r="BH2">
        <f t="shared" si="0"/>
        <v>32.049999999999997</v>
      </c>
      <c r="BI2">
        <f t="shared" si="0"/>
        <v>66.22</v>
      </c>
      <c r="BJ2">
        <f t="shared" si="0"/>
        <v>82.475999999999999</v>
      </c>
      <c r="BK2">
        <f t="shared" si="0"/>
        <v>64.751000000000005</v>
      </c>
      <c r="BL2">
        <f t="shared" si="0"/>
        <v>79.593999999999994</v>
      </c>
      <c r="BM2">
        <f t="shared" si="0"/>
        <v>80.039000000000001</v>
      </c>
      <c r="BN2">
        <f t="shared" si="0"/>
        <v>133.672</v>
      </c>
      <c r="BO2">
        <f t="shared" si="0"/>
        <v>139.68799999999999</v>
      </c>
      <c r="BP2">
        <f t="shared" si="0"/>
        <v>148.52000000000001</v>
      </c>
      <c r="BQ2">
        <f t="shared" ref="BQ2:EB2" si="1">MAX(BQ8:BQ108)</f>
        <v>148.71199999999999</v>
      </c>
      <c r="BR2">
        <f t="shared" si="1"/>
        <v>60.253999999999998</v>
      </c>
      <c r="BS2">
        <f t="shared" si="1"/>
        <v>25.9</v>
      </c>
      <c r="BT2">
        <f t="shared" si="1"/>
        <v>7487.8540000000003</v>
      </c>
      <c r="BU2">
        <f t="shared" si="1"/>
        <v>54.411000000000001</v>
      </c>
      <c r="BV2">
        <f t="shared" si="1"/>
        <v>55.414999999999999</v>
      </c>
      <c r="BW2">
        <f t="shared" si="1"/>
        <v>55.774000000000001</v>
      </c>
      <c r="BX2">
        <f t="shared" si="1"/>
        <v>57.28</v>
      </c>
      <c r="BY2">
        <f t="shared" si="1"/>
        <v>1.762</v>
      </c>
      <c r="BZ2">
        <f t="shared" si="1"/>
        <v>3.6640000000000001</v>
      </c>
      <c r="CA2">
        <f t="shared" si="1"/>
        <v>4.1760000000000002</v>
      </c>
      <c r="CB2">
        <f t="shared" si="1"/>
        <v>4.1769999999999996</v>
      </c>
      <c r="CC2">
        <f t="shared" si="1"/>
        <v>1.3380000000000001</v>
      </c>
      <c r="CD2">
        <f t="shared" si="1"/>
        <v>2.5550000000000002</v>
      </c>
      <c r="CE2">
        <f t="shared" si="1"/>
        <v>1.4470000000000001</v>
      </c>
      <c r="CF2">
        <f t="shared" si="1"/>
        <v>2.25</v>
      </c>
      <c r="CG2">
        <f t="shared" si="1"/>
        <v>13.798999999999999</v>
      </c>
      <c r="CH2">
        <f t="shared" si="1"/>
        <v>13.624000000000001</v>
      </c>
      <c r="CI2">
        <f t="shared" si="1"/>
        <v>5.6680000000000001</v>
      </c>
      <c r="CJ2">
        <f t="shared" si="1"/>
        <v>4.01</v>
      </c>
      <c r="CK2">
        <f t="shared" si="1"/>
        <v>1.73</v>
      </c>
      <c r="CL2">
        <f t="shared" si="1"/>
        <v>0.5</v>
      </c>
      <c r="CM2">
        <f t="shared" si="1"/>
        <v>3.2</v>
      </c>
      <c r="CN2">
        <f t="shared" si="1"/>
        <v>0.1</v>
      </c>
      <c r="CO2">
        <f t="shared" si="1"/>
        <v>0.1</v>
      </c>
      <c r="CP2">
        <f t="shared" si="1"/>
        <v>109.23399999999999</v>
      </c>
      <c r="CQ2">
        <f t="shared" si="1"/>
        <v>112.61799999999999</v>
      </c>
      <c r="CR2">
        <f t="shared" si="1"/>
        <v>124.80800000000001</v>
      </c>
      <c r="CS2">
        <f t="shared" si="1"/>
        <v>127.776</v>
      </c>
      <c r="CT2">
        <f t="shared" si="1"/>
        <v>0.61099999999999999</v>
      </c>
      <c r="CU2">
        <f t="shared" si="1"/>
        <v>1.7010000000000001</v>
      </c>
      <c r="CV2">
        <f t="shared" si="1"/>
        <v>2.101</v>
      </c>
      <c r="CW2">
        <f t="shared" si="1"/>
        <v>2.8010000000000002</v>
      </c>
      <c r="CX2">
        <f t="shared" si="1"/>
        <v>2.194</v>
      </c>
      <c r="CY2">
        <f t="shared" si="1"/>
        <v>1.5980000000000001</v>
      </c>
      <c r="CZ2">
        <f t="shared" si="1"/>
        <v>2.198</v>
      </c>
      <c r="DA2">
        <f t="shared" si="1"/>
        <v>1.5</v>
      </c>
      <c r="DB2">
        <f t="shared" si="1"/>
        <v>2.496</v>
      </c>
      <c r="DC2">
        <f t="shared" si="1"/>
        <v>8.0000000000000002E-3</v>
      </c>
      <c r="DD2">
        <f t="shared" si="1"/>
        <v>0</v>
      </c>
      <c r="DE2">
        <f t="shared" si="1"/>
        <v>0.34100000000000003</v>
      </c>
      <c r="DF2">
        <f t="shared" si="1"/>
        <v>0.18099999999999999</v>
      </c>
      <c r="DG2">
        <f t="shared" si="1"/>
        <v>1.0469999999999999</v>
      </c>
      <c r="DH2">
        <f t="shared" si="1"/>
        <v>2.4630000000000001</v>
      </c>
      <c r="DI2">
        <f t="shared" si="1"/>
        <v>1.357</v>
      </c>
      <c r="DJ2">
        <f t="shared" si="1"/>
        <v>0.41099999999999998</v>
      </c>
      <c r="DK2">
        <f t="shared" si="1"/>
        <v>1.288</v>
      </c>
      <c r="DL2">
        <f t="shared" si="1"/>
        <v>0.41799999999999998</v>
      </c>
      <c r="DM2">
        <f t="shared" si="1"/>
        <v>0.95899999999999996</v>
      </c>
      <c r="DN2">
        <f t="shared" si="1"/>
        <v>0.92900000000000005</v>
      </c>
      <c r="DO2">
        <f t="shared" si="1"/>
        <v>0.90500000000000003</v>
      </c>
      <c r="DP2">
        <f t="shared" si="1"/>
        <v>68.653000000000006</v>
      </c>
      <c r="DQ2">
        <f t="shared" si="1"/>
        <v>62.767000000000003</v>
      </c>
      <c r="DR2">
        <f t="shared" si="1"/>
        <v>55.527000000000001</v>
      </c>
      <c r="DS2">
        <f t="shared" si="1"/>
        <v>53.454000000000001</v>
      </c>
      <c r="DT2">
        <f t="shared" si="1"/>
        <v>7.27</v>
      </c>
      <c r="DU2">
        <f t="shared" si="1"/>
        <v>7.48</v>
      </c>
      <c r="DV2">
        <f t="shared" si="1"/>
        <v>13.18</v>
      </c>
      <c r="DW2">
        <f t="shared" si="1"/>
        <v>10.39</v>
      </c>
      <c r="DX2">
        <f t="shared" si="1"/>
        <v>7.6</v>
      </c>
      <c r="DY2">
        <f t="shared" si="1"/>
        <v>7.87</v>
      </c>
      <c r="DZ2">
        <f t="shared" si="1"/>
        <v>12.82</v>
      </c>
      <c r="EA2">
        <f t="shared" si="1"/>
        <v>10.01</v>
      </c>
      <c r="EB2">
        <f t="shared" si="1"/>
        <v>42.73</v>
      </c>
      <c r="EC2">
        <f t="shared" ref="EC2:GN2" si="2">MAX(EC8:EC108)</f>
        <v>42.95</v>
      </c>
      <c r="ED2">
        <f t="shared" si="2"/>
        <v>36.17</v>
      </c>
      <c r="EE2">
        <f t="shared" si="2"/>
        <v>38.75</v>
      </c>
      <c r="EF2">
        <f t="shared" si="2"/>
        <v>66.06</v>
      </c>
      <c r="EG2">
        <f t="shared" si="2"/>
        <v>66.819999999999993</v>
      </c>
      <c r="EH2">
        <f t="shared" si="2"/>
        <v>65.58</v>
      </c>
      <c r="EI2">
        <f t="shared" si="2"/>
        <v>65.66</v>
      </c>
      <c r="EJ2">
        <f t="shared" si="2"/>
        <v>8.2680000000000007</v>
      </c>
      <c r="EK2">
        <f t="shared" si="2"/>
        <v>62.978000000000002</v>
      </c>
      <c r="EL2">
        <f t="shared" si="2"/>
        <v>2.75</v>
      </c>
      <c r="EM2">
        <f t="shared" si="2"/>
        <v>2</v>
      </c>
      <c r="EN2">
        <f t="shared" si="2"/>
        <v>1.62</v>
      </c>
      <c r="EO2">
        <f t="shared" si="2"/>
        <v>1.6</v>
      </c>
      <c r="EP2">
        <f t="shared" si="2"/>
        <v>-86.95</v>
      </c>
      <c r="EQ2">
        <f t="shared" si="2"/>
        <v>-0.56699999999999995</v>
      </c>
      <c r="ER2">
        <f t="shared" si="2"/>
        <v>115.69799999999999</v>
      </c>
      <c r="ES2">
        <f t="shared" si="2"/>
        <v>1.5409999999999999</v>
      </c>
      <c r="ET2">
        <f t="shared" si="2"/>
        <v>1.633</v>
      </c>
      <c r="EU2">
        <f t="shared" si="2"/>
        <v>1.512</v>
      </c>
      <c r="EV2">
        <f t="shared" si="2"/>
        <v>7.9749999999999996</v>
      </c>
      <c r="EW2">
        <f t="shared" si="2"/>
        <v>3.6539999999999999</v>
      </c>
      <c r="EX2">
        <f t="shared" si="2"/>
        <v>75.239999999999995</v>
      </c>
      <c r="EY2">
        <f t="shared" si="2"/>
        <v>0.98</v>
      </c>
      <c r="EZ2">
        <f t="shared" si="2"/>
        <v>187.66499999999999</v>
      </c>
      <c r="FA2">
        <f t="shared" si="2"/>
        <v>0</v>
      </c>
      <c r="FB2">
        <f t="shared" si="2"/>
        <v>9.3249999999999993</v>
      </c>
      <c r="FC2">
        <f t="shared" si="2"/>
        <v>86.897000000000006</v>
      </c>
      <c r="FD2">
        <f t="shared" si="2"/>
        <v>86.981999999999999</v>
      </c>
      <c r="FE2">
        <f t="shared" si="2"/>
        <v>85.97</v>
      </c>
      <c r="FF2">
        <f t="shared" si="2"/>
        <v>83.757000000000005</v>
      </c>
      <c r="FG2">
        <f t="shared" si="2"/>
        <v>1.133</v>
      </c>
      <c r="FH2">
        <f t="shared" si="2"/>
        <v>1.1240000000000001</v>
      </c>
      <c r="FI2">
        <f t="shared" si="2"/>
        <v>1.0209999999999999</v>
      </c>
      <c r="FJ2">
        <f t="shared" si="2"/>
        <v>1.022</v>
      </c>
      <c r="FK2">
        <f t="shared" si="2"/>
        <v>0.30299999999999999</v>
      </c>
      <c r="FL2">
        <f t="shared" si="2"/>
        <v>86</v>
      </c>
      <c r="FM2">
        <f t="shared" si="2"/>
        <v>3.99</v>
      </c>
      <c r="FN2">
        <f t="shared" si="2"/>
        <v>2.58</v>
      </c>
      <c r="FO2">
        <f t="shared" si="2"/>
        <v>5.52</v>
      </c>
      <c r="FP2">
        <f t="shared" si="2"/>
        <v>4.5999999999999996</v>
      </c>
      <c r="FQ2">
        <f t="shared" si="2"/>
        <v>4.95</v>
      </c>
      <c r="FR2">
        <f t="shared" si="2"/>
        <v>5.2</v>
      </c>
      <c r="FS2">
        <f t="shared" si="2"/>
        <v>6.7220000000000004</v>
      </c>
      <c r="FT2">
        <f t="shared" si="2"/>
        <v>1083</v>
      </c>
      <c r="FU2">
        <f t="shared" si="2"/>
        <v>6.53</v>
      </c>
      <c r="FV2">
        <f t="shared" si="2"/>
        <v>63.09</v>
      </c>
      <c r="FW2">
        <f t="shared" si="2"/>
        <v>3213.5</v>
      </c>
      <c r="FX2">
        <f t="shared" si="2"/>
        <v>170200</v>
      </c>
      <c r="FY2">
        <f t="shared" si="2"/>
        <v>171000</v>
      </c>
      <c r="FZ2">
        <f t="shared" si="2"/>
        <v>47.970999999999997</v>
      </c>
      <c r="GA2">
        <f t="shared" si="2"/>
        <v>48.534999999999997</v>
      </c>
      <c r="GB2">
        <f t="shared" si="2"/>
        <v>2301.1</v>
      </c>
      <c r="GC2">
        <f t="shared" si="2"/>
        <v>2427.1</v>
      </c>
      <c r="GD2">
        <f t="shared" si="2"/>
        <v>2404.5</v>
      </c>
      <c r="GE2">
        <f t="shared" si="2"/>
        <v>2428.8000000000002</v>
      </c>
      <c r="GF2">
        <f t="shared" si="2"/>
        <v>1658.1719000000001</v>
      </c>
      <c r="GG2">
        <f t="shared" si="2"/>
        <v>36</v>
      </c>
      <c r="GH2">
        <f t="shared" si="2"/>
        <v>35.6</v>
      </c>
      <c r="GI2">
        <f t="shared" si="2"/>
        <v>63</v>
      </c>
      <c r="GJ2">
        <f t="shared" si="2"/>
        <v>68.099999999999994</v>
      </c>
      <c r="GK2">
        <f t="shared" si="2"/>
        <v>99.5</v>
      </c>
      <c r="GL2">
        <f t="shared" si="2"/>
        <v>114.4</v>
      </c>
      <c r="GM2">
        <f t="shared" si="2"/>
        <v>0</v>
      </c>
      <c r="GN2">
        <f t="shared" si="2"/>
        <v>27.2</v>
      </c>
      <c r="GO2">
        <f t="shared" ref="GO2:IA2" si="3">MAX(GO8:GO108)</f>
        <v>133.96199999999999</v>
      </c>
      <c r="GP2">
        <f t="shared" si="3"/>
        <v>1.0029999999999999</v>
      </c>
      <c r="GQ2">
        <f t="shared" si="3"/>
        <v>5.9</v>
      </c>
      <c r="GR2">
        <f t="shared" si="3"/>
        <v>1.298</v>
      </c>
      <c r="GS2">
        <f t="shared" si="3"/>
        <v>5.2510000000000003</v>
      </c>
      <c r="GT2">
        <f t="shared" si="3"/>
        <v>1.0029999999999999</v>
      </c>
      <c r="GU2">
        <f t="shared" si="3"/>
        <v>6.1360000000000001</v>
      </c>
      <c r="GV2">
        <f t="shared" si="3"/>
        <v>12.74</v>
      </c>
      <c r="GW2">
        <f t="shared" si="3"/>
        <v>13.865</v>
      </c>
      <c r="GX2">
        <f t="shared" si="3"/>
        <v>21.56</v>
      </c>
      <c r="GY2">
        <f t="shared" si="3"/>
        <v>12.25</v>
      </c>
      <c r="GZ2">
        <f t="shared" si="3"/>
        <v>13.949</v>
      </c>
      <c r="HA2">
        <f t="shared" si="3"/>
        <v>24.99</v>
      </c>
      <c r="HB2">
        <f t="shared" si="3"/>
        <v>1</v>
      </c>
      <c r="HC2">
        <f t="shared" si="3"/>
        <v>38.941000000000003</v>
      </c>
      <c r="HD2">
        <f t="shared" si="3"/>
        <v>90</v>
      </c>
      <c r="HE2">
        <f t="shared" si="3"/>
        <v>0</v>
      </c>
      <c r="HF2">
        <f t="shared" si="3"/>
        <v>0</v>
      </c>
      <c r="HG2">
        <f t="shared" si="3"/>
        <v>88.04</v>
      </c>
      <c r="HH2">
        <f t="shared" si="3"/>
        <v>100</v>
      </c>
      <c r="HI2">
        <f t="shared" si="3"/>
        <v>0</v>
      </c>
      <c r="HJ2">
        <f t="shared" si="3"/>
        <v>0</v>
      </c>
      <c r="HK2">
        <f t="shared" si="3"/>
        <v>0</v>
      </c>
      <c r="HL2">
        <f t="shared" si="3"/>
        <v>63</v>
      </c>
      <c r="HM2">
        <f t="shared" si="3"/>
        <v>52</v>
      </c>
      <c r="HN2">
        <f t="shared" si="3"/>
        <v>66</v>
      </c>
      <c r="HO2">
        <f t="shared" si="3"/>
        <v>59</v>
      </c>
      <c r="HP2">
        <f t="shared" si="3"/>
        <v>62</v>
      </c>
      <c r="HQ2">
        <f t="shared" si="3"/>
        <v>60</v>
      </c>
      <c r="HR2">
        <f t="shared" si="3"/>
        <v>55</v>
      </c>
      <c r="HS2">
        <f t="shared" si="3"/>
        <v>82</v>
      </c>
      <c r="HT2">
        <f t="shared" si="3"/>
        <v>-1.3779999999999999</v>
      </c>
      <c r="HU2">
        <f t="shared" si="3"/>
        <v>0</v>
      </c>
      <c r="HV2">
        <f t="shared" si="3"/>
        <v>1.3320000000000001</v>
      </c>
      <c r="HW2">
        <f t="shared" si="3"/>
        <v>45.97</v>
      </c>
      <c r="HX2">
        <f t="shared" si="3"/>
        <v>51.76</v>
      </c>
      <c r="HY2">
        <f t="shared" si="3"/>
        <v>56.22</v>
      </c>
      <c r="HZ2">
        <f t="shared" si="3"/>
        <v>56.22</v>
      </c>
      <c r="IA2">
        <f t="shared" si="3"/>
        <v>3.0070000000000001</v>
      </c>
    </row>
    <row r="3" spans="1:254" x14ac:dyDescent="0.25">
      <c r="B3" s="4" t="s">
        <v>47</v>
      </c>
      <c r="C3">
        <f>MIN(C8:C108)</f>
        <v>0</v>
      </c>
      <c r="D3" s="5">
        <f>MIN(D8:D108)*3600*24</f>
        <v>211.08999999999997</v>
      </c>
      <c r="E3">
        <f t="shared" ref="E3:BP3" si="4">MIN(E8:E108)</f>
        <v>211.13</v>
      </c>
      <c r="F3">
        <f t="shared" si="4"/>
        <v>327.02999999999997</v>
      </c>
      <c r="G3">
        <f t="shared" si="4"/>
        <v>-23.51</v>
      </c>
      <c r="H3">
        <f t="shared" si="4"/>
        <v>24.9</v>
      </c>
      <c r="I3">
        <f t="shared" si="4"/>
        <v>0</v>
      </c>
      <c r="J3">
        <f t="shared" si="4"/>
        <v>10.4</v>
      </c>
      <c r="K3">
        <f t="shared" si="4"/>
        <v>6</v>
      </c>
      <c r="L3">
        <f t="shared" si="4"/>
        <v>6</v>
      </c>
      <c r="M3">
        <f t="shared" si="4"/>
        <v>7</v>
      </c>
      <c r="N3">
        <f t="shared" si="4"/>
        <v>2</v>
      </c>
      <c r="O3">
        <f t="shared" si="4"/>
        <v>3</v>
      </c>
      <c r="P3">
        <f t="shared" si="4"/>
        <v>0.38200000000000001</v>
      </c>
      <c r="Q3">
        <f t="shared" si="4"/>
        <v>0.73099999999999998</v>
      </c>
      <c r="R3">
        <f t="shared" si="4"/>
        <v>0.10299999999999999</v>
      </c>
      <c r="S3">
        <f t="shared" si="4"/>
        <v>2.3E-2</v>
      </c>
      <c r="T3">
        <f t="shared" si="4"/>
        <v>55.09</v>
      </c>
      <c r="U3">
        <f t="shared" si="4"/>
        <v>60.015000000000001</v>
      </c>
      <c r="V3">
        <f t="shared" si="4"/>
        <v>70</v>
      </c>
      <c r="W3">
        <f t="shared" si="4"/>
        <v>40</v>
      </c>
      <c r="X3">
        <f t="shared" si="4"/>
        <v>80</v>
      </c>
      <c r="Y3">
        <f t="shared" si="4"/>
        <v>80</v>
      </c>
      <c r="Z3">
        <f t="shared" si="4"/>
        <v>195.5</v>
      </c>
      <c r="AA3">
        <f t="shared" si="4"/>
        <v>200.41</v>
      </c>
      <c r="AB3">
        <f t="shared" si="4"/>
        <v>152.16</v>
      </c>
      <c r="AC3">
        <f t="shared" si="4"/>
        <v>181.05</v>
      </c>
      <c r="AD3">
        <f t="shared" si="4"/>
        <v>1.6659999999999999</v>
      </c>
      <c r="AE3">
        <f t="shared" si="4"/>
        <v>1.7050000000000001</v>
      </c>
      <c r="AF3">
        <f t="shared" si="4"/>
        <v>1.6379999999999999</v>
      </c>
      <c r="AG3">
        <f t="shared" si="4"/>
        <v>1.67</v>
      </c>
      <c r="AH3">
        <f t="shared" si="4"/>
        <v>60.42</v>
      </c>
      <c r="AI3">
        <f t="shared" si="4"/>
        <v>52.81</v>
      </c>
      <c r="AJ3">
        <f t="shared" si="4"/>
        <v>77.59</v>
      </c>
      <c r="AK3">
        <f t="shared" si="4"/>
        <v>76.45</v>
      </c>
      <c r="AL3">
        <f t="shared" si="4"/>
        <v>619.399</v>
      </c>
      <c r="AM3">
        <f t="shared" si="4"/>
        <v>638.34500000000003</v>
      </c>
      <c r="AN3">
        <f t="shared" si="4"/>
        <v>805.03300000000002</v>
      </c>
      <c r="AO3">
        <f t="shared" si="4"/>
        <v>761.73800000000006</v>
      </c>
      <c r="AP3">
        <f t="shared" si="4"/>
        <v>1.282</v>
      </c>
      <c r="AQ3">
        <f t="shared" si="4"/>
        <v>1.7749999999999999</v>
      </c>
      <c r="AR3">
        <f t="shared" si="4"/>
        <v>40.259</v>
      </c>
      <c r="AS3">
        <f t="shared" si="4"/>
        <v>36.206000000000003</v>
      </c>
      <c r="AT3">
        <f t="shared" si="4"/>
        <v>82</v>
      </c>
      <c r="AU3">
        <f t="shared" si="4"/>
        <v>100</v>
      </c>
      <c r="AV3">
        <f t="shared" si="4"/>
        <v>1.244</v>
      </c>
      <c r="AW3">
        <f t="shared" si="4"/>
        <v>4.3083</v>
      </c>
      <c r="AX3">
        <f t="shared" si="4"/>
        <v>1007.4</v>
      </c>
      <c r="AY3">
        <f t="shared" si="4"/>
        <v>2.36</v>
      </c>
      <c r="AZ3">
        <f t="shared" si="4"/>
        <v>4.33</v>
      </c>
      <c r="BA3">
        <f t="shared" si="4"/>
        <v>65.106999999999999</v>
      </c>
      <c r="BB3">
        <f t="shared" si="4"/>
        <v>66.3</v>
      </c>
      <c r="BC3">
        <f t="shared" si="4"/>
        <v>7632</v>
      </c>
      <c r="BD3">
        <f t="shared" si="4"/>
        <v>87.5</v>
      </c>
      <c r="BE3">
        <f t="shared" si="4"/>
        <v>14.62</v>
      </c>
      <c r="BF3">
        <f t="shared" si="4"/>
        <v>11.715</v>
      </c>
      <c r="BG3">
        <f t="shared" si="4"/>
        <v>26.48</v>
      </c>
      <c r="BH3">
        <f t="shared" si="4"/>
        <v>23.44</v>
      </c>
      <c r="BI3">
        <f t="shared" si="4"/>
        <v>64.840999999999994</v>
      </c>
      <c r="BJ3">
        <f t="shared" si="4"/>
        <v>79.213999999999999</v>
      </c>
      <c r="BK3">
        <f t="shared" si="4"/>
        <v>63.165999999999997</v>
      </c>
      <c r="BL3">
        <f t="shared" si="4"/>
        <v>76.787000000000006</v>
      </c>
      <c r="BM3">
        <f t="shared" si="4"/>
        <v>76.742000000000004</v>
      </c>
      <c r="BN3">
        <f t="shared" si="4"/>
        <v>80.391999999999996</v>
      </c>
      <c r="BO3">
        <f t="shared" si="4"/>
        <v>80.087999999999994</v>
      </c>
      <c r="BP3">
        <f t="shared" si="4"/>
        <v>96.936000000000007</v>
      </c>
      <c r="BQ3">
        <f t="shared" ref="BQ3:EB3" si="5">MIN(BQ8:BQ108)</f>
        <v>100.84</v>
      </c>
      <c r="BR3">
        <f t="shared" si="5"/>
        <v>57.597999999999999</v>
      </c>
      <c r="BS3">
        <f t="shared" si="5"/>
        <v>24.4</v>
      </c>
      <c r="BT3">
        <f t="shared" si="5"/>
        <v>6739.116</v>
      </c>
      <c r="BU3">
        <f t="shared" si="5"/>
        <v>35.606999999999999</v>
      </c>
      <c r="BV3">
        <f t="shared" si="5"/>
        <v>49.078000000000003</v>
      </c>
      <c r="BW3">
        <f t="shared" si="5"/>
        <v>51.082999999999998</v>
      </c>
      <c r="BX3">
        <f t="shared" si="5"/>
        <v>52.53</v>
      </c>
      <c r="BY3">
        <f t="shared" si="5"/>
        <v>1.2529999999999999</v>
      </c>
      <c r="BZ3">
        <f t="shared" si="5"/>
        <v>2.218</v>
      </c>
      <c r="CA3">
        <f t="shared" si="5"/>
        <v>2.7330000000000001</v>
      </c>
      <c r="CB3">
        <f t="shared" si="5"/>
        <v>2.9329999999999998</v>
      </c>
      <c r="CC3">
        <f t="shared" si="5"/>
        <v>0.81699999999999995</v>
      </c>
      <c r="CD3">
        <f t="shared" si="5"/>
        <v>1.925</v>
      </c>
      <c r="CE3">
        <f t="shared" si="5"/>
        <v>1.121</v>
      </c>
      <c r="CF3">
        <f t="shared" si="5"/>
        <v>1.964</v>
      </c>
      <c r="CG3">
        <f t="shared" si="5"/>
        <v>13.532</v>
      </c>
      <c r="CH3">
        <f t="shared" si="5"/>
        <v>9.91</v>
      </c>
      <c r="CI3">
        <f t="shared" si="5"/>
        <v>3.3180000000000001</v>
      </c>
      <c r="CJ3">
        <f t="shared" si="5"/>
        <v>2.8420000000000001</v>
      </c>
      <c r="CK3">
        <f t="shared" si="5"/>
        <v>1.0489999999999999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60.435000000000002</v>
      </c>
      <c r="CQ3">
        <f t="shared" si="5"/>
        <v>61.542999999999999</v>
      </c>
      <c r="CR3">
        <f t="shared" si="5"/>
        <v>71.962999999999994</v>
      </c>
      <c r="CS3">
        <f t="shared" si="5"/>
        <v>73.867000000000004</v>
      </c>
      <c r="CT3">
        <f t="shared" si="5"/>
        <v>0.11700000000000001</v>
      </c>
      <c r="CU3">
        <f t="shared" si="5"/>
        <v>0.59799999999999998</v>
      </c>
      <c r="CV3">
        <f t="shared" si="5"/>
        <v>0.30199999999999999</v>
      </c>
      <c r="CW3">
        <f t="shared" si="5"/>
        <v>0.70099999999999996</v>
      </c>
      <c r="CX3">
        <f t="shared" si="5"/>
        <v>0.79900000000000004</v>
      </c>
      <c r="CY3">
        <f t="shared" si="5"/>
        <v>0.2</v>
      </c>
      <c r="CZ3">
        <f t="shared" si="5"/>
        <v>0.70099999999999996</v>
      </c>
      <c r="DA3">
        <f t="shared" si="5"/>
        <v>0.1</v>
      </c>
      <c r="DB3">
        <f t="shared" si="5"/>
        <v>0.999</v>
      </c>
      <c r="DC3">
        <f t="shared" si="5"/>
        <v>0</v>
      </c>
      <c r="DD3">
        <f t="shared" si="5"/>
        <v>0</v>
      </c>
      <c r="DE3">
        <f t="shared" si="5"/>
        <v>7.6999999999999999E-2</v>
      </c>
      <c r="DF3">
        <f t="shared" si="5"/>
        <v>3.2000000000000001E-2</v>
      </c>
      <c r="DG3">
        <f t="shared" si="5"/>
        <v>0.10199999999999999</v>
      </c>
      <c r="DH3">
        <f t="shared" si="5"/>
        <v>0.71799999999999997</v>
      </c>
      <c r="DI3">
        <f t="shared" si="5"/>
        <v>0.64800000000000002</v>
      </c>
      <c r="DJ3">
        <f t="shared" si="5"/>
        <v>1E-3</v>
      </c>
      <c r="DK3">
        <f t="shared" si="5"/>
        <v>0.61099999999999999</v>
      </c>
      <c r="DL3">
        <f t="shared" si="5"/>
        <v>0.39500000000000002</v>
      </c>
      <c r="DM3">
        <f t="shared" si="5"/>
        <v>5.7000000000000002E-2</v>
      </c>
      <c r="DN3">
        <f t="shared" si="5"/>
        <v>-11.182</v>
      </c>
      <c r="DO3">
        <f t="shared" si="5"/>
        <v>-0.9</v>
      </c>
      <c r="DP3">
        <f t="shared" si="5"/>
        <v>62.857999999999997</v>
      </c>
      <c r="DQ3">
        <f t="shared" si="5"/>
        <v>56.716999999999999</v>
      </c>
      <c r="DR3">
        <f t="shared" si="5"/>
        <v>52.737000000000002</v>
      </c>
      <c r="DS3">
        <f t="shared" si="5"/>
        <v>49.771000000000001</v>
      </c>
      <c r="DT3">
        <f t="shared" si="5"/>
        <v>1.51</v>
      </c>
      <c r="DU3">
        <f t="shared" si="5"/>
        <v>1.51</v>
      </c>
      <c r="DV3">
        <f t="shared" si="5"/>
        <v>2.65</v>
      </c>
      <c r="DW3">
        <f t="shared" si="5"/>
        <v>1.88</v>
      </c>
      <c r="DX3">
        <f t="shared" si="5"/>
        <v>1.59</v>
      </c>
      <c r="DY3">
        <f t="shared" si="5"/>
        <v>1.68</v>
      </c>
      <c r="DZ3">
        <f t="shared" si="5"/>
        <v>2.48</v>
      </c>
      <c r="EA3">
        <f t="shared" si="5"/>
        <v>1.91</v>
      </c>
      <c r="EB3">
        <f t="shared" si="5"/>
        <v>27.12</v>
      </c>
      <c r="EC3">
        <f t="shared" ref="EC3:GN3" si="6">MIN(EC8:EC108)</f>
        <v>26.31</v>
      </c>
      <c r="ED3">
        <f t="shared" si="6"/>
        <v>22.82</v>
      </c>
      <c r="EE3">
        <f t="shared" si="6"/>
        <v>24.69</v>
      </c>
      <c r="EF3">
        <f t="shared" si="6"/>
        <v>43.7</v>
      </c>
      <c r="EG3">
        <f t="shared" si="6"/>
        <v>43.91</v>
      </c>
      <c r="EH3">
        <f t="shared" si="6"/>
        <v>40.69</v>
      </c>
      <c r="EI3">
        <f t="shared" si="6"/>
        <v>43.24</v>
      </c>
      <c r="EJ3">
        <f t="shared" si="6"/>
        <v>5.8940000000000001</v>
      </c>
      <c r="EK3">
        <f t="shared" si="6"/>
        <v>61.331000000000003</v>
      </c>
      <c r="EL3">
        <f t="shared" si="6"/>
        <v>2.2000000000000002</v>
      </c>
      <c r="EM3">
        <f t="shared" si="6"/>
        <v>1.75</v>
      </c>
      <c r="EN3">
        <f t="shared" si="6"/>
        <v>1.17</v>
      </c>
      <c r="EO3">
        <f t="shared" si="6"/>
        <v>1.18</v>
      </c>
      <c r="EP3">
        <f t="shared" si="6"/>
        <v>-133.96199999999999</v>
      </c>
      <c r="EQ3">
        <f t="shared" si="6"/>
        <v>-3.3410000000000002</v>
      </c>
      <c r="ER3">
        <f t="shared" si="6"/>
        <v>82.41</v>
      </c>
      <c r="ES3">
        <f t="shared" si="6"/>
        <v>1.097</v>
      </c>
      <c r="ET3">
        <f t="shared" si="6"/>
        <v>1.232</v>
      </c>
      <c r="EU3">
        <f t="shared" si="6"/>
        <v>1.089</v>
      </c>
      <c r="EV3">
        <f t="shared" si="6"/>
        <v>7.117</v>
      </c>
      <c r="EW3">
        <f t="shared" si="6"/>
        <v>2.661</v>
      </c>
      <c r="EX3">
        <f t="shared" si="6"/>
        <v>-287.76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7.82</v>
      </c>
      <c r="FC3">
        <f t="shared" si="6"/>
        <v>65.239000000000004</v>
      </c>
      <c r="FD3">
        <f t="shared" si="6"/>
        <v>61.332999999999998</v>
      </c>
      <c r="FE3">
        <f t="shared" si="6"/>
        <v>72.183000000000007</v>
      </c>
      <c r="FF3">
        <f t="shared" si="6"/>
        <v>70.873000000000005</v>
      </c>
      <c r="FG3">
        <f t="shared" si="6"/>
        <v>0.91300000000000003</v>
      </c>
      <c r="FH3">
        <f t="shared" si="6"/>
        <v>0.91300000000000003</v>
      </c>
      <c r="FI3">
        <f t="shared" si="6"/>
        <v>0.99299999999999999</v>
      </c>
      <c r="FJ3">
        <f t="shared" si="6"/>
        <v>0.997</v>
      </c>
      <c r="FK3">
        <f t="shared" si="6"/>
        <v>0</v>
      </c>
      <c r="FL3">
        <f t="shared" si="6"/>
        <v>82</v>
      </c>
      <c r="FM3">
        <f t="shared" si="6"/>
        <v>3.48</v>
      </c>
      <c r="FN3">
        <f t="shared" si="6"/>
        <v>-0.71</v>
      </c>
      <c r="FO3">
        <f t="shared" si="6"/>
        <v>4.29</v>
      </c>
      <c r="FP3">
        <f t="shared" si="6"/>
        <v>0.35</v>
      </c>
      <c r="FQ3">
        <f t="shared" si="6"/>
        <v>0.45</v>
      </c>
      <c r="FR3">
        <f t="shared" si="6"/>
        <v>4.75</v>
      </c>
      <c r="FS3">
        <f t="shared" si="6"/>
        <v>6.3710000000000004</v>
      </c>
      <c r="FT3">
        <f t="shared" si="6"/>
        <v>1066.8</v>
      </c>
      <c r="FU3">
        <f t="shared" si="6"/>
        <v>5.51</v>
      </c>
      <c r="FV3">
        <f t="shared" si="6"/>
        <v>5.73</v>
      </c>
      <c r="FW3">
        <f t="shared" si="6"/>
        <v>2860</v>
      </c>
      <c r="FX3">
        <f t="shared" si="6"/>
        <v>159400</v>
      </c>
      <c r="FY3">
        <f t="shared" si="6"/>
        <v>160700</v>
      </c>
      <c r="FZ3">
        <f t="shared" si="6"/>
        <v>46.679000000000002</v>
      </c>
      <c r="GA3">
        <f t="shared" si="6"/>
        <v>47.112000000000002</v>
      </c>
      <c r="GB3">
        <f t="shared" si="6"/>
        <v>2131.5</v>
      </c>
      <c r="GC3">
        <f t="shared" si="6"/>
        <v>2136.3000000000002</v>
      </c>
      <c r="GD3">
        <f t="shared" si="6"/>
        <v>2155.4</v>
      </c>
      <c r="GE3">
        <f t="shared" si="6"/>
        <v>2155.6</v>
      </c>
      <c r="GF3">
        <f t="shared" si="6"/>
        <v>1219.0938000000001</v>
      </c>
      <c r="GG3">
        <f t="shared" si="6"/>
        <v>27</v>
      </c>
      <c r="GH3">
        <f t="shared" si="6"/>
        <v>26.9</v>
      </c>
      <c r="GI3">
        <f t="shared" si="6"/>
        <v>44.8</v>
      </c>
      <c r="GJ3">
        <f t="shared" si="6"/>
        <v>49.9</v>
      </c>
      <c r="GK3">
        <f t="shared" si="6"/>
        <v>95.5</v>
      </c>
      <c r="GL3">
        <f t="shared" si="6"/>
        <v>107.6</v>
      </c>
      <c r="GM3">
        <f t="shared" si="6"/>
        <v>0</v>
      </c>
      <c r="GN3">
        <f t="shared" si="6"/>
        <v>22.712</v>
      </c>
      <c r="GO3">
        <f t="shared" ref="GO3:HM3" si="7">MIN(GO8:GO108)</f>
        <v>93.665999999999997</v>
      </c>
      <c r="GP3">
        <f t="shared" si="7"/>
        <v>0</v>
      </c>
      <c r="GQ3">
        <f t="shared" si="7"/>
        <v>1.829</v>
      </c>
      <c r="GR3">
        <f t="shared" si="7"/>
        <v>0</v>
      </c>
      <c r="GS3">
        <f t="shared" si="7"/>
        <v>1.9470000000000001</v>
      </c>
      <c r="GT3">
        <f t="shared" si="7"/>
        <v>0</v>
      </c>
      <c r="GU3">
        <f t="shared" si="7"/>
        <v>1.829</v>
      </c>
      <c r="GV3">
        <f t="shared" si="7"/>
        <v>0</v>
      </c>
      <c r="GW3">
        <f t="shared" si="7"/>
        <v>0</v>
      </c>
      <c r="GX3">
        <f t="shared" si="7"/>
        <v>0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32.238999999999997</v>
      </c>
      <c r="HD3">
        <f t="shared" si="7"/>
        <v>78</v>
      </c>
      <c r="HE3">
        <f t="shared" si="7"/>
        <v>0</v>
      </c>
      <c r="HF3">
        <f t="shared" si="7"/>
        <v>0</v>
      </c>
      <c r="HG3">
        <f t="shared" si="7"/>
        <v>66.8</v>
      </c>
      <c r="HH3">
        <f t="shared" si="7"/>
        <v>76.47</v>
      </c>
      <c r="HI3">
        <f t="shared" si="7"/>
        <v>0</v>
      </c>
      <c r="HJ3">
        <f t="shared" si="7"/>
        <v>0</v>
      </c>
      <c r="HK3">
        <f t="shared" si="7"/>
        <v>0</v>
      </c>
      <c r="HL3">
        <f t="shared" si="7"/>
        <v>54</v>
      </c>
      <c r="HM3">
        <f t="shared" si="7"/>
        <v>48</v>
      </c>
      <c r="HN3">
        <f t="shared" ref="HN3:HZ3" si="8">MIN(HN8:HN108)</f>
        <v>58</v>
      </c>
      <c r="HO3">
        <f t="shared" si="8"/>
        <v>51</v>
      </c>
      <c r="HP3">
        <f t="shared" si="8"/>
        <v>55</v>
      </c>
      <c r="HQ3">
        <f t="shared" si="8"/>
        <v>53</v>
      </c>
      <c r="HR3">
        <f t="shared" si="8"/>
        <v>46</v>
      </c>
      <c r="HS3">
        <f t="shared" si="8"/>
        <v>58</v>
      </c>
      <c r="HT3">
        <f t="shared" si="8"/>
        <v>-1.518</v>
      </c>
      <c r="HU3">
        <f t="shared" si="8"/>
        <v>0</v>
      </c>
      <c r="HV3">
        <f t="shared" si="8"/>
        <v>9.6000000000000002E-2</v>
      </c>
      <c r="HW3">
        <f t="shared" si="8"/>
        <v>35.299999999999997</v>
      </c>
      <c r="HX3">
        <f t="shared" si="8"/>
        <v>40.15</v>
      </c>
      <c r="HY3">
        <f t="shared" si="8"/>
        <v>50.68</v>
      </c>
      <c r="HZ3">
        <f t="shared" si="8"/>
        <v>50.68</v>
      </c>
      <c r="IA3">
        <f>MIN(IA8:IA108)</f>
        <v>2.4620000000000002</v>
      </c>
    </row>
    <row r="4" spans="1:254" x14ac:dyDescent="0.25">
      <c r="B4">
        <f>COLUMN(B1)</f>
        <v>2</v>
      </c>
      <c r="C4">
        <f t="shared" ref="C4:BN4" si="9">COLUMN(C1)</f>
        <v>3</v>
      </c>
      <c r="D4">
        <f t="shared" si="9"/>
        <v>4</v>
      </c>
      <c r="E4">
        <f t="shared" si="9"/>
        <v>5</v>
      </c>
      <c r="F4">
        <f t="shared" si="9"/>
        <v>6</v>
      </c>
      <c r="G4">
        <f t="shared" si="9"/>
        <v>7</v>
      </c>
      <c r="H4">
        <f t="shared" si="9"/>
        <v>8</v>
      </c>
      <c r="I4">
        <f t="shared" si="9"/>
        <v>9</v>
      </c>
      <c r="J4">
        <f t="shared" si="9"/>
        <v>10</v>
      </c>
      <c r="K4">
        <f t="shared" si="9"/>
        <v>11</v>
      </c>
      <c r="L4">
        <f t="shared" si="9"/>
        <v>12</v>
      </c>
      <c r="M4">
        <f t="shared" si="9"/>
        <v>13</v>
      </c>
      <c r="N4">
        <f t="shared" si="9"/>
        <v>14</v>
      </c>
      <c r="O4">
        <f t="shared" si="9"/>
        <v>15</v>
      </c>
      <c r="P4">
        <f t="shared" si="9"/>
        <v>16</v>
      </c>
      <c r="Q4">
        <f t="shared" si="9"/>
        <v>17</v>
      </c>
      <c r="R4">
        <f t="shared" si="9"/>
        <v>18</v>
      </c>
      <c r="S4">
        <f t="shared" si="9"/>
        <v>19</v>
      </c>
      <c r="T4">
        <f t="shared" si="9"/>
        <v>20</v>
      </c>
      <c r="U4">
        <f t="shared" si="9"/>
        <v>21</v>
      </c>
      <c r="V4">
        <f t="shared" si="9"/>
        <v>22</v>
      </c>
      <c r="W4">
        <f t="shared" si="9"/>
        <v>23</v>
      </c>
      <c r="X4">
        <f t="shared" si="9"/>
        <v>24</v>
      </c>
      <c r="Y4">
        <f t="shared" si="9"/>
        <v>25</v>
      </c>
      <c r="Z4">
        <f t="shared" si="9"/>
        <v>26</v>
      </c>
      <c r="AA4">
        <f t="shared" si="9"/>
        <v>27</v>
      </c>
      <c r="AB4">
        <f t="shared" si="9"/>
        <v>28</v>
      </c>
      <c r="AC4">
        <f t="shared" si="9"/>
        <v>29</v>
      </c>
      <c r="AD4">
        <f t="shared" si="9"/>
        <v>30</v>
      </c>
      <c r="AE4">
        <f t="shared" si="9"/>
        <v>31</v>
      </c>
      <c r="AF4">
        <f t="shared" si="9"/>
        <v>32</v>
      </c>
      <c r="AG4">
        <f t="shared" si="9"/>
        <v>33</v>
      </c>
      <c r="AH4">
        <f t="shared" si="9"/>
        <v>34</v>
      </c>
      <c r="AI4">
        <f t="shared" si="9"/>
        <v>35</v>
      </c>
      <c r="AJ4">
        <f t="shared" si="9"/>
        <v>36</v>
      </c>
      <c r="AK4">
        <f t="shared" si="9"/>
        <v>37</v>
      </c>
      <c r="AL4">
        <f t="shared" si="9"/>
        <v>38</v>
      </c>
      <c r="AM4">
        <f t="shared" si="9"/>
        <v>39</v>
      </c>
      <c r="AN4">
        <f t="shared" si="9"/>
        <v>40</v>
      </c>
      <c r="AO4">
        <f t="shared" si="9"/>
        <v>41</v>
      </c>
      <c r="AP4">
        <f t="shared" si="9"/>
        <v>42</v>
      </c>
      <c r="AQ4">
        <f t="shared" si="9"/>
        <v>43</v>
      </c>
      <c r="AR4">
        <f t="shared" si="9"/>
        <v>44</v>
      </c>
      <c r="AS4">
        <f t="shared" si="9"/>
        <v>45</v>
      </c>
      <c r="AT4">
        <f t="shared" si="9"/>
        <v>46</v>
      </c>
      <c r="AU4">
        <f t="shared" si="9"/>
        <v>47</v>
      </c>
      <c r="AV4">
        <f t="shared" si="9"/>
        <v>48</v>
      </c>
      <c r="AW4">
        <f t="shared" si="9"/>
        <v>49</v>
      </c>
      <c r="AX4">
        <f t="shared" si="9"/>
        <v>50</v>
      </c>
      <c r="AY4">
        <f t="shared" si="9"/>
        <v>51</v>
      </c>
      <c r="AZ4">
        <f t="shared" si="9"/>
        <v>52</v>
      </c>
      <c r="BA4">
        <f t="shared" si="9"/>
        <v>53</v>
      </c>
      <c r="BB4">
        <f t="shared" si="9"/>
        <v>54</v>
      </c>
      <c r="BC4">
        <f t="shared" si="9"/>
        <v>55</v>
      </c>
      <c r="BD4">
        <f t="shared" si="9"/>
        <v>56</v>
      </c>
      <c r="BE4">
        <f t="shared" si="9"/>
        <v>57</v>
      </c>
      <c r="BF4">
        <f t="shared" si="9"/>
        <v>58</v>
      </c>
      <c r="BG4">
        <f t="shared" si="9"/>
        <v>59</v>
      </c>
      <c r="BH4">
        <f t="shared" si="9"/>
        <v>60</v>
      </c>
      <c r="BI4">
        <f t="shared" si="9"/>
        <v>61</v>
      </c>
      <c r="BJ4">
        <f t="shared" si="9"/>
        <v>62</v>
      </c>
      <c r="BK4">
        <f t="shared" si="9"/>
        <v>63</v>
      </c>
      <c r="BL4">
        <f t="shared" si="9"/>
        <v>64</v>
      </c>
      <c r="BM4">
        <f t="shared" si="9"/>
        <v>65</v>
      </c>
      <c r="BN4">
        <f t="shared" si="9"/>
        <v>66</v>
      </c>
      <c r="BO4">
        <f t="shared" ref="BO4:DZ4" si="10">COLUMN(BO1)</f>
        <v>67</v>
      </c>
      <c r="BP4">
        <f t="shared" si="10"/>
        <v>68</v>
      </c>
      <c r="BQ4">
        <f t="shared" si="10"/>
        <v>69</v>
      </c>
      <c r="BR4">
        <f t="shared" si="10"/>
        <v>70</v>
      </c>
      <c r="BS4">
        <f t="shared" si="10"/>
        <v>71</v>
      </c>
      <c r="BT4">
        <f t="shared" si="10"/>
        <v>72</v>
      </c>
      <c r="BU4">
        <f t="shared" si="10"/>
        <v>73</v>
      </c>
      <c r="BV4">
        <f t="shared" si="10"/>
        <v>74</v>
      </c>
      <c r="BW4">
        <f t="shared" si="10"/>
        <v>75</v>
      </c>
      <c r="BX4">
        <f t="shared" si="10"/>
        <v>76</v>
      </c>
      <c r="BY4">
        <f t="shared" si="10"/>
        <v>77</v>
      </c>
      <c r="BZ4">
        <f t="shared" si="10"/>
        <v>78</v>
      </c>
      <c r="CA4">
        <f t="shared" si="10"/>
        <v>79</v>
      </c>
      <c r="CB4">
        <f t="shared" si="10"/>
        <v>80</v>
      </c>
      <c r="CC4">
        <f t="shared" si="10"/>
        <v>81</v>
      </c>
      <c r="CD4">
        <f t="shared" si="10"/>
        <v>82</v>
      </c>
      <c r="CE4">
        <f t="shared" si="10"/>
        <v>83</v>
      </c>
      <c r="CF4">
        <f t="shared" si="10"/>
        <v>84</v>
      </c>
      <c r="CG4">
        <f t="shared" si="10"/>
        <v>85</v>
      </c>
      <c r="CH4">
        <f t="shared" si="10"/>
        <v>86</v>
      </c>
      <c r="CI4">
        <f t="shared" si="10"/>
        <v>87</v>
      </c>
      <c r="CJ4">
        <f t="shared" si="10"/>
        <v>88</v>
      </c>
      <c r="CK4">
        <f t="shared" si="10"/>
        <v>89</v>
      </c>
      <c r="CL4">
        <f t="shared" si="10"/>
        <v>90</v>
      </c>
      <c r="CM4">
        <f t="shared" si="10"/>
        <v>91</v>
      </c>
      <c r="CN4">
        <f t="shared" si="10"/>
        <v>92</v>
      </c>
      <c r="CO4">
        <f t="shared" si="10"/>
        <v>93</v>
      </c>
      <c r="CP4">
        <f t="shared" si="10"/>
        <v>94</v>
      </c>
      <c r="CQ4">
        <f t="shared" si="10"/>
        <v>95</v>
      </c>
      <c r="CR4">
        <f t="shared" si="10"/>
        <v>96</v>
      </c>
      <c r="CS4">
        <f t="shared" si="10"/>
        <v>97</v>
      </c>
      <c r="CT4">
        <f t="shared" si="10"/>
        <v>98</v>
      </c>
      <c r="CU4">
        <f t="shared" si="10"/>
        <v>99</v>
      </c>
      <c r="CV4">
        <f t="shared" si="10"/>
        <v>100</v>
      </c>
      <c r="CW4">
        <f t="shared" si="10"/>
        <v>101</v>
      </c>
      <c r="CX4">
        <f t="shared" si="10"/>
        <v>102</v>
      </c>
      <c r="CY4">
        <f t="shared" si="10"/>
        <v>103</v>
      </c>
      <c r="CZ4">
        <f t="shared" si="10"/>
        <v>104</v>
      </c>
      <c r="DA4">
        <f t="shared" si="10"/>
        <v>105</v>
      </c>
      <c r="DB4">
        <f t="shared" si="10"/>
        <v>106</v>
      </c>
      <c r="DC4">
        <f t="shared" si="10"/>
        <v>107</v>
      </c>
      <c r="DD4">
        <f t="shared" si="10"/>
        <v>108</v>
      </c>
      <c r="DE4">
        <f t="shared" si="10"/>
        <v>109</v>
      </c>
      <c r="DF4">
        <f t="shared" si="10"/>
        <v>110</v>
      </c>
      <c r="DG4">
        <f t="shared" si="10"/>
        <v>111</v>
      </c>
      <c r="DH4">
        <f t="shared" si="10"/>
        <v>112</v>
      </c>
      <c r="DI4">
        <f t="shared" si="10"/>
        <v>113</v>
      </c>
      <c r="DJ4">
        <f t="shared" si="10"/>
        <v>114</v>
      </c>
      <c r="DK4">
        <f t="shared" si="10"/>
        <v>115</v>
      </c>
      <c r="DL4">
        <f t="shared" si="10"/>
        <v>116</v>
      </c>
      <c r="DM4">
        <f t="shared" si="10"/>
        <v>117</v>
      </c>
      <c r="DN4">
        <f t="shared" si="10"/>
        <v>118</v>
      </c>
      <c r="DO4">
        <f t="shared" si="10"/>
        <v>119</v>
      </c>
      <c r="DP4">
        <f t="shared" si="10"/>
        <v>120</v>
      </c>
      <c r="DQ4">
        <f t="shared" si="10"/>
        <v>121</v>
      </c>
      <c r="DR4">
        <f t="shared" si="10"/>
        <v>122</v>
      </c>
      <c r="DS4">
        <f t="shared" si="10"/>
        <v>123</v>
      </c>
      <c r="DT4">
        <f t="shared" si="10"/>
        <v>124</v>
      </c>
      <c r="DU4">
        <f t="shared" si="10"/>
        <v>125</v>
      </c>
      <c r="DV4">
        <f t="shared" si="10"/>
        <v>126</v>
      </c>
      <c r="DW4">
        <f t="shared" si="10"/>
        <v>127</v>
      </c>
      <c r="DX4">
        <f t="shared" si="10"/>
        <v>128</v>
      </c>
      <c r="DY4">
        <f t="shared" si="10"/>
        <v>129</v>
      </c>
      <c r="DZ4">
        <f t="shared" si="10"/>
        <v>130</v>
      </c>
      <c r="EA4">
        <f t="shared" ref="EA4:GL4" si="11">COLUMN(EA1)</f>
        <v>131</v>
      </c>
      <c r="EB4">
        <f t="shared" si="11"/>
        <v>132</v>
      </c>
      <c r="EC4">
        <f t="shared" si="11"/>
        <v>133</v>
      </c>
      <c r="ED4">
        <f t="shared" si="11"/>
        <v>134</v>
      </c>
      <c r="EE4">
        <f t="shared" si="11"/>
        <v>135</v>
      </c>
      <c r="EF4">
        <f t="shared" si="11"/>
        <v>136</v>
      </c>
      <c r="EG4">
        <f t="shared" si="11"/>
        <v>137</v>
      </c>
      <c r="EH4">
        <f t="shared" si="11"/>
        <v>138</v>
      </c>
      <c r="EI4">
        <f t="shared" si="11"/>
        <v>139</v>
      </c>
      <c r="EJ4">
        <f t="shared" si="11"/>
        <v>140</v>
      </c>
      <c r="EK4">
        <f t="shared" si="11"/>
        <v>141</v>
      </c>
      <c r="EL4">
        <f t="shared" si="11"/>
        <v>142</v>
      </c>
      <c r="EM4">
        <f t="shared" si="11"/>
        <v>143</v>
      </c>
      <c r="EN4">
        <f t="shared" si="11"/>
        <v>144</v>
      </c>
      <c r="EO4">
        <f t="shared" si="11"/>
        <v>145</v>
      </c>
      <c r="EP4">
        <f t="shared" si="11"/>
        <v>146</v>
      </c>
      <c r="EQ4">
        <f t="shared" si="11"/>
        <v>147</v>
      </c>
      <c r="ER4">
        <f t="shared" si="11"/>
        <v>148</v>
      </c>
      <c r="ES4">
        <f t="shared" si="11"/>
        <v>149</v>
      </c>
      <c r="ET4">
        <f t="shared" si="11"/>
        <v>150</v>
      </c>
      <c r="EU4">
        <f t="shared" si="11"/>
        <v>151</v>
      </c>
      <c r="EV4">
        <f t="shared" si="11"/>
        <v>152</v>
      </c>
      <c r="EW4">
        <f t="shared" si="11"/>
        <v>153</v>
      </c>
      <c r="EX4">
        <f t="shared" si="11"/>
        <v>154</v>
      </c>
      <c r="EY4">
        <f t="shared" si="11"/>
        <v>155</v>
      </c>
      <c r="EZ4">
        <f t="shared" si="11"/>
        <v>156</v>
      </c>
      <c r="FA4">
        <f t="shared" si="11"/>
        <v>157</v>
      </c>
      <c r="FB4">
        <f t="shared" si="11"/>
        <v>158</v>
      </c>
      <c r="FC4">
        <f t="shared" si="11"/>
        <v>159</v>
      </c>
      <c r="FD4">
        <f t="shared" si="11"/>
        <v>160</v>
      </c>
      <c r="FE4">
        <f t="shared" si="11"/>
        <v>161</v>
      </c>
      <c r="FF4">
        <f t="shared" si="11"/>
        <v>162</v>
      </c>
      <c r="FG4">
        <f t="shared" si="11"/>
        <v>163</v>
      </c>
      <c r="FH4">
        <f t="shared" si="11"/>
        <v>164</v>
      </c>
      <c r="FI4">
        <f t="shared" si="11"/>
        <v>165</v>
      </c>
      <c r="FJ4">
        <f t="shared" si="11"/>
        <v>166</v>
      </c>
      <c r="FK4">
        <f t="shared" si="11"/>
        <v>167</v>
      </c>
      <c r="FL4">
        <f t="shared" si="11"/>
        <v>168</v>
      </c>
      <c r="FM4">
        <f t="shared" si="11"/>
        <v>169</v>
      </c>
      <c r="FN4">
        <f t="shared" si="11"/>
        <v>170</v>
      </c>
      <c r="FO4">
        <f t="shared" si="11"/>
        <v>171</v>
      </c>
      <c r="FP4">
        <f t="shared" si="11"/>
        <v>172</v>
      </c>
      <c r="FQ4">
        <f t="shared" si="11"/>
        <v>173</v>
      </c>
      <c r="FR4">
        <f t="shared" si="11"/>
        <v>174</v>
      </c>
      <c r="FS4">
        <f t="shared" si="11"/>
        <v>175</v>
      </c>
      <c r="FT4">
        <f t="shared" si="11"/>
        <v>176</v>
      </c>
      <c r="FU4">
        <f t="shared" si="11"/>
        <v>177</v>
      </c>
      <c r="FV4">
        <f t="shared" si="11"/>
        <v>178</v>
      </c>
      <c r="FW4">
        <f t="shared" si="11"/>
        <v>179</v>
      </c>
      <c r="FX4">
        <f t="shared" si="11"/>
        <v>180</v>
      </c>
      <c r="FY4">
        <f t="shared" si="11"/>
        <v>181</v>
      </c>
      <c r="FZ4">
        <f t="shared" si="11"/>
        <v>182</v>
      </c>
      <c r="GA4">
        <f t="shared" si="11"/>
        <v>183</v>
      </c>
      <c r="GB4">
        <f t="shared" si="11"/>
        <v>184</v>
      </c>
      <c r="GC4">
        <f t="shared" si="11"/>
        <v>185</v>
      </c>
      <c r="GD4">
        <f t="shared" si="11"/>
        <v>186</v>
      </c>
      <c r="GE4">
        <f t="shared" si="11"/>
        <v>187</v>
      </c>
      <c r="GF4">
        <f t="shared" si="11"/>
        <v>188</v>
      </c>
      <c r="GG4">
        <f t="shared" si="11"/>
        <v>189</v>
      </c>
      <c r="GH4">
        <f t="shared" si="11"/>
        <v>190</v>
      </c>
      <c r="GI4">
        <f t="shared" si="11"/>
        <v>191</v>
      </c>
      <c r="GJ4">
        <f t="shared" si="11"/>
        <v>192</v>
      </c>
      <c r="GK4">
        <f t="shared" si="11"/>
        <v>193</v>
      </c>
      <c r="GL4">
        <f t="shared" si="11"/>
        <v>194</v>
      </c>
      <c r="GM4">
        <f t="shared" ref="GM4:IT4" si="12">COLUMN(GM1)</f>
        <v>195</v>
      </c>
      <c r="GN4">
        <f t="shared" si="12"/>
        <v>196</v>
      </c>
      <c r="GO4">
        <f t="shared" si="12"/>
        <v>197</v>
      </c>
      <c r="GP4">
        <f t="shared" si="12"/>
        <v>198</v>
      </c>
      <c r="GQ4">
        <f t="shared" si="12"/>
        <v>199</v>
      </c>
      <c r="GR4">
        <f t="shared" si="12"/>
        <v>200</v>
      </c>
      <c r="GS4">
        <f t="shared" si="12"/>
        <v>201</v>
      </c>
      <c r="GT4">
        <f t="shared" si="12"/>
        <v>202</v>
      </c>
      <c r="GU4">
        <f t="shared" si="12"/>
        <v>203</v>
      </c>
      <c r="GV4">
        <f t="shared" si="12"/>
        <v>204</v>
      </c>
      <c r="GW4">
        <f t="shared" si="12"/>
        <v>205</v>
      </c>
      <c r="GX4">
        <f t="shared" si="12"/>
        <v>206</v>
      </c>
      <c r="GY4">
        <f t="shared" si="12"/>
        <v>207</v>
      </c>
      <c r="GZ4">
        <f t="shared" si="12"/>
        <v>208</v>
      </c>
      <c r="HA4">
        <f t="shared" si="12"/>
        <v>209</v>
      </c>
      <c r="HB4">
        <f t="shared" si="12"/>
        <v>210</v>
      </c>
      <c r="HC4">
        <f t="shared" si="12"/>
        <v>211</v>
      </c>
      <c r="HD4">
        <f t="shared" si="12"/>
        <v>212</v>
      </c>
      <c r="HE4">
        <f t="shared" si="12"/>
        <v>213</v>
      </c>
      <c r="HF4">
        <f t="shared" si="12"/>
        <v>214</v>
      </c>
      <c r="HG4">
        <f t="shared" si="12"/>
        <v>215</v>
      </c>
      <c r="HH4">
        <f t="shared" si="12"/>
        <v>216</v>
      </c>
      <c r="HI4">
        <f t="shared" si="12"/>
        <v>217</v>
      </c>
      <c r="HJ4">
        <f t="shared" si="12"/>
        <v>218</v>
      </c>
      <c r="HK4">
        <f t="shared" si="12"/>
        <v>219</v>
      </c>
      <c r="HL4">
        <f t="shared" si="12"/>
        <v>220</v>
      </c>
      <c r="HM4">
        <f t="shared" si="12"/>
        <v>221</v>
      </c>
      <c r="HN4">
        <f t="shared" si="12"/>
        <v>222</v>
      </c>
      <c r="HO4">
        <f t="shared" si="12"/>
        <v>223</v>
      </c>
      <c r="HP4">
        <f t="shared" si="12"/>
        <v>224</v>
      </c>
      <c r="HQ4">
        <f t="shared" si="12"/>
        <v>225</v>
      </c>
      <c r="HR4">
        <f t="shared" si="12"/>
        <v>226</v>
      </c>
      <c r="HS4">
        <f t="shared" si="12"/>
        <v>227</v>
      </c>
      <c r="HT4">
        <f t="shared" si="12"/>
        <v>228</v>
      </c>
      <c r="HU4">
        <f t="shared" si="12"/>
        <v>229</v>
      </c>
      <c r="HV4">
        <f t="shared" si="12"/>
        <v>230</v>
      </c>
      <c r="HW4">
        <f t="shared" si="12"/>
        <v>231</v>
      </c>
      <c r="HX4">
        <f t="shared" si="12"/>
        <v>232</v>
      </c>
      <c r="HY4">
        <f t="shared" si="12"/>
        <v>233</v>
      </c>
      <c r="HZ4">
        <f t="shared" si="12"/>
        <v>234</v>
      </c>
      <c r="IA4">
        <f t="shared" si="12"/>
        <v>235</v>
      </c>
      <c r="IB4">
        <f t="shared" si="12"/>
        <v>236</v>
      </c>
      <c r="IC4">
        <f t="shared" si="12"/>
        <v>237</v>
      </c>
      <c r="ID4">
        <f t="shared" si="12"/>
        <v>238</v>
      </c>
      <c r="IE4">
        <f t="shared" si="12"/>
        <v>239</v>
      </c>
      <c r="IF4">
        <f t="shared" si="12"/>
        <v>240</v>
      </c>
      <c r="IG4">
        <f t="shared" si="12"/>
        <v>241</v>
      </c>
      <c r="IH4">
        <f t="shared" si="12"/>
        <v>242</v>
      </c>
      <c r="II4">
        <f t="shared" si="12"/>
        <v>243</v>
      </c>
      <c r="IJ4">
        <f t="shared" si="12"/>
        <v>244</v>
      </c>
      <c r="IK4">
        <f t="shared" si="12"/>
        <v>245</v>
      </c>
      <c r="IL4">
        <f t="shared" si="12"/>
        <v>246</v>
      </c>
      <c r="IM4">
        <f t="shared" si="12"/>
        <v>247</v>
      </c>
      <c r="IN4">
        <f t="shared" si="12"/>
        <v>248</v>
      </c>
      <c r="IO4">
        <f t="shared" si="12"/>
        <v>249</v>
      </c>
      <c r="IP4">
        <f t="shared" si="12"/>
        <v>250</v>
      </c>
      <c r="IQ4">
        <f t="shared" si="12"/>
        <v>251</v>
      </c>
      <c r="IR4">
        <f t="shared" si="12"/>
        <v>252</v>
      </c>
      <c r="IS4">
        <f t="shared" si="12"/>
        <v>253</v>
      </c>
      <c r="IT4">
        <f t="shared" si="12"/>
        <v>254</v>
      </c>
    </row>
    <row r="5" spans="1:254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258</v>
      </c>
      <c r="AQ5" s="1" t="s">
        <v>259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248</v>
      </c>
      <c r="BW5" s="1" t="s">
        <v>249</v>
      </c>
      <c r="BX5" s="1" t="s">
        <v>250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251</v>
      </c>
      <c r="DF5" s="1" t="s">
        <v>252</v>
      </c>
      <c r="DG5" s="1" t="s">
        <v>253</v>
      </c>
      <c r="DH5" s="1" t="s">
        <v>254</v>
      </c>
      <c r="DI5" s="1" t="s">
        <v>255</v>
      </c>
      <c r="DJ5" s="1" t="s">
        <v>256</v>
      </c>
      <c r="DK5" s="1" t="s">
        <v>257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398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  <c r="IS5" s="56" t="s">
        <v>407</v>
      </c>
      <c r="IT5" s="56" t="s">
        <v>408</v>
      </c>
    </row>
    <row r="6" spans="1:254" x14ac:dyDescent="0.25">
      <c r="A6" s="6" t="s">
        <v>136</v>
      </c>
      <c r="B6" s="2" t="s">
        <v>409</v>
      </c>
      <c r="C6" s="2" t="s">
        <v>41</v>
      </c>
      <c r="D6" s="57">
        <v>1.0271296296296296E-2</v>
      </c>
      <c r="E6" s="49">
        <v>887.43799999999999</v>
      </c>
      <c r="F6" s="48">
        <v>324.64999999999998</v>
      </c>
      <c r="G6" s="48">
        <v>5.76</v>
      </c>
      <c r="H6" s="48">
        <v>23.6</v>
      </c>
      <c r="I6" s="49">
        <v>0</v>
      </c>
      <c r="J6" s="49">
        <v>115.6</v>
      </c>
      <c r="K6" s="49">
        <v>6</v>
      </c>
      <c r="L6" s="49">
        <v>6</v>
      </c>
      <c r="M6" s="49">
        <v>7</v>
      </c>
      <c r="N6" s="49">
        <v>3</v>
      </c>
      <c r="O6" s="49">
        <v>3</v>
      </c>
      <c r="P6" s="48">
        <v>0.497</v>
      </c>
      <c r="Q6" s="48">
        <v>0.87</v>
      </c>
      <c r="R6" s="48">
        <v>0.26900000000000002</v>
      </c>
      <c r="S6" s="48">
        <v>0.17399999999999999</v>
      </c>
      <c r="T6" s="48">
        <v>69</v>
      </c>
      <c r="U6" s="48">
        <v>60.28</v>
      </c>
      <c r="V6" s="49">
        <v>60</v>
      </c>
      <c r="W6" s="49">
        <v>40</v>
      </c>
      <c r="X6" s="49">
        <v>80</v>
      </c>
      <c r="Y6" s="49">
        <v>70</v>
      </c>
      <c r="Z6" s="48">
        <v>124.77</v>
      </c>
      <c r="AA6" s="48">
        <v>119.02</v>
      </c>
      <c r="AB6" s="48">
        <v>111.72</v>
      </c>
      <c r="AC6" s="48">
        <v>121.77</v>
      </c>
      <c r="AD6" s="48">
        <v>0.496</v>
      </c>
      <c r="AE6" s="48">
        <v>0.51</v>
      </c>
      <c r="AF6" s="48">
        <v>0.45500000000000002</v>
      </c>
      <c r="AG6" s="48">
        <v>0.504</v>
      </c>
      <c r="AH6" s="48">
        <v>-9.11</v>
      </c>
      <c r="AI6" s="48">
        <v>-11.92</v>
      </c>
      <c r="AJ6" s="48">
        <v>-8.58</v>
      </c>
      <c r="AK6" s="48">
        <v>-6.79</v>
      </c>
      <c r="AL6" s="48">
        <v>603.54700000000003</v>
      </c>
      <c r="AM6" s="48">
        <v>619.34699999999998</v>
      </c>
      <c r="AN6" s="48">
        <v>734.36</v>
      </c>
      <c r="AO6" s="48">
        <v>736.47299999999996</v>
      </c>
      <c r="AP6" s="49">
        <v>1.464</v>
      </c>
      <c r="AQ6" s="49">
        <v>1.9259999999999999</v>
      </c>
      <c r="AR6" s="48">
        <v>41.654000000000003</v>
      </c>
      <c r="AS6" s="48">
        <v>37.027999999999999</v>
      </c>
      <c r="AT6" s="49">
        <v>82</v>
      </c>
      <c r="AU6" s="48">
        <v>90</v>
      </c>
      <c r="AV6" s="48">
        <v>2.0085000000000002</v>
      </c>
      <c r="AW6" s="49">
        <v>5.3992000000000004</v>
      </c>
      <c r="AX6" s="49">
        <v>1024.4000000000001</v>
      </c>
      <c r="AY6" s="49">
        <v>2.5499999999999998</v>
      </c>
      <c r="AZ6" s="49">
        <v>0.76</v>
      </c>
      <c r="BA6" s="48">
        <v>69.701999999999998</v>
      </c>
      <c r="BB6" s="48">
        <v>69.7</v>
      </c>
      <c r="BC6" s="48">
        <v>7730</v>
      </c>
      <c r="BD6" s="48">
        <v>88.75</v>
      </c>
      <c r="BE6" s="48">
        <v>14.42</v>
      </c>
      <c r="BF6" s="48">
        <v>12.09</v>
      </c>
      <c r="BG6" s="48">
        <v>29.07</v>
      </c>
      <c r="BH6" s="48">
        <v>28.29</v>
      </c>
      <c r="BI6" s="48">
        <v>65.491</v>
      </c>
      <c r="BJ6" s="48">
        <v>81.292000000000002</v>
      </c>
      <c r="BK6" s="48">
        <v>63.82</v>
      </c>
      <c r="BL6" s="49">
        <v>78.585999999999999</v>
      </c>
      <c r="BM6" s="48">
        <v>78.945999999999998</v>
      </c>
      <c r="BN6" s="48">
        <v>77.944000000000003</v>
      </c>
      <c r="BO6" s="48">
        <v>75.784000000000006</v>
      </c>
      <c r="BP6" s="48">
        <v>92.6</v>
      </c>
      <c r="BQ6" s="48">
        <v>94.376000000000005</v>
      </c>
      <c r="BR6" s="48">
        <v>57.326000000000001</v>
      </c>
      <c r="BS6" s="48">
        <v>22.8</v>
      </c>
      <c r="BT6" s="48">
        <v>7131.6369999999997</v>
      </c>
      <c r="BU6" s="48">
        <v>36.665999999999997</v>
      </c>
      <c r="BV6" s="48">
        <v>52.52</v>
      </c>
      <c r="BW6" s="49">
        <v>54.695999999999998</v>
      </c>
      <c r="BX6" s="48">
        <v>54.662999999999997</v>
      </c>
      <c r="BY6" s="48">
        <v>1.2949999999999999</v>
      </c>
      <c r="BZ6" s="48">
        <v>2.8159999999999998</v>
      </c>
      <c r="CA6" s="48">
        <v>3.2690000000000001</v>
      </c>
      <c r="CB6" s="48">
        <v>2.855</v>
      </c>
      <c r="CC6" s="49">
        <v>1.2749999999999999</v>
      </c>
      <c r="CD6" s="48">
        <v>2.4300000000000002</v>
      </c>
      <c r="CE6" s="49">
        <v>1.5149999999999999</v>
      </c>
      <c r="CF6" s="49">
        <v>2.2959999999999998</v>
      </c>
      <c r="CG6" s="48">
        <v>13.545</v>
      </c>
      <c r="CH6" s="49">
        <v>10.327999999999999</v>
      </c>
      <c r="CI6" s="48">
        <v>4.5830000000000002</v>
      </c>
      <c r="CJ6" s="48">
        <v>2.5110000000000001</v>
      </c>
      <c r="CK6" s="48">
        <v>1.2090000000000001</v>
      </c>
      <c r="CL6" s="48">
        <v>0</v>
      </c>
      <c r="CM6" s="48">
        <v>0.1</v>
      </c>
      <c r="CN6" s="49">
        <v>0</v>
      </c>
      <c r="CO6" s="49">
        <v>0</v>
      </c>
      <c r="CP6" s="48">
        <v>35.908000000000001</v>
      </c>
      <c r="CQ6" s="48">
        <v>34.481000000000002</v>
      </c>
      <c r="CR6" s="48">
        <v>39.75</v>
      </c>
      <c r="CS6" s="48">
        <v>37.417000000000002</v>
      </c>
      <c r="CT6" s="48">
        <v>0.224</v>
      </c>
      <c r="CU6" s="48">
        <v>1.296</v>
      </c>
      <c r="CV6" s="48">
        <v>1.2969999999999999</v>
      </c>
      <c r="CW6" s="48">
        <v>0.69799999999999995</v>
      </c>
      <c r="CX6" s="48">
        <v>0.999</v>
      </c>
      <c r="CY6" s="48">
        <v>0.1</v>
      </c>
      <c r="CZ6" s="48">
        <v>0.79900000000000004</v>
      </c>
      <c r="DA6" s="48">
        <v>0.499</v>
      </c>
      <c r="DB6" s="48">
        <v>0.9</v>
      </c>
      <c r="DC6" s="49">
        <v>0</v>
      </c>
      <c r="DD6" s="49">
        <v>0</v>
      </c>
      <c r="DE6" s="48">
        <v>5.3999999999999999E-2</v>
      </c>
      <c r="DF6" s="48">
        <v>0.05</v>
      </c>
      <c r="DG6" s="48">
        <v>9.5000000000000001E-2</v>
      </c>
      <c r="DH6" s="48">
        <v>0.94799999999999995</v>
      </c>
      <c r="DI6" s="48">
        <v>0.84799999999999998</v>
      </c>
      <c r="DJ6" s="49">
        <v>0.155</v>
      </c>
      <c r="DK6" s="48">
        <v>0.7</v>
      </c>
      <c r="DL6" s="49">
        <v>0.42</v>
      </c>
      <c r="DM6" s="48">
        <v>0.47399999999999998</v>
      </c>
      <c r="DN6" s="48">
        <v>0.49299999999999999</v>
      </c>
      <c r="DO6" s="48">
        <v>0.38500000000000001</v>
      </c>
      <c r="DP6" s="48">
        <v>60.348999999999997</v>
      </c>
      <c r="DQ6" s="48">
        <v>62.698</v>
      </c>
      <c r="DR6" s="48">
        <v>53.167000000000002</v>
      </c>
      <c r="DS6" s="48">
        <v>50.097000000000001</v>
      </c>
      <c r="DT6" s="48">
        <v>1.1200000000000001</v>
      </c>
      <c r="DU6" s="48">
        <v>1.18</v>
      </c>
      <c r="DV6" s="48">
        <v>2.09</v>
      </c>
      <c r="DW6" s="48">
        <v>1.63</v>
      </c>
      <c r="DX6" s="48">
        <v>1.24</v>
      </c>
      <c r="DY6" s="48">
        <v>1.1399999999999999</v>
      </c>
      <c r="DZ6" s="48">
        <v>1.93</v>
      </c>
      <c r="EA6" s="48">
        <v>1.51</v>
      </c>
      <c r="EB6" s="48">
        <v>13.33</v>
      </c>
      <c r="EC6" s="48">
        <v>13.56</v>
      </c>
      <c r="ED6" s="48">
        <v>11.21</v>
      </c>
      <c r="EE6" s="48">
        <v>11.93</v>
      </c>
      <c r="EF6" s="49">
        <v>84.31</v>
      </c>
      <c r="EG6" s="49">
        <v>84.12</v>
      </c>
      <c r="EH6" s="49">
        <v>84.77</v>
      </c>
      <c r="EI6" s="49">
        <v>84.93</v>
      </c>
      <c r="EJ6" s="48">
        <v>4.6749999999999998</v>
      </c>
      <c r="EK6" s="48">
        <v>55.771000000000001</v>
      </c>
      <c r="EL6" s="49">
        <v>2.5499999999999998</v>
      </c>
      <c r="EM6" s="49">
        <v>1.7</v>
      </c>
      <c r="EN6" s="48">
        <v>1.08</v>
      </c>
      <c r="EO6" s="48">
        <v>1.08</v>
      </c>
      <c r="EP6" s="48">
        <v>-103.886</v>
      </c>
      <c r="EQ6" s="49">
        <v>-1.0940000000000001</v>
      </c>
      <c r="ER6" s="48">
        <v>105.47799999999999</v>
      </c>
      <c r="ES6" s="48">
        <v>0.50900000000000001</v>
      </c>
      <c r="ET6" s="48">
        <v>0.52600000000000002</v>
      </c>
      <c r="EU6" s="48">
        <v>0.496</v>
      </c>
      <c r="EV6" s="49">
        <v>8.1010000000000009</v>
      </c>
      <c r="EW6" s="49">
        <v>2.996</v>
      </c>
      <c r="EX6" s="48">
        <v>-517.5</v>
      </c>
      <c r="EY6" s="49">
        <v>0.18</v>
      </c>
      <c r="EZ6" s="48">
        <v>18.079999999999998</v>
      </c>
      <c r="FA6" s="49">
        <v>0</v>
      </c>
      <c r="FB6" s="48">
        <v>2.387</v>
      </c>
      <c r="FC6" s="48">
        <v>18.696999999999999</v>
      </c>
      <c r="FD6" s="48">
        <v>17.725000000000001</v>
      </c>
      <c r="FE6" s="48">
        <v>19.21</v>
      </c>
      <c r="FF6" s="48">
        <v>20.542999999999999</v>
      </c>
      <c r="FG6" s="49">
        <v>1.0089999999999999</v>
      </c>
      <c r="FH6" s="49">
        <v>1.0089999999999999</v>
      </c>
      <c r="FI6" s="49">
        <v>1.0009999999999999</v>
      </c>
      <c r="FJ6" s="49">
        <v>1.002</v>
      </c>
      <c r="FK6" s="49">
        <v>0.2</v>
      </c>
      <c r="FL6" s="48">
        <v>82</v>
      </c>
      <c r="FM6" s="48">
        <v>3.61</v>
      </c>
      <c r="FN6" s="49">
        <v>-0.9</v>
      </c>
      <c r="FO6" s="49">
        <v>0.76</v>
      </c>
      <c r="FP6" s="49">
        <v>0.2</v>
      </c>
      <c r="FQ6" s="48">
        <v>4.7</v>
      </c>
      <c r="FR6" s="48">
        <v>5.2</v>
      </c>
      <c r="FS6" s="48">
        <v>6.6455000000000002</v>
      </c>
      <c r="FT6" s="48">
        <v>1069.2</v>
      </c>
      <c r="FU6" s="48">
        <v>4.38</v>
      </c>
      <c r="FV6" s="48">
        <v>5.76</v>
      </c>
      <c r="FW6" s="49">
        <v>16383.5</v>
      </c>
      <c r="FX6" s="48">
        <v>160300</v>
      </c>
      <c r="FY6" s="48">
        <v>161100</v>
      </c>
      <c r="FZ6" s="49">
        <v>48.447000000000003</v>
      </c>
      <c r="GA6" s="49">
        <v>48.341000000000001</v>
      </c>
      <c r="GB6" s="48">
        <v>2128.4</v>
      </c>
      <c r="GC6" s="48">
        <v>2133.6</v>
      </c>
      <c r="GD6" s="48">
        <v>2145.4</v>
      </c>
      <c r="GE6" s="48">
        <v>2236.3000000000002</v>
      </c>
      <c r="GF6" s="49">
        <v>1440.9530999999999</v>
      </c>
      <c r="GG6" s="49">
        <v>38</v>
      </c>
      <c r="GH6" s="49">
        <v>37.9</v>
      </c>
      <c r="GI6" s="49">
        <v>74.2</v>
      </c>
      <c r="GJ6" s="49">
        <v>75.5</v>
      </c>
      <c r="GK6" s="49">
        <v>96.5</v>
      </c>
      <c r="GL6" s="48">
        <v>109.4</v>
      </c>
      <c r="GM6" s="49">
        <v>0</v>
      </c>
      <c r="GN6" s="48">
        <v>22.739000000000001</v>
      </c>
      <c r="GO6" s="48">
        <v>105.47799999999999</v>
      </c>
      <c r="GP6" s="49">
        <v>0</v>
      </c>
      <c r="GQ6" s="48">
        <v>4.2480000000000002</v>
      </c>
      <c r="GR6" s="49">
        <v>0</v>
      </c>
      <c r="GS6" s="48">
        <v>4.7789999999999999</v>
      </c>
      <c r="GT6" s="49">
        <v>0</v>
      </c>
      <c r="GU6" s="48">
        <v>5.0739999999999998</v>
      </c>
      <c r="GV6" s="49">
        <v>0</v>
      </c>
      <c r="GW6" s="48">
        <v>4.1929999999999996</v>
      </c>
      <c r="GX6" s="49">
        <v>24.99</v>
      </c>
      <c r="GY6" s="49">
        <v>0</v>
      </c>
      <c r="GZ6" s="49">
        <v>0</v>
      </c>
      <c r="HA6" s="49">
        <v>0</v>
      </c>
      <c r="HB6" s="49">
        <v>1</v>
      </c>
      <c r="HC6" s="48">
        <v>18.702999999999999</v>
      </c>
      <c r="HD6" s="48">
        <v>74</v>
      </c>
      <c r="HE6" s="49">
        <v>0</v>
      </c>
      <c r="HF6" s="49">
        <v>0</v>
      </c>
      <c r="HG6" s="48">
        <v>86.46</v>
      </c>
      <c r="HH6" s="48">
        <v>78.58</v>
      </c>
      <c r="HI6" s="49">
        <v>0</v>
      </c>
      <c r="HJ6" s="49">
        <v>0</v>
      </c>
      <c r="HK6" s="49">
        <v>0</v>
      </c>
      <c r="HL6" s="48">
        <v>53</v>
      </c>
      <c r="HM6" s="49">
        <v>50</v>
      </c>
      <c r="HN6" s="48">
        <v>54</v>
      </c>
      <c r="HO6" s="48">
        <v>47</v>
      </c>
      <c r="HP6" s="48">
        <v>50</v>
      </c>
      <c r="HQ6" s="48">
        <v>48</v>
      </c>
      <c r="HR6" s="48">
        <v>44</v>
      </c>
      <c r="HS6" s="48">
        <v>54</v>
      </c>
      <c r="HT6" s="48">
        <v>-1.3380000000000001</v>
      </c>
      <c r="HU6" s="49">
        <v>0</v>
      </c>
      <c r="HV6" s="48">
        <v>-1.7410000000000001</v>
      </c>
      <c r="HW6" s="48">
        <v>40.04</v>
      </c>
      <c r="HX6" s="48">
        <v>51.28</v>
      </c>
      <c r="HY6" s="3"/>
      <c r="HZ6" s="3"/>
      <c r="IA6" s="48">
        <v>2.3149999999999999</v>
      </c>
      <c r="IB6" s="48">
        <v>79</v>
      </c>
      <c r="IC6" s="48">
        <v>5.556</v>
      </c>
      <c r="ID6" s="49">
        <v>-8.1000000000000003E-2</v>
      </c>
      <c r="IE6" s="49">
        <v>-4.9000000000000002E-2</v>
      </c>
      <c r="IF6" s="48">
        <v>805.5</v>
      </c>
      <c r="IG6" s="48">
        <v>265.7</v>
      </c>
      <c r="IH6" s="48">
        <v>808.1</v>
      </c>
      <c r="II6" s="48">
        <v>274.89999999999998</v>
      </c>
      <c r="IJ6" s="48">
        <v>-7.0000000000000001E-3</v>
      </c>
      <c r="IK6" s="48">
        <v>-7.0000000000000001E-3</v>
      </c>
      <c r="IL6" s="49">
        <v>737.86599999999999</v>
      </c>
      <c r="IM6" s="49">
        <v>737.86599999999999</v>
      </c>
      <c r="IN6" s="48">
        <v>9.7799999999999994</v>
      </c>
      <c r="IO6" s="48">
        <v>5.3999999999999999E-2</v>
      </c>
      <c r="IP6" s="49">
        <v>9.42</v>
      </c>
      <c r="IQ6" s="49">
        <v>2.9000000000000001E-2</v>
      </c>
      <c r="IR6" s="49">
        <v>4.2000000000000003E-2</v>
      </c>
      <c r="IS6" s="49">
        <v>2.9000000000000001E-2</v>
      </c>
      <c r="IT6" s="49">
        <v>4.2000000000000003E-2</v>
      </c>
    </row>
    <row r="7" spans="1:254" x14ac:dyDescent="0.25">
      <c r="B7" s="2" t="s">
        <v>409</v>
      </c>
      <c r="C7" s="2" t="s">
        <v>42</v>
      </c>
      <c r="D7" s="57">
        <v>2.521064814814815E-3</v>
      </c>
      <c r="E7" s="48">
        <v>217.86</v>
      </c>
      <c r="F7" s="49">
        <v>331.66</v>
      </c>
      <c r="G7" s="48">
        <v>5.79</v>
      </c>
      <c r="H7" s="48">
        <v>24.5</v>
      </c>
      <c r="I7" s="49">
        <v>0</v>
      </c>
      <c r="J7" s="48">
        <v>15.7</v>
      </c>
      <c r="K7" s="49">
        <v>6</v>
      </c>
      <c r="L7" s="49">
        <v>6</v>
      </c>
      <c r="M7" s="49">
        <v>7</v>
      </c>
      <c r="N7" s="49">
        <v>3</v>
      </c>
      <c r="O7" s="49">
        <v>3</v>
      </c>
      <c r="P7" s="49">
        <v>0.60099999999999998</v>
      </c>
      <c r="Q7" s="49">
        <v>1.381</v>
      </c>
      <c r="R7" s="49">
        <v>0.42499999999999999</v>
      </c>
      <c r="S7" s="48">
        <v>0.14899999999999999</v>
      </c>
      <c r="T7" s="48">
        <v>80.97</v>
      </c>
      <c r="U7" s="48">
        <v>60.444000000000003</v>
      </c>
      <c r="V7" s="48">
        <v>211.66</v>
      </c>
      <c r="W7" s="48">
        <v>225</v>
      </c>
      <c r="X7" s="48">
        <v>162.5</v>
      </c>
      <c r="Y7" s="48">
        <v>205</v>
      </c>
      <c r="Z7" s="48">
        <v>369.5</v>
      </c>
      <c r="AA7" s="48">
        <v>380.52</v>
      </c>
      <c r="AB7" s="48">
        <v>271.81</v>
      </c>
      <c r="AC7" s="48">
        <v>339.08</v>
      </c>
      <c r="AD7" s="48">
        <v>1.8089999999999999</v>
      </c>
      <c r="AE7" s="48">
        <v>1.88</v>
      </c>
      <c r="AF7" s="48">
        <v>1.7869999999999999</v>
      </c>
      <c r="AG7" s="48">
        <v>1.857</v>
      </c>
      <c r="AH7" s="48">
        <v>73.91</v>
      </c>
      <c r="AI7" s="48">
        <v>65.89</v>
      </c>
      <c r="AJ7" s="48">
        <v>94.85</v>
      </c>
      <c r="AK7" s="48">
        <v>93.18</v>
      </c>
      <c r="AL7" s="48">
        <v>639.90800000000002</v>
      </c>
      <c r="AM7" s="48">
        <v>632.745</v>
      </c>
      <c r="AN7" s="48">
        <v>797.41200000000003</v>
      </c>
      <c r="AO7" s="49">
        <v>814.60299999999995</v>
      </c>
      <c r="AP7" s="48">
        <v>1.4610000000000001</v>
      </c>
      <c r="AQ7" s="48">
        <v>1.921</v>
      </c>
      <c r="AR7" s="48">
        <v>42.378999999999998</v>
      </c>
      <c r="AS7" s="49">
        <v>40.557000000000002</v>
      </c>
      <c r="AT7" s="49">
        <v>82</v>
      </c>
      <c r="AU7" s="48">
        <v>104</v>
      </c>
      <c r="AV7" s="48">
        <v>1.8674999999999999</v>
      </c>
      <c r="AW7" s="48">
        <v>4.9352999999999998</v>
      </c>
      <c r="AX7" s="48">
        <v>1012.7</v>
      </c>
      <c r="AY7" s="48">
        <v>2.4</v>
      </c>
      <c r="AZ7" s="48">
        <v>5.65</v>
      </c>
      <c r="BA7" s="48">
        <v>112.407</v>
      </c>
      <c r="BB7" s="48">
        <v>104.039</v>
      </c>
      <c r="BC7" s="48">
        <v>7713</v>
      </c>
      <c r="BD7" s="49">
        <v>89.5</v>
      </c>
      <c r="BE7" s="48">
        <v>14.09</v>
      </c>
      <c r="BF7" s="48">
        <v>12.53</v>
      </c>
      <c r="BG7" s="48">
        <v>27.91</v>
      </c>
      <c r="BH7" s="48">
        <v>27.74</v>
      </c>
      <c r="BI7" s="3"/>
      <c r="BJ7" s="3"/>
      <c r="BK7" s="3"/>
      <c r="BL7" s="3"/>
      <c r="BM7" s="3"/>
      <c r="BN7" s="48">
        <v>94.567999999999998</v>
      </c>
      <c r="BO7" s="48">
        <v>94.231999999999999</v>
      </c>
      <c r="BP7" s="48">
        <v>112.04</v>
      </c>
      <c r="BQ7" s="48">
        <v>115.416</v>
      </c>
      <c r="BR7" s="3"/>
      <c r="BS7" s="48">
        <v>24.1</v>
      </c>
      <c r="BT7" s="49">
        <v>7449.0240000000003</v>
      </c>
      <c r="BU7" s="48">
        <v>49.124000000000002</v>
      </c>
      <c r="BV7" s="48">
        <v>52.594999999999999</v>
      </c>
      <c r="BW7" s="48">
        <v>53.401000000000003</v>
      </c>
      <c r="BX7" s="48">
        <v>54.216000000000001</v>
      </c>
      <c r="BY7" s="48">
        <v>1.395</v>
      </c>
      <c r="BZ7" s="48">
        <v>2.9729999999999999</v>
      </c>
      <c r="CA7" s="49">
        <v>3.593</v>
      </c>
      <c r="CB7" s="48">
        <v>3.403</v>
      </c>
      <c r="CC7" s="48">
        <v>1.1970000000000001</v>
      </c>
      <c r="CD7" s="49">
        <v>2.5259999999999998</v>
      </c>
      <c r="CE7" s="48">
        <v>1.44</v>
      </c>
      <c r="CF7" s="48">
        <v>2.2309999999999999</v>
      </c>
      <c r="CG7" s="48">
        <v>13.768000000000001</v>
      </c>
      <c r="CH7" s="48">
        <v>13.651999999999999</v>
      </c>
      <c r="CI7" s="49">
        <v>5.4950000000000001</v>
      </c>
      <c r="CJ7" s="48">
        <v>3.5779999999999998</v>
      </c>
      <c r="CK7" s="48">
        <v>1.5860000000000001</v>
      </c>
      <c r="CL7" s="48">
        <v>0</v>
      </c>
      <c r="CM7" s="48">
        <v>0.2</v>
      </c>
      <c r="CN7" s="49">
        <v>0</v>
      </c>
      <c r="CO7" s="49">
        <v>0</v>
      </c>
      <c r="CP7" s="48">
        <v>86.096000000000004</v>
      </c>
      <c r="CQ7" s="48">
        <v>86.427000000000007</v>
      </c>
      <c r="CR7" s="48">
        <v>102.047</v>
      </c>
      <c r="CS7" s="48">
        <v>106.348</v>
      </c>
      <c r="CT7" s="48">
        <v>0.34899999999999998</v>
      </c>
      <c r="CU7" s="48">
        <v>0.70199999999999996</v>
      </c>
      <c r="CV7" s="48">
        <v>0.9</v>
      </c>
      <c r="CW7" s="49">
        <v>1.298</v>
      </c>
      <c r="CX7" s="48">
        <v>1.2030000000000001</v>
      </c>
      <c r="CY7" s="48">
        <v>0.6</v>
      </c>
      <c r="CZ7" s="48">
        <v>0.9</v>
      </c>
      <c r="DA7" s="49">
        <v>0.90100000000000002</v>
      </c>
      <c r="DB7" s="48">
        <v>1.7050000000000001</v>
      </c>
      <c r="DC7" s="49">
        <v>0</v>
      </c>
      <c r="DD7" s="49">
        <v>0</v>
      </c>
      <c r="DE7" s="49">
        <v>0.20599999999999999</v>
      </c>
      <c r="DF7" s="48">
        <v>4.4999999999999998E-2</v>
      </c>
      <c r="DG7" s="49">
        <v>0.56699999999999995</v>
      </c>
      <c r="DH7" s="49">
        <v>2.0739999999999998</v>
      </c>
      <c r="DI7" s="49">
        <v>1.0389999999999999</v>
      </c>
      <c r="DJ7" s="48">
        <v>7.3999999999999996E-2</v>
      </c>
      <c r="DK7" s="49">
        <v>0.82199999999999995</v>
      </c>
      <c r="DL7" s="49">
        <v>0.42</v>
      </c>
      <c r="DM7" s="48">
        <v>0.57999999999999996</v>
      </c>
      <c r="DN7" s="49">
        <v>0.82899999999999996</v>
      </c>
      <c r="DO7" s="49">
        <v>1.175</v>
      </c>
      <c r="DP7" s="48">
        <v>64.548000000000002</v>
      </c>
      <c r="DQ7" s="48">
        <v>61.433</v>
      </c>
      <c r="DR7" s="48">
        <v>54.655000000000001</v>
      </c>
      <c r="DS7" s="48">
        <v>53.037999999999997</v>
      </c>
      <c r="DT7" s="48">
        <v>5.47</v>
      </c>
      <c r="DU7" s="48">
        <v>5.26</v>
      </c>
      <c r="DV7" s="48">
        <v>10.53</v>
      </c>
      <c r="DW7" s="48">
        <v>7.65</v>
      </c>
      <c r="DX7" s="48">
        <v>5.69</v>
      </c>
      <c r="DY7" s="48">
        <v>5.42</v>
      </c>
      <c r="DZ7" s="48">
        <v>9.6999999999999993</v>
      </c>
      <c r="EA7" s="48">
        <v>7.15</v>
      </c>
      <c r="EB7" s="49">
        <v>43.29</v>
      </c>
      <c r="EC7" s="49">
        <v>42.49</v>
      </c>
      <c r="ED7" s="49">
        <v>35.56</v>
      </c>
      <c r="EE7" s="49">
        <v>38.51</v>
      </c>
      <c r="EF7" s="48">
        <v>45.55</v>
      </c>
      <c r="EG7" s="48">
        <v>46.83</v>
      </c>
      <c r="EH7" s="48">
        <v>44.21</v>
      </c>
      <c r="EI7" s="48">
        <v>46.7</v>
      </c>
      <c r="EJ7" s="48">
        <v>5.29</v>
      </c>
      <c r="EK7" s="48">
        <v>62.201999999999998</v>
      </c>
      <c r="EL7" s="48">
        <v>2.2000000000000002</v>
      </c>
      <c r="EM7" s="48">
        <v>1.8</v>
      </c>
      <c r="EN7" s="48">
        <v>1.21</v>
      </c>
      <c r="EO7" s="48">
        <v>1.21</v>
      </c>
      <c r="EP7" s="48">
        <v>-103.30200000000001</v>
      </c>
      <c r="EQ7" s="48">
        <v>-3.0009999999999999</v>
      </c>
      <c r="ER7" s="48">
        <v>78.614000000000004</v>
      </c>
      <c r="ES7" s="49">
        <v>1.5169999999999999</v>
      </c>
      <c r="ET7" s="48">
        <v>1.6</v>
      </c>
      <c r="EU7" s="49">
        <v>1.454</v>
      </c>
      <c r="EV7" s="48">
        <v>7.8280000000000003</v>
      </c>
      <c r="EW7" s="48">
        <v>2.9710000000000001</v>
      </c>
      <c r="EX7" s="48">
        <v>70.42</v>
      </c>
      <c r="EY7" s="48">
        <v>8.1000000000000003E-2</v>
      </c>
      <c r="EZ7" s="48">
        <v>25.306000000000001</v>
      </c>
      <c r="FA7" s="49">
        <v>0</v>
      </c>
      <c r="FB7" s="48">
        <v>8.9429999999999996</v>
      </c>
      <c r="FC7" s="48">
        <v>65.203000000000003</v>
      </c>
      <c r="FD7" s="48">
        <v>60.716000000000001</v>
      </c>
      <c r="FE7" s="48">
        <v>72.183999999999997</v>
      </c>
      <c r="FF7" s="48">
        <v>71.347999999999999</v>
      </c>
      <c r="FG7" s="48">
        <v>0.91600000000000004</v>
      </c>
      <c r="FH7" s="48">
        <v>0.91700000000000004</v>
      </c>
      <c r="FI7" s="48">
        <v>0.998</v>
      </c>
      <c r="FJ7" s="48">
        <v>1</v>
      </c>
      <c r="FK7" s="48">
        <v>0</v>
      </c>
      <c r="FL7" s="48">
        <v>82</v>
      </c>
      <c r="FM7" s="48">
        <v>3.71</v>
      </c>
      <c r="FN7" s="48">
        <v>-0.78</v>
      </c>
      <c r="FO7" s="48">
        <v>5.49</v>
      </c>
      <c r="FP7" s="3"/>
      <c r="FQ7" s="48">
        <v>4.7</v>
      </c>
      <c r="FR7" s="48">
        <v>5</v>
      </c>
      <c r="FS7" s="48">
        <v>6.694</v>
      </c>
      <c r="FT7" s="48">
        <v>1073.9000000000001</v>
      </c>
      <c r="FU7" s="48">
        <v>4.88</v>
      </c>
      <c r="FV7" s="48">
        <v>11.54</v>
      </c>
      <c r="FW7" s="48">
        <v>3299</v>
      </c>
      <c r="FX7" s="49">
        <v>165400</v>
      </c>
      <c r="FY7" s="48">
        <v>165500</v>
      </c>
      <c r="FZ7" s="48">
        <v>47.786999999999999</v>
      </c>
      <c r="GA7" s="48">
        <v>47.89</v>
      </c>
      <c r="GB7" s="49">
        <v>2211.1</v>
      </c>
      <c r="GC7" s="48">
        <v>2152.5</v>
      </c>
      <c r="GD7" s="49">
        <v>2345.5</v>
      </c>
      <c r="GE7" s="48">
        <v>2234.8000000000002</v>
      </c>
      <c r="GF7" s="48">
        <v>1401.75</v>
      </c>
      <c r="GG7" s="48">
        <v>26</v>
      </c>
      <c r="GH7" s="48">
        <v>26.3</v>
      </c>
      <c r="GI7" s="48">
        <v>48.7</v>
      </c>
      <c r="GJ7" s="48">
        <v>53.5</v>
      </c>
      <c r="GK7" s="48">
        <v>99.5</v>
      </c>
      <c r="GL7" s="49">
        <v>110.8</v>
      </c>
      <c r="GM7" s="49">
        <v>0</v>
      </c>
      <c r="GN7" s="48">
        <v>26.097999999999999</v>
      </c>
      <c r="GO7" s="48">
        <v>103.30200000000001</v>
      </c>
      <c r="GP7" s="48">
        <v>0.94399999999999995</v>
      </c>
      <c r="GQ7" s="48">
        <v>1.8879999999999999</v>
      </c>
      <c r="GR7" s="48">
        <v>1.2390000000000001</v>
      </c>
      <c r="GS7" s="48">
        <v>2.0059999999999998</v>
      </c>
      <c r="GT7" s="48">
        <v>0.70799999999999996</v>
      </c>
      <c r="GU7" s="48">
        <v>1.829</v>
      </c>
      <c r="GV7" s="48">
        <v>12.74</v>
      </c>
      <c r="GW7" s="49">
        <v>13.887</v>
      </c>
      <c r="GX7" s="48">
        <v>15.778</v>
      </c>
      <c r="GY7" s="49">
        <v>0</v>
      </c>
      <c r="GZ7" s="49">
        <v>0</v>
      </c>
      <c r="HA7" s="49">
        <v>0</v>
      </c>
      <c r="HB7" s="48">
        <v>0</v>
      </c>
      <c r="HC7" s="48">
        <v>35.014000000000003</v>
      </c>
      <c r="HD7" s="48">
        <v>78</v>
      </c>
      <c r="HE7" s="49">
        <v>0</v>
      </c>
      <c r="HF7" s="49">
        <v>0</v>
      </c>
      <c r="HG7" s="49">
        <v>86.91</v>
      </c>
      <c r="HH7" s="49">
        <v>79.790000000000006</v>
      </c>
      <c r="HI7" s="49">
        <v>0</v>
      </c>
      <c r="HJ7" s="49">
        <v>0</v>
      </c>
      <c r="HK7" s="49">
        <v>0</v>
      </c>
      <c r="HL7" s="48">
        <v>51</v>
      </c>
      <c r="HM7" s="48">
        <v>49</v>
      </c>
      <c r="HN7" s="48">
        <v>56</v>
      </c>
      <c r="HO7" s="48">
        <v>49</v>
      </c>
      <c r="HP7" s="48">
        <v>53</v>
      </c>
      <c r="HQ7" s="48">
        <v>51</v>
      </c>
      <c r="HR7" s="48">
        <v>44</v>
      </c>
      <c r="HS7" s="49">
        <v>70</v>
      </c>
      <c r="HT7" s="48">
        <v>-1.3720000000000001</v>
      </c>
      <c r="HU7" s="49">
        <v>0</v>
      </c>
      <c r="HV7" s="48">
        <v>-1.2E-2</v>
      </c>
      <c r="HW7" s="49">
        <v>39.58</v>
      </c>
      <c r="HX7" s="48">
        <v>49.87</v>
      </c>
      <c r="HY7" s="48">
        <v>51.98</v>
      </c>
      <c r="HZ7" s="48">
        <v>51.98</v>
      </c>
      <c r="IA7" s="48">
        <v>2.4660000000000002</v>
      </c>
      <c r="IB7" s="49">
        <v>103</v>
      </c>
      <c r="IC7" s="48">
        <v>21.74</v>
      </c>
      <c r="ID7" s="48">
        <v>-0.44600000000000001</v>
      </c>
      <c r="IE7" s="48">
        <v>-0.26300000000000001</v>
      </c>
      <c r="IF7" s="48">
        <v>805.5</v>
      </c>
      <c r="IG7" s="48">
        <v>755.8</v>
      </c>
      <c r="IH7" s="48">
        <v>817.3</v>
      </c>
      <c r="II7" s="48">
        <v>767.3</v>
      </c>
      <c r="IJ7" s="48">
        <v>-2.3E-2</v>
      </c>
      <c r="IK7" s="48">
        <v>-1E-3</v>
      </c>
      <c r="IL7" s="48">
        <v>78.742999999999995</v>
      </c>
      <c r="IM7" s="48">
        <v>78.742999999999995</v>
      </c>
      <c r="IN7" s="48">
        <v>11.456</v>
      </c>
      <c r="IO7" s="48">
        <v>0.183</v>
      </c>
      <c r="IP7" s="48">
        <v>8.77</v>
      </c>
      <c r="IQ7" s="48">
        <v>1.0999999999999999E-2</v>
      </c>
      <c r="IR7" s="48">
        <v>0.01</v>
      </c>
      <c r="IS7">
        <v>0.22500000000000001</v>
      </c>
      <c r="IT7">
        <v>9.9000000000000005E-2</v>
      </c>
    </row>
    <row r="8" spans="1:254" x14ac:dyDescent="0.25">
      <c r="B8" s="2" t="s">
        <v>409</v>
      </c>
      <c r="C8" s="2" t="s">
        <v>43</v>
      </c>
      <c r="D8" s="57">
        <v>2.5363425925925926E-3</v>
      </c>
      <c r="E8" s="48">
        <v>219.18</v>
      </c>
      <c r="F8" s="48">
        <v>327.05</v>
      </c>
      <c r="G8" s="48">
        <v>5.7</v>
      </c>
      <c r="H8" s="48">
        <v>25.1</v>
      </c>
      <c r="I8" s="49">
        <v>0</v>
      </c>
      <c r="J8" s="48">
        <v>22.3</v>
      </c>
      <c r="K8" s="49">
        <v>6</v>
      </c>
      <c r="L8" s="49">
        <v>6</v>
      </c>
      <c r="M8" s="49">
        <v>7</v>
      </c>
      <c r="N8" s="49">
        <v>3</v>
      </c>
      <c r="O8" s="49">
        <v>3</v>
      </c>
      <c r="P8" s="48">
        <v>0.46200000000000002</v>
      </c>
      <c r="Q8" s="48">
        <v>1.137</v>
      </c>
      <c r="R8" s="48">
        <v>0.33600000000000002</v>
      </c>
      <c r="S8" s="48">
        <v>0.121</v>
      </c>
      <c r="T8" s="48">
        <v>73.19</v>
      </c>
      <c r="U8" s="49">
        <v>60.557000000000002</v>
      </c>
      <c r="V8" s="48">
        <v>213.34</v>
      </c>
      <c r="W8" s="48">
        <v>231.66</v>
      </c>
      <c r="X8" s="48">
        <v>150</v>
      </c>
      <c r="Y8" s="48">
        <v>190</v>
      </c>
      <c r="Z8" s="48">
        <v>354.84</v>
      </c>
      <c r="AA8" s="48">
        <v>370.31</v>
      </c>
      <c r="AB8" s="48">
        <v>249.33</v>
      </c>
      <c r="AC8" s="48">
        <v>316.01</v>
      </c>
      <c r="AD8" s="48">
        <v>1.825</v>
      </c>
      <c r="AE8" s="48">
        <v>1.8919999999999999</v>
      </c>
      <c r="AF8" s="48">
        <v>1.83</v>
      </c>
      <c r="AG8" s="48">
        <v>1.8939999999999999</v>
      </c>
      <c r="AH8" s="48">
        <v>76.77</v>
      </c>
      <c r="AI8" s="48">
        <v>67.53</v>
      </c>
      <c r="AJ8" s="48">
        <v>100.71</v>
      </c>
      <c r="AK8" s="48">
        <v>98.61</v>
      </c>
      <c r="AL8" s="48">
        <v>649.54600000000005</v>
      </c>
      <c r="AM8" s="48">
        <v>653.94100000000003</v>
      </c>
      <c r="AN8" s="49">
        <v>863.35900000000004</v>
      </c>
      <c r="AO8" s="48">
        <v>785.06899999999996</v>
      </c>
      <c r="AP8" s="48">
        <v>1.427</v>
      </c>
      <c r="AQ8" s="48">
        <v>1.9139999999999999</v>
      </c>
      <c r="AR8" s="48">
        <v>40.857999999999997</v>
      </c>
      <c r="AS8" s="48">
        <v>38.558999999999997</v>
      </c>
      <c r="AT8" s="49">
        <v>82</v>
      </c>
      <c r="AU8" s="48">
        <v>110</v>
      </c>
      <c r="AV8" s="48">
        <v>1.7769999999999999</v>
      </c>
      <c r="AW8" s="48">
        <v>4.9229000000000003</v>
      </c>
      <c r="AX8" s="48">
        <v>1013.9</v>
      </c>
      <c r="AY8" s="48">
        <v>2.36</v>
      </c>
      <c r="AZ8" s="48">
        <v>5.64</v>
      </c>
      <c r="BA8" s="48">
        <v>120.566</v>
      </c>
      <c r="BB8" s="48">
        <v>119.041</v>
      </c>
      <c r="BC8" s="49">
        <v>7799</v>
      </c>
      <c r="BD8" s="48">
        <v>89</v>
      </c>
      <c r="BE8" s="48">
        <v>14.67</v>
      </c>
      <c r="BF8" s="49">
        <v>13.645</v>
      </c>
      <c r="BG8" s="49">
        <v>30.05</v>
      </c>
      <c r="BH8" s="48">
        <v>28.08</v>
      </c>
      <c r="BI8" s="3"/>
      <c r="BJ8" s="3"/>
      <c r="BK8" s="3"/>
      <c r="BL8" s="3"/>
      <c r="BM8" s="3"/>
      <c r="BN8" s="48">
        <v>95.927999999999997</v>
      </c>
      <c r="BO8" s="48">
        <v>97.016000000000005</v>
      </c>
      <c r="BP8" s="48">
        <v>111.91200000000001</v>
      </c>
      <c r="BQ8" s="48">
        <v>117.91200000000001</v>
      </c>
      <c r="BR8" s="3"/>
      <c r="BS8" s="48">
        <v>24.8</v>
      </c>
      <c r="BT8" s="48">
        <v>7333.6940000000004</v>
      </c>
      <c r="BU8" s="48">
        <v>49.484999999999999</v>
      </c>
      <c r="BV8" s="48">
        <v>51.475999999999999</v>
      </c>
      <c r="BW8" s="48">
        <v>53.738999999999997</v>
      </c>
      <c r="BX8" s="48">
        <v>53.735999999999997</v>
      </c>
      <c r="BY8" s="48">
        <v>1.468</v>
      </c>
      <c r="BZ8" s="48">
        <v>3.19</v>
      </c>
      <c r="CA8" s="48">
        <v>3.2949999999999999</v>
      </c>
      <c r="CB8" s="48">
        <v>3.133</v>
      </c>
      <c r="CC8" s="48">
        <v>1.0009999999999999</v>
      </c>
      <c r="CD8" s="48">
        <v>2.2890000000000001</v>
      </c>
      <c r="CE8" s="48">
        <v>1.4470000000000001</v>
      </c>
      <c r="CF8" s="48">
        <v>2.2080000000000002</v>
      </c>
      <c r="CG8" s="48">
        <v>13.759</v>
      </c>
      <c r="CH8" s="48">
        <v>13.624000000000001</v>
      </c>
      <c r="CI8" s="48">
        <v>4.6879999999999997</v>
      </c>
      <c r="CJ8" s="49">
        <v>3.6749999999999998</v>
      </c>
      <c r="CK8" s="49">
        <v>1.6779999999999999</v>
      </c>
      <c r="CL8" s="49">
        <v>0.5</v>
      </c>
      <c r="CM8" s="48">
        <v>0.4</v>
      </c>
      <c r="CN8" s="49">
        <v>0</v>
      </c>
      <c r="CO8" s="49">
        <v>0</v>
      </c>
      <c r="CP8" s="48">
        <v>91.620999999999995</v>
      </c>
      <c r="CQ8" s="48">
        <v>92.914000000000001</v>
      </c>
      <c r="CR8" s="48">
        <v>105.651</v>
      </c>
      <c r="CS8" s="48">
        <v>112.014</v>
      </c>
      <c r="CT8" s="48">
        <v>0.39600000000000002</v>
      </c>
      <c r="CU8" s="49">
        <v>1.7010000000000001</v>
      </c>
      <c r="CV8" s="49">
        <v>1.4970000000000001</v>
      </c>
      <c r="CW8" s="48">
        <v>0.999</v>
      </c>
      <c r="CX8" s="48">
        <v>1.095</v>
      </c>
      <c r="CY8" s="48">
        <v>0.503</v>
      </c>
      <c r="CZ8" s="48">
        <v>0.89800000000000002</v>
      </c>
      <c r="DA8" s="48">
        <v>0.4</v>
      </c>
      <c r="DB8" s="49">
        <v>2.496</v>
      </c>
      <c r="DC8" s="49">
        <v>0</v>
      </c>
      <c r="DD8" s="49">
        <v>0</v>
      </c>
      <c r="DE8" s="48">
        <v>0.13200000000000001</v>
      </c>
      <c r="DF8" s="48">
        <v>3.2000000000000001E-2</v>
      </c>
      <c r="DG8" s="48">
        <v>0.33600000000000002</v>
      </c>
      <c r="DH8" s="48">
        <v>1.409</v>
      </c>
      <c r="DI8" s="48">
        <v>0.69799999999999995</v>
      </c>
      <c r="DJ8" s="48">
        <v>5.0999999999999997E-2</v>
      </c>
      <c r="DK8" s="48">
        <v>0.64500000000000002</v>
      </c>
      <c r="DL8" s="48">
        <v>0.41199999999999998</v>
      </c>
      <c r="DM8" s="49">
        <v>0.70199999999999996</v>
      </c>
      <c r="DN8" s="48">
        <v>0.41899999999999998</v>
      </c>
      <c r="DO8" s="48">
        <v>0.35299999999999998</v>
      </c>
      <c r="DP8" s="48">
        <v>66.626000000000005</v>
      </c>
      <c r="DQ8" s="48">
        <v>61.338000000000001</v>
      </c>
      <c r="DR8" s="49">
        <v>54.741</v>
      </c>
      <c r="DS8" s="48">
        <v>52.817</v>
      </c>
      <c r="DT8" s="49">
        <v>6.36</v>
      </c>
      <c r="DU8" s="49">
        <v>6.23</v>
      </c>
      <c r="DV8" s="49">
        <v>11.2</v>
      </c>
      <c r="DW8" s="48">
        <v>8.51</v>
      </c>
      <c r="DX8" s="49">
        <v>6.84</v>
      </c>
      <c r="DY8" s="49">
        <v>6.48</v>
      </c>
      <c r="DZ8" s="49">
        <v>10.64</v>
      </c>
      <c r="EA8" s="48">
        <v>8.0500000000000007</v>
      </c>
      <c r="EB8" s="48">
        <v>42.29</v>
      </c>
      <c r="EC8" s="48">
        <v>41.42</v>
      </c>
      <c r="ED8" s="48">
        <v>35.25</v>
      </c>
      <c r="EE8" s="48">
        <v>38.17</v>
      </c>
      <c r="EF8" s="48">
        <v>44.51</v>
      </c>
      <c r="EG8" s="48">
        <v>45.86</v>
      </c>
      <c r="EH8" s="48">
        <v>42.91</v>
      </c>
      <c r="EI8" s="48">
        <v>45.28</v>
      </c>
      <c r="EJ8" s="48">
        <v>5.8940000000000001</v>
      </c>
      <c r="EK8" s="48">
        <v>62.148000000000003</v>
      </c>
      <c r="EL8" s="48">
        <v>2.2000000000000002</v>
      </c>
      <c r="EM8" s="48">
        <v>1.75</v>
      </c>
      <c r="EN8" s="49">
        <v>1.25</v>
      </c>
      <c r="EO8" s="49">
        <v>1.26</v>
      </c>
      <c r="EP8" s="48">
        <v>-91.622</v>
      </c>
      <c r="EQ8" s="48">
        <v>-2.59</v>
      </c>
      <c r="ER8" s="49">
        <v>112.77800000000001</v>
      </c>
      <c r="ES8" s="48">
        <v>1.4830000000000001</v>
      </c>
      <c r="ET8" s="48">
        <v>1.611</v>
      </c>
      <c r="EU8" s="48">
        <v>1.4370000000000001</v>
      </c>
      <c r="EV8" s="48">
        <v>7.6870000000000003</v>
      </c>
      <c r="EW8" s="48">
        <v>2.85</v>
      </c>
      <c r="EX8" s="48">
        <v>69.44</v>
      </c>
      <c r="EY8" s="48">
        <v>0</v>
      </c>
      <c r="EZ8" s="48">
        <v>1.5289999999999999</v>
      </c>
      <c r="FA8" s="49">
        <v>0</v>
      </c>
      <c r="FB8" s="48">
        <v>9.0020000000000007</v>
      </c>
      <c r="FC8" s="48">
        <v>67.558000000000007</v>
      </c>
      <c r="FD8" s="48">
        <v>62.256999999999998</v>
      </c>
      <c r="FE8" s="48">
        <v>76.608000000000004</v>
      </c>
      <c r="FF8" s="48">
        <v>75.126000000000005</v>
      </c>
      <c r="FG8" s="48">
        <v>0.91800000000000004</v>
      </c>
      <c r="FH8" s="48">
        <v>0.91800000000000004</v>
      </c>
      <c r="FI8" s="48">
        <v>0.996</v>
      </c>
      <c r="FJ8" s="48">
        <v>0.998</v>
      </c>
      <c r="FK8" s="48">
        <v>0</v>
      </c>
      <c r="FL8" s="49">
        <v>83</v>
      </c>
      <c r="FM8" s="48">
        <v>3.79</v>
      </c>
      <c r="FN8" s="48">
        <v>-0.56000000000000005</v>
      </c>
      <c r="FO8" s="48">
        <v>5.46</v>
      </c>
      <c r="FP8" s="48">
        <v>4.1500000000000004</v>
      </c>
      <c r="FQ8" s="49">
        <v>4.4000000000000004</v>
      </c>
      <c r="FR8" s="48">
        <v>5</v>
      </c>
      <c r="FS8" s="48">
        <v>6.7184999999999997</v>
      </c>
      <c r="FT8" s="48">
        <v>1068.4000000000001</v>
      </c>
      <c r="FU8" s="48">
        <v>5.51</v>
      </c>
      <c r="FV8" s="48">
        <v>17.25</v>
      </c>
      <c r="FW8" s="48">
        <v>3205</v>
      </c>
      <c r="FX8" s="48">
        <v>164400</v>
      </c>
      <c r="FY8" s="49">
        <v>166200</v>
      </c>
      <c r="FZ8" s="48">
        <v>47.911000000000001</v>
      </c>
      <c r="GA8" s="48">
        <v>47.88</v>
      </c>
      <c r="GB8" s="48">
        <v>2151.1999999999998</v>
      </c>
      <c r="GC8" s="49">
        <v>2241.9</v>
      </c>
      <c r="GD8" s="48">
        <v>2232.8000000000002</v>
      </c>
      <c r="GE8" s="48">
        <v>2241.9</v>
      </c>
      <c r="GF8" s="48">
        <v>1413.7655999999999</v>
      </c>
      <c r="GG8" s="48">
        <v>27</v>
      </c>
      <c r="GH8" s="48">
        <v>26.9</v>
      </c>
      <c r="GI8" s="48">
        <v>44.9</v>
      </c>
      <c r="GJ8" s="48">
        <v>49.9</v>
      </c>
      <c r="GK8" s="48">
        <v>99.5</v>
      </c>
      <c r="GL8" s="49">
        <v>110.8</v>
      </c>
      <c r="GM8" s="49">
        <v>0</v>
      </c>
      <c r="GN8" s="49">
        <v>27.2</v>
      </c>
      <c r="GO8" s="49">
        <v>112.77800000000001</v>
      </c>
      <c r="GP8" s="48">
        <v>0.76700000000000002</v>
      </c>
      <c r="GQ8" s="48">
        <v>1.829</v>
      </c>
      <c r="GR8" s="48">
        <v>1.298</v>
      </c>
      <c r="GS8" s="48">
        <v>2.0059999999999998</v>
      </c>
      <c r="GT8" s="48">
        <v>0.70799999999999996</v>
      </c>
      <c r="GU8" s="48">
        <v>1.829</v>
      </c>
      <c r="GV8" s="48">
        <v>12.641999999999999</v>
      </c>
      <c r="GW8" s="48">
        <v>13.865</v>
      </c>
      <c r="GX8" s="48">
        <v>15.582000000000001</v>
      </c>
      <c r="GY8" s="49">
        <v>0</v>
      </c>
      <c r="GZ8" s="49">
        <v>0</v>
      </c>
      <c r="HA8" s="49">
        <v>0</v>
      </c>
      <c r="HB8" s="48">
        <v>0</v>
      </c>
      <c r="HC8" s="48">
        <v>35.799999999999997</v>
      </c>
      <c r="HD8" s="48">
        <v>78</v>
      </c>
      <c r="HE8" s="49">
        <v>0</v>
      </c>
      <c r="HF8" s="49">
        <v>0</v>
      </c>
      <c r="HG8" s="48">
        <v>73.75</v>
      </c>
      <c r="HH8" s="48">
        <v>79.19</v>
      </c>
      <c r="HI8" s="49">
        <v>0</v>
      </c>
      <c r="HJ8" s="49">
        <v>0</v>
      </c>
      <c r="HK8" s="49">
        <v>0</v>
      </c>
      <c r="HL8" s="48">
        <v>54</v>
      </c>
      <c r="HM8" s="48">
        <v>48</v>
      </c>
      <c r="HN8" s="48">
        <v>58</v>
      </c>
      <c r="HO8" s="48">
        <v>51</v>
      </c>
      <c r="HP8" s="48">
        <v>55</v>
      </c>
      <c r="HQ8" s="48">
        <v>53</v>
      </c>
      <c r="HR8" s="48">
        <v>46</v>
      </c>
      <c r="HS8" s="48">
        <v>62</v>
      </c>
      <c r="HT8" s="48">
        <v>-1.3779999999999999</v>
      </c>
      <c r="HU8" s="49">
        <v>0</v>
      </c>
      <c r="HV8" s="48">
        <v>0.51300000000000001</v>
      </c>
      <c r="HW8" s="49">
        <v>39.58</v>
      </c>
      <c r="HX8" s="49">
        <v>45.47</v>
      </c>
      <c r="HY8" s="48">
        <v>51.67</v>
      </c>
      <c r="HZ8" s="48">
        <v>51.67</v>
      </c>
      <c r="IA8" s="48">
        <v>2.5459999999999998</v>
      </c>
      <c r="IB8" s="49">
        <v>103</v>
      </c>
      <c r="IC8" s="48">
        <v>21.888999999999999</v>
      </c>
      <c r="ID8" s="48">
        <v>-0.373</v>
      </c>
      <c r="IE8" s="48">
        <v>-0.222</v>
      </c>
      <c r="IF8" s="48">
        <v>803.6</v>
      </c>
      <c r="IG8" s="48">
        <v>751.4</v>
      </c>
      <c r="IH8" s="48">
        <v>813.2</v>
      </c>
      <c r="II8" s="48">
        <v>763.6</v>
      </c>
      <c r="IJ8" s="49">
        <v>1.4E-2</v>
      </c>
      <c r="IK8" s="48">
        <v>0.02</v>
      </c>
      <c r="IL8" s="48">
        <v>85.325999999999993</v>
      </c>
      <c r="IM8" s="48">
        <v>85.325999999999993</v>
      </c>
      <c r="IN8" s="48">
        <v>12.321999999999999</v>
      </c>
      <c r="IO8" s="48">
        <v>0.16600000000000001</v>
      </c>
      <c r="IP8" s="48">
        <v>9</v>
      </c>
      <c r="IQ8" s="48">
        <v>8.9999999999999993E-3</v>
      </c>
      <c r="IR8" s="48">
        <v>6.0000000000000001E-3</v>
      </c>
      <c r="IS8">
        <v>0.23400000000000001</v>
      </c>
      <c r="IT8">
        <v>0.10500000000000001</v>
      </c>
    </row>
    <row r="9" spans="1:254" x14ac:dyDescent="0.25">
      <c r="B9" s="2" t="s">
        <v>409</v>
      </c>
      <c r="C9" s="58" t="s">
        <v>44</v>
      </c>
      <c r="D9" s="59">
        <v>2.4795138888888892E-3</v>
      </c>
      <c r="E9" s="48">
        <v>214.27</v>
      </c>
      <c r="F9" s="48">
        <v>329.49</v>
      </c>
      <c r="G9" s="49">
        <v>5.98</v>
      </c>
      <c r="H9" s="49">
        <v>25.4</v>
      </c>
      <c r="I9" s="49">
        <v>0</v>
      </c>
      <c r="J9" s="48">
        <v>15.4</v>
      </c>
      <c r="K9" s="49">
        <v>6</v>
      </c>
      <c r="L9" s="49">
        <v>6</v>
      </c>
      <c r="M9" s="49">
        <v>7</v>
      </c>
      <c r="N9" s="49">
        <v>3</v>
      </c>
      <c r="O9" s="49">
        <v>3</v>
      </c>
      <c r="P9" s="48">
        <v>0.38500000000000001</v>
      </c>
      <c r="Q9" s="48">
        <v>0.92</v>
      </c>
      <c r="R9" s="48">
        <v>0.10299999999999999</v>
      </c>
      <c r="S9" s="49">
        <v>0.20300000000000001</v>
      </c>
      <c r="T9" s="49">
        <v>90.5</v>
      </c>
      <c r="U9" s="48">
        <v>60.509</v>
      </c>
      <c r="V9" s="48">
        <v>225</v>
      </c>
      <c r="W9" s="48">
        <v>241.66</v>
      </c>
      <c r="X9" s="48">
        <v>165</v>
      </c>
      <c r="Y9" s="48">
        <v>210</v>
      </c>
      <c r="Z9" s="49">
        <v>372.54</v>
      </c>
      <c r="AA9" s="49">
        <v>382.47</v>
      </c>
      <c r="AB9" s="48">
        <v>271.33999999999997</v>
      </c>
      <c r="AC9" s="48">
        <v>342.45</v>
      </c>
      <c r="AD9" s="48">
        <v>1.829</v>
      </c>
      <c r="AE9" s="48">
        <v>1.8979999999999999</v>
      </c>
      <c r="AF9" s="48">
        <v>1.8560000000000001</v>
      </c>
      <c r="AG9" s="48">
        <v>1.917</v>
      </c>
      <c r="AH9" s="48">
        <v>77.77</v>
      </c>
      <c r="AI9" s="48">
        <v>68.58</v>
      </c>
      <c r="AJ9" s="48">
        <v>103.64</v>
      </c>
      <c r="AK9" s="48">
        <v>101.15</v>
      </c>
      <c r="AL9" s="49">
        <v>655.24699999999996</v>
      </c>
      <c r="AM9" s="48">
        <v>653.55600000000004</v>
      </c>
      <c r="AN9" s="48">
        <v>840.10699999999997</v>
      </c>
      <c r="AO9" s="48">
        <v>784.52599999999995</v>
      </c>
      <c r="AP9" s="48">
        <v>1.425</v>
      </c>
      <c r="AQ9" s="48">
        <v>1.88</v>
      </c>
      <c r="AR9" s="48">
        <v>40.710999999999999</v>
      </c>
      <c r="AS9" s="48">
        <v>37.984000000000002</v>
      </c>
      <c r="AT9" s="49">
        <v>82</v>
      </c>
      <c r="AU9" s="48">
        <v>116</v>
      </c>
      <c r="AV9" s="48">
        <v>1.69</v>
      </c>
      <c r="AW9" s="48">
        <v>5.0046999999999997</v>
      </c>
      <c r="AX9" s="48">
        <v>1015.5</v>
      </c>
      <c r="AY9" s="48">
        <v>2.41</v>
      </c>
      <c r="AZ9" s="48">
        <v>5.73</v>
      </c>
      <c r="BA9" s="48">
        <v>139.70599999999999</v>
      </c>
      <c r="BB9" s="48">
        <v>137.63900000000001</v>
      </c>
      <c r="BC9" s="48">
        <v>7683</v>
      </c>
      <c r="BD9" s="48">
        <v>89</v>
      </c>
      <c r="BE9" s="48">
        <v>14.645</v>
      </c>
      <c r="BF9" s="48">
        <v>13.23</v>
      </c>
      <c r="BG9" s="48">
        <v>28.82</v>
      </c>
      <c r="BH9" s="48">
        <v>27.97</v>
      </c>
      <c r="BI9" s="3"/>
      <c r="BJ9" s="3"/>
      <c r="BK9" s="3"/>
      <c r="BL9" s="3"/>
      <c r="BM9" s="3"/>
      <c r="BN9" s="48">
        <v>94.712000000000003</v>
      </c>
      <c r="BO9" s="48">
        <v>95.304000000000002</v>
      </c>
      <c r="BP9" s="48">
        <v>114.872</v>
      </c>
      <c r="BQ9" s="48">
        <v>119.512</v>
      </c>
      <c r="BR9" s="3"/>
      <c r="BS9" s="49">
        <v>25.1</v>
      </c>
      <c r="BT9" s="48">
        <v>7350.2290000000003</v>
      </c>
      <c r="BU9" s="49">
        <v>49.564999999999998</v>
      </c>
      <c r="BV9" s="49">
        <v>52.991999999999997</v>
      </c>
      <c r="BW9" s="48">
        <v>52.125</v>
      </c>
      <c r="BX9" s="48">
        <v>54.161999999999999</v>
      </c>
      <c r="BY9" s="48">
        <v>1.2529999999999999</v>
      </c>
      <c r="BZ9" s="49">
        <v>3.31</v>
      </c>
      <c r="CA9" s="48">
        <v>3.4159999999999999</v>
      </c>
      <c r="CB9" s="48">
        <v>3.3170000000000002</v>
      </c>
      <c r="CC9" s="48">
        <v>1.2070000000000001</v>
      </c>
      <c r="CD9" s="48">
        <v>2.3839999999999999</v>
      </c>
      <c r="CE9" s="48">
        <v>1.33</v>
      </c>
      <c r="CF9" s="48">
        <v>2.1</v>
      </c>
      <c r="CG9" s="48">
        <v>13.747</v>
      </c>
      <c r="CH9" s="48">
        <v>13.587999999999999</v>
      </c>
      <c r="CI9" s="48">
        <v>3.944</v>
      </c>
      <c r="CJ9" s="48">
        <v>3.4580000000000002</v>
      </c>
      <c r="CK9" s="48">
        <v>1.47</v>
      </c>
      <c r="CL9" s="48">
        <v>0.1</v>
      </c>
      <c r="CM9" s="48">
        <v>1</v>
      </c>
      <c r="CN9" s="49">
        <v>0</v>
      </c>
      <c r="CO9" s="49">
        <v>0</v>
      </c>
      <c r="CP9" s="48">
        <v>91.215999999999994</v>
      </c>
      <c r="CQ9" s="48">
        <v>92.259</v>
      </c>
      <c r="CR9" s="48">
        <v>106.741</v>
      </c>
      <c r="CS9" s="48">
        <v>113.67700000000001</v>
      </c>
      <c r="CT9" s="48">
        <v>0.32200000000000001</v>
      </c>
      <c r="CU9" s="48">
        <v>0.80200000000000005</v>
      </c>
      <c r="CV9" s="48">
        <v>1.3959999999999999</v>
      </c>
      <c r="CW9" s="48">
        <v>1.103</v>
      </c>
      <c r="CX9" s="49">
        <v>1.296</v>
      </c>
      <c r="CY9" s="48">
        <v>0.30199999999999999</v>
      </c>
      <c r="CZ9" s="48">
        <v>0.79700000000000004</v>
      </c>
      <c r="DA9" s="48">
        <v>0.4</v>
      </c>
      <c r="DB9" s="48">
        <v>1.5</v>
      </c>
      <c r="DC9" s="49">
        <v>0</v>
      </c>
      <c r="DD9" s="49">
        <v>0</v>
      </c>
      <c r="DE9" s="48">
        <v>0.125</v>
      </c>
      <c r="DF9" s="48">
        <v>4.3999999999999997E-2</v>
      </c>
      <c r="DG9" s="48">
        <v>0.496</v>
      </c>
      <c r="DH9" s="48">
        <v>1.0129999999999999</v>
      </c>
      <c r="DI9" s="48">
        <v>0.67100000000000004</v>
      </c>
      <c r="DJ9" s="48">
        <v>2E-3</v>
      </c>
      <c r="DK9" s="48">
        <v>0.77800000000000002</v>
      </c>
      <c r="DL9" s="48">
        <v>0.41799999999999998</v>
      </c>
      <c r="DM9" s="48">
        <v>0.435</v>
      </c>
      <c r="DN9" s="48">
        <v>0.28299999999999997</v>
      </c>
      <c r="DO9" s="48">
        <v>0.27100000000000002</v>
      </c>
      <c r="DP9" s="48">
        <v>65.945999999999998</v>
      </c>
      <c r="DQ9" s="48">
        <v>59.715000000000003</v>
      </c>
      <c r="DR9" s="48">
        <v>54.274000000000001</v>
      </c>
      <c r="DS9" s="48">
        <v>52.204000000000001</v>
      </c>
      <c r="DT9" s="48">
        <v>5.99</v>
      </c>
      <c r="DU9" s="48">
        <v>6.1</v>
      </c>
      <c r="DV9" s="48">
        <v>10.95</v>
      </c>
      <c r="DW9" s="49">
        <v>8.5299999999999994</v>
      </c>
      <c r="DX9" s="48">
        <v>6.18</v>
      </c>
      <c r="DY9" s="48">
        <v>6.12</v>
      </c>
      <c r="DZ9" s="48">
        <v>10.31</v>
      </c>
      <c r="EA9" s="49">
        <v>8.1300000000000008</v>
      </c>
      <c r="EB9" s="48">
        <v>42.49</v>
      </c>
      <c r="EC9" s="48">
        <v>41.65</v>
      </c>
      <c r="ED9" s="48">
        <v>35.44</v>
      </c>
      <c r="EE9" s="48">
        <v>37.96</v>
      </c>
      <c r="EF9" s="48">
        <v>45.33</v>
      </c>
      <c r="EG9" s="48">
        <v>46.12</v>
      </c>
      <c r="EH9" s="48">
        <v>43.3</v>
      </c>
      <c r="EI9" s="48">
        <v>45.38</v>
      </c>
      <c r="EJ9" s="48">
        <v>6.681</v>
      </c>
      <c r="EK9" s="49">
        <v>62.828000000000003</v>
      </c>
      <c r="EL9" s="48">
        <v>2.2000000000000002</v>
      </c>
      <c r="EM9" s="48">
        <v>1.85</v>
      </c>
      <c r="EN9" s="48">
        <v>1.19</v>
      </c>
      <c r="EO9" s="48">
        <v>1.19</v>
      </c>
      <c r="EP9" s="49">
        <v>-105.346</v>
      </c>
      <c r="EQ9" s="48">
        <v>-2.9470000000000001</v>
      </c>
      <c r="ER9" s="48">
        <v>97.885999999999996</v>
      </c>
      <c r="ES9" s="48">
        <v>1.4450000000000001</v>
      </c>
      <c r="ET9" s="49">
        <v>1.6140000000000001</v>
      </c>
      <c r="EU9" s="48">
        <v>1.4159999999999999</v>
      </c>
      <c r="EV9" s="48">
        <v>7.875</v>
      </c>
      <c r="EW9" s="48">
        <v>2.9420000000000002</v>
      </c>
      <c r="EX9" s="49">
        <v>73.58</v>
      </c>
      <c r="EY9" s="48">
        <v>0</v>
      </c>
      <c r="EZ9" s="49">
        <v>187.66499999999999</v>
      </c>
      <c r="FA9" s="49">
        <v>0</v>
      </c>
      <c r="FB9" s="48">
        <v>9.0129999999999999</v>
      </c>
      <c r="FC9" s="48">
        <v>67.899000000000001</v>
      </c>
      <c r="FD9" s="48">
        <v>62.656999999999996</v>
      </c>
      <c r="FE9" s="48">
        <v>78.369</v>
      </c>
      <c r="FF9" s="48">
        <v>76.707999999999998</v>
      </c>
      <c r="FG9" s="48">
        <v>0.91400000000000003</v>
      </c>
      <c r="FH9" s="48">
        <v>0.91400000000000003</v>
      </c>
      <c r="FI9" s="48">
        <v>0.996</v>
      </c>
      <c r="FJ9" s="48">
        <v>0.998</v>
      </c>
      <c r="FK9" s="48">
        <v>0</v>
      </c>
      <c r="FL9" s="49">
        <v>83</v>
      </c>
      <c r="FM9" s="48">
        <v>3.76</v>
      </c>
      <c r="FN9" s="48">
        <v>-0.25</v>
      </c>
      <c r="FO9" s="48">
        <v>5.52</v>
      </c>
      <c r="FP9" s="3"/>
      <c r="FQ9" s="48">
        <v>4.6500000000000004</v>
      </c>
      <c r="FR9" s="49">
        <v>4.95</v>
      </c>
      <c r="FS9" s="49">
        <v>6.7220000000000004</v>
      </c>
      <c r="FT9" s="49">
        <v>1075.3</v>
      </c>
      <c r="FU9" s="48">
        <v>6.19</v>
      </c>
      <c r="FV9" s="48">
        <v>23.23</v>
      </c>
      <c r="FW9" s="48">
        <v>3189.5</v>
      </c>
      <c r="FX9" s="48">
        <v>160800</v>
      </c>
      <c r="FY9" s="48">
        <v>163100</v>
      </c>
      <c r="FZ9" s="48">
        <v>47.406999999999996</v>
      </c>
      <c r="GA9" s="48">
        <v>47.581000000000003</v>
      </c>
      <c r="GB9" s="48">
        <v>2150</v>
      </c>
      <c r="GC9" s="48">
        <v>2151.8000000000002</v>
      </c>
      <c r="GD9" s="48">
        <v>2163.6</v>
      </c>
      <c r="GE9" s="49">
        <v>2275.5</v>
      </c>
      <c r="GF9" s="48">
        <v>1363.4219000000001</v>
      </c>
      <c r="GG9" s="48">
        <v>27</v>
      </c>
      <c r="GH9" s="48">
        <v>27.4</v>
      </c>
      <c r="GI9" s="48">
        <v>44.8</v>
      </c>
      <c r="GJ9" s="48">
        <v>50</v>
      </c>
      <c r="GK9" s="48">
        <v>99.5</v>
      </c>
      <c r="GL9" s="48">
        <v>110.2</v>
      </c>
      <c r="GM9" s="49">
        <v>0</v>
      </c>
      <c r="GN9" s="48">
        <v>25.06</v>
      </c>
      <c r="GO9" s="48">
        <v>105.346</v>
      </c>
      <c r="GP9" s="48">
        <v>0.53100000000000003</v>
      </c>
      <c r="GQ9" s="48">
        <v>1.829</v>
      </c>
      <c r="GR9" s="48">
        <v>1.121</v>
      </c>
      <c r="GS9" s="48">
        <v>1.9470000000000001</v>
      </c>
      <c r="GT9" s="48">
        <v>0.70799999999999996</v>
      </c>
      <c r="GU9" s="48">
        <v>1.829</v>
      </c>
      <c r="GV9" s="48">
        <v>12.544</v>
      </c>
      <c r="GW9" s="48">
        <v>13.823</v>
      </c>
      <c r="GX9" s="48">
        <v>14.896000000000001</v>
      </c>
      <c r="GY9" s="49">
        <v>0</v>
      </c>
      <c r="GZ9" s="49">
        <v>0</v>
      </c>
      <c r="HA9" s="49">
        <v>0</v>
      </c>
      <c r="HB9" s="48">
        <v>0</v>
      </c>
      <c r="HC9" s="49">
        <v>36.133000000000003</v>
      </c>
      <c r="HD9" s="49">
        <v>82</v>
      </c>
      <c r="HE9" s="49">
        <v>0</v>
      </c>
      <c r="HF9" s="49">
        <v>0</v>
      </c>
      <c r="HG9" s="48">
        <v>86.73</v>
      </c>
      <c r="HH9" s="48">
        <v>79.430000000000007</v>
      </c>
      <c r="HI9" s="49">
        <v>0</v>
      </c>
      <c r="HJ9" s="49">
        <v>0</v>
      </c>
      <c r="HK9" s="49">
        <v>0</v>
      </c>
      <c r="HL9" s="48">
        <v>55</v>
      </c>
      <c r="HM9" s="48">
        <v>48</v>
      </c>
      <c r="HN9" s="48">
        <v>59</v>
      </c>
      <c r="HO9" s="48">
        <v>53</v>
      </c>
      <c r="HP9" s="48">
        <v>57</v>
      </c>
      <c r="HQ9" s="48">
        <v>55</v>
      </c>
      <c r="HR9" s="48">
        <v>47</v>
      </c>
      <c r="HS9" s="49">
        <v>70</v>
      </c>
      <c r="HT9" s="48">
        <v>-1.3859999999999999</v>
      </c>
      <c r="HU9" s="49">
        <v>0</v>
      </c>
      <c r="HV9" s="48">
        <v>0.63300000000000001</v>
      </c>
      <c r="HW9" s="48">
        <v>43.79</v>
      </c>
      <c r="HX9" s="49">
        <v>45.47</v>
      </c>
      <c r="HY9" s="49">
        <v>52.25</v>
      </c>
      <c r="HZ9" s="49">
        <v>52.25</v>
      </c>
      <c r="IA9" s="49">
        <v>2.7370000000000001</v>
      </c>
      <c r="IB9" s="49">
        <v>103</v>
      </c>
      <c r="IC9" s="48">
        <v>22.193999999999999</v>
      </c>
      <c r="ID9" s="48">
        <v>-0.46200000000000002</v>
      </c>
      <c r="IE9" s="48">
        <v>-0.26800000000000002</v>
      </c>
      <c r="IF9" s="48">
        <v>808</v>
      </c>
      <c r="IG9" s="49">
        <v>758.8</v>
      </c>
      <c r="IH9" s="48">
        <v>816</v>
      </c>
      <c r="II9" s="49">
        <v>770.4</v>
      </c>
      <c r="IJ9" s="48">
        <v>-1.9E-2</v>
      </c>
      <c r="IK9" s="48">
        <v>1E-3</v>
      </c>
      <c r="IL9" s="48">
        <v>73.025999999999996</v>
      </c>
      <c r="IM9" s="48">
        <v>73.025999999999996</v>
      </c>
      <c r="IN9" s="48">
        <v>11.718999999999999</v>
      </c>
      <c r="IO9" s="48">
        <v>0.25700000000000001</v>
      </c>
      <c r="IP9" s="48">
        <v>9.1300000000000008</v>
      </c>
      <c r="IQ9" s="48">
        <v>7.0000000000000001E-3</v>
      </c>
      <c r="IR9" s="48">
        <v>5.0000000000000001E-3</v>
      </c>
      <c r="IS9">
        <v>0.24100000000000002</v>
      </c>
      <c r="IT9">
        <v>0.11000000000000001</v>
      </c>
    </row>
    <row r="10" spans="1:254" x14ac:dyDescent="0.25">
      <c r="B10" s="2" t="s">
        <v>409</v>
      </c>
      <c r="C10" s="2" t="s">
        <v>45</v>
      </c>
      <c r="D10" s="57">
        <v>2.8502314814814814E-3</v>
      </c>
      <c r="E10" s="48">
        <v>246.261</v>
      </c>
      <c r="F10" s="48">
        <v>328.78</v>
      </c>
      <c r="G10" s="48">
        <v>-23.23</v>
      </c>
      <c r="H10" s="49">
        <v>25.4</v>
      </c>
      <c r="I10" s="49">
        <v>0</v>
      </c>
      <c r="J10" s="48">
        <v>18.7</v>
      </c>
      <c r="K10" s="49">
        <v>6</v>
      </c>
      <c r="L10" s="49">
        <v>6</v>
      </c>
      <c r="M10" s="49">
        <v>7</v>
      </c>
      <c r="N10" s="49">
        <v>3</v>
      </c>
      <c r="O10" s="49">
        <v>3</v>
      </c>
      <c r="P10" s="48">
        <v>0.437</v>
      </c>
      <c r="Q10" s="48">
        <v>1.1739999999999999</v>
      </c>
      <c r="R10" s="48">
        <v>0.36</v>
      </c>
      <c r="S10" s="48">
        <v>0.11</v>
      </c>
      <c r="T10" s="48">
        <v>84.18</v>
      </c>
      <c r="U10" s="48">
        <v>60.496000000000002</v>
      </c>
      <c r="V10" s="48">
        <v>228.34</v>
      </c>
      <c r="W10" s="48">
        <v>255</v>
      </c>
      <c r="X10" s="48">
        <v>175</v>
      </c>
      <c r="Y10" s="48">
        <v>220</v>
      </c>
      <c r="Z10" s="48">
        <v>366.75</v>
      </c>
      <c r="AA10" s="48">
        <v>380.79</v>
      </c>
      <c r="AB10" s="49">
        <v>274.54000000000002</v>
      </c>
      <c r="AC10" s="49">
        <v>344.46</v>
      </c>
      <c r="AD10" s="49">
        <v>1.841</v>
      </c>
      <c r="AE10" s="49">
        <v>1.909</v>
      </c>
      <c r="AF10" s="49">
        <v>1.8839999999999999</v>
      </c>
      <c r="AG10" s="49">
        <v>1.9430000000000001</v>
      </c>
      <c r="AH10" s="49">
        <v>79</v>
      </c>
      <c r="AI10" s="49">
        <v>70</v>
      </c>
      <c r="AJ10" s="49">
        <v>105.92</v>
      </c>
      <c r="AK10" s="49">
        <v>103.35</v>
      </c>
      <c r="AL10" s="48">
        <v>645.16499999999996</v>
      </c>
      <c r="AM10" s="49">
        <v>666.73299999999995</v>
      </c>
      <c r="AN10" s="48">
        <v>814.11199999999997</v>
      </c>
      <c r="AO10" s="48">
        <v>801.46299999999997</v>
      </c>
      <c r="AP10" s="48">
        <v>1.417</v>
      </c>
      <c r="AQ10" s="48">
        <v>1.8859999999999999</v>
      </c>
      <c r="AR10" s="49">
        <v>42.817999999999998</v>
      </c>
      <c r="AS10" s="48">
        <v>40.524000000000001</v>
      </c>
      <c r="AT10" s="49">
        <v>82</v>
      </c>
      <c r="AU10" s="49">
        <v>118</v>
      </c>
      <c r="AV10" s="49">
        <v>1.6445000000000001</v>
      </c>
      <c r="AW10" s="48">
        <v>4.7873000000000001</v>
      </c>
      <c r="AX10" s="48">
        <v>1016.2</v>
      </c>
      <c r="AY10" s="48">
        <v>2.4</v>
      </c>
      <c r="AZ10" s="48">
        <v>5.64</v>
      </c>
      <c r="BA10" s="49">
        <v>69.2</v>
      </c>
      <c r="BB10" s="49">
        <v>69.307000000000002</v>
      </c>
      <c r="BC10" s="48">
        <v>7686</v>
      </c>
      <c r="BD10" s="48">
        <v>89.25</v>
      </c>
      <c r="BE10" s="49">
        <v>15.045</v>
      </c>
      <c r="BF10" s="48">
        <v>13.345000000000001</v>
      </c>
      <c r="BG10" s="48">
        <v>29.18</v>
      </c>
      <c r="BH10" s="49">
        <v>29.86</v>
      </c>
      <c r="BI10" s="49">
        <v>66.22</v>
      </c>
      <c r="BJ10" s="49">
        <v>81.793000000000006</v>
      </c>
      <c r="BK10" s="49">
        <v>64.572999999999993</v>
      </c>
      <c r="BL10" s="48">
        <v>78.567999999999998</v>
      </c>
      <c r="BM10" s="49">
        <v>80.039000000000001</v>
      </c>
      <c r="BN10" s="49">
        <v>109.496</v>
      </c>
      <c r="BO10" s="49">
        <v>108.63200000000001</v>
      </c>
      <c r="BP10" s="49">
        <v>127.4</v>
      </c>
      <c r="BQ10" s="49">
        <v>131.72</v>
      </c>
      <c r="BR10" s="49">
        <v>60.253999999999998</v>
      </c>
      <c r="BS10" s="49">
        <v>25.1</v>
      </c>
      <c r="BT10" s="48">
        <v>7328.9489999999996</v>
      </c>
      <c r="BU10" s="48">
        <v>48.627000000000002</v>
      </c>
      <c r="BV10" s="48">
        <v>51.779000000000003</v>
      </c>
      <c r="BW10" s="48">
        <v>51.682000000000002</v>
      </c>
      <c r="BX10" s="49">
        <v>54.83</v>
      </c>
      <c r="BY10" s="49">
        <v>1.762</v>
      </c>
      <c r="BZ10" s="48">
        <v>3.2360000000000002</v>
      </c>
      <c r="CA10" s="48">
        <v>3.0529999999999999</v>
      </c>
      <c r="CB10" s="49">
        <v>3.456</v>
      </c>
      <c r="CC10" s="48">
        <v>1.0109999999999999</v>
      </c>
      <c r="CD10" s="48">
        <v>2.3959999999999999</v>
      </c>
      <c r="CE10" s="48">
        <v>1.341</v>
      </c>
      <c r="CF10" s="48">
        <v>2.056</v>
      </c>
      <c r="CG10" s="49">
        <v>13.769</v>
      </c>
      <c r="CH10" s="48">
        <v>13.388</v>
      </c>
      <c r="CI10" s="3"/>
      <c r="CJ10" s="3"/>
      <c r="CK10" s="3"/>
      <c r="CL10" s="48">
        <v>0</v>
      </c>
      <c r="CM10" s="49">
        <v>3.2</v>
      </c>
      <c r="CN10" s="49">
        <v>0</v>
      </c>
      <c r="CO10" s="49">
        <v>0</v>
      </c>
      <c r="CP10" s="49">
        <v>93.465000000000003</v>
      </c>
      <c r="CQ10" s="49">
        <v>93.841999999999999</v>
      </c>
      <c r="CR10" s="49">
        <v>114.06100000000001</v>
      </c>
      <c r="CS10" s="49">
        <v>120.34</v>
      </c>
      <c r="CT10" s="49">
        <v>0.61099999999999999</v>
      </c>
      <c r="CU10" s="48">
        <v>0.89700000000000002</v>
      </c>
      <c r="CV10" s="48">
        <v>0.9</v>
      </c>
      <c r="CW10" s="48">
        <v>0.9</v>
      </c>
      <c r="CX10" s="48">
        <v>0.8</v>
      </c>
      <c r="CY10" s="49">
        <v>0.70099999999999996</v>
      </c>
      <c r="CZ10" s="49">
        <v>1.198</v>
      </c>
      <c r="DA10" s="48">
        <v>0.89800000000000002</v>
      </c>
      <c r="DB10" s="48">
        <v>1.3979999999999999</v>
      </c>
      <c r="DC10" s="49">
        <v>0</v>
      </c>
      <c r="DD10" s="49">
        <v>0</v>
      </c>
      <c r="DE10" s="48">
        <v>0.14299999999999999</v>
      </c>
      <c r="DF10" s="49">
        <v>5.0999999999999997E-2</v>
      </c>
      <c r="DG10" s="48">
        <v>0.28199999999999997</v>
      </c>
      <c r="DH10" s="48">
        <v>1.494</v>
      </c>
      <c r="DI10" s="48">
        <v>0.67400000000000004</v>
      </c>
      <c r="DJ10" s="48">
        <v>5.8000000000000003E-2</v>
      </c>
      <c r="DK10" s="48">
        <v>0.65200000000000002</v>
      </c>
      <c r="DL10" s="48">
        <v>0.41399999999999998</v>
      </c>
      <c r="DM10" s="48">
        <v>0.35899999999999999</v>
      </c>
      <c r="DN10" s="48">
        <v>0.375</v>
      </c>
      <c r="DO10" s="48">
        <v>0.19400000000000001</v>
      </c>
      <c r="DP10" s="49">
        <v>67.825999999999993</v>
      </c>
      <c r="DQ10" s="49">
        <v>62.767000000000003</v>
      </c>
      <c r="DR10" s="48">
        <v>53.828000000000003</v>
      </c>
      <c r="DS10" s="49">
        <v>53.088999999999999</v>
      </c>
      <c r="DT10" s="48">
        <v>5.61</v>
      </c>
      <c r="DU10" s="48">
        <v>5.99</v>
      </c>
      <c r="DV10" s="48">
        <v>10.35</v>
      </c>
      <c r="DW10" s="48">
        <v>8.14</v>
      </c>
      <c r="DX10" s="48">
        <v>5.75</v>
      </c>
      <c r="DY10" s="48">
        <v>6.16</v>
      </c>
      <c r="DZ10" s="48">
        <v>9.83</v>
      </c>
      <c r="EA10" s="48">
        <v>7.93</v>
      </c>
      <c r="EB10" s="48">
        <v>42.73</v>
      </c>
      <c r="EC10" s="48">
        <v>40.840000000000003</v>
      </c>
      <c r="ED10" s="48">
        <v>34.56</v>
      </c>
      <c r="EE10" s="48">
        <v>36.49</v>
      </c>
      <c r="EF10" s="48">
        <v>45.91</v>
      </c>
      <c r="EG10" s="48">
        <v>47.02</v>
      </c>
      <c r="EH10" s="48">
        <v>45.26</v>
      </c>
      <c r="EI10" s="48">
        <v>47.44</v>
      </c>
      <c r="EJ10" s="49">
        <v>6.6959999999999997</v>
      </c>
      <c r="EK10" s="48">
        <v>62.624000000000002</v>
      </c>
      <c r="EL10" s="48">
        <v>2.2999999999999998</v>
      </c>
      <c r="EM10" s="48">
        <v>1.85</v>
      </c>
      <c r="EN10" s="48">
        <v>1.18</v>
      </c>
      <c r="EO10" s="48">
        <v>1.18</v>
      </c>
      <c r="EP10" s="48">
        <v>-93.665999999999997</v>
      </c>
      <c r="EQ10" s="48">
        <v>-2.63</v>
      </c>
      <c r="ER10" s="48">
        <v>82.701999999999998</v>
      </c>
      <c r="ES10" s="48">
        <v>1.425</v>
      </c>
      <c r="ET10" s="48">
        <v>1.579</v>
      </c>
      <c r="EU10" s="48">
        <v>1.405</v>
      </c>
      <c r="EV10" s="48">
        <v>7.7409999999999997</v>
      </c>
      <c r="EW10" s="48">
        <v>2.786</v>
      </c>
      <c r="EX10" s="48">
        <v>71.099999999999994</v>
      </c>
      <c r="EY10" s="48">
        <v>8.1000000000000003E-2</v>
      </c>
      <c r="EZ10" s="48">
        <v>0</v>
      </c>
      <c r="FA10" s="49">
        <v>0</v>
      </c>
      <c r="FB10" s="49">
        <v>9.0830000000000002</v>
      </c>
      <c r="FC10" s="49">
        <v>68.87</v>
      </c>
      <c r="FD10" s="49">
        <v>63.32</v>
      </c>
      <c r="FE10" s="49">
        <v>80.747</v>
      </c>
      <c r="FF10" s="49">
        <v>78.831000000000003</v>
      </c>
      <c r="FG10" s="48">
        <v>0.93100000000000005</v>
      </c>
      <c r="FH10" s="48">
        <v>0.92500000000000004</v>
      </c>
      <c r="FI10" s="48">
        <v>0.996</v>
      </c>
      <c r="FJ10" s="48">
        <v>0.998</v>
      </c>
      <c r="FK10" s="48">
        <v>0</v>
      </c>
      <c r="FL10" s="49">
        <v>83</v>
      </c>
      <c r="FM10" s="49">
        <v>3.82</v>
      </c>
      <c r="FN10" s="48">
        <v>0.84</v>
      </c>
      <c r="FO10" s="48">
        <v>5.45</v>
      </c>
      <c r="FP10" s="48">
        <v>3.85</v>
      </c>
      <c r="FQ10" s="48">
        <v>4.5</v>
      </c>
      <c r="FR10" s="48">
        <v>5.05</v>
      </c>
      <c r="FS10" s="48">
        <v>6.6505000000000001</v>
      </c>
      <c r="FT10" s="48">
        <v>1073.8</v>
      </c>
      <c r="FU10" s="49">
        <v>6.27</v>
      </c>
      <c r="FV10" s="49">
        <v>29.1</v>
      </c>
      <c r="FW10" s="48">
        <v>3141.5</v>
      </c>
      <c r="FX10" s="48">
        <v>162000</v>
      </c>
      <c r="FY10" s="48">
        <v>163100</v>
      </c>
      <c r="FZ10" s="48">
        <v>47.183</v>
      </c>
      <c r="GA10" s="48">
        <v>47.557000000000002</v>
      </c>
      <c r="GB10" s="48">
        <v>2145</v>
      </c>
      <c r="GC10" s="48">
        <v>2147.1999999999998</v>
      </c>
      <c r="GD10" s="48">
        <v>2198.5</v>
      </c>
      <c r="GE10" s="48">
        <v>2201.9</v>
      </c>
      <c r="GF10" s="48">
        <v>1293.1875</v>
      </c>
      <c r="GG10" s="48">
        <v>28</v>
      </c>
      <c r="GH10" s="48">
        <v>28.3</v>
      </c>
      <c r="GI10" s="48">
        <v>44.8</v>
      </c>
      <c r="GJ10" s="48">
        <v>50.2</v>
      </c>
      <c r="GK10" s="48">
        <v>99.5</v>
      </c>
      <c r="GL10" s="48">
        <v>108.8</v>
      </c>
      <c r="GM10" s="49">
        <v>0</v>
      </c>
      <c r="GN10" s="48">
        <v>26.277000000000001</v>
      </c>
      <c r="GO10" s="48">
        <v>93.665999999999997</v>
      </c>
      <c r="GP10" s="49">
        <v>0</v>
      </c>
      <c r="GQ10" s="49">
        <v>5.1920000000000002</v>
      </c>
      <c r="GR10" s="49">
        <v>0</v>
      </c>
      <c r="GS10" s="49">
        <v>5.2510000000000003</v>
      </c>
      <c r="GT10" s="49">
        <v>0</v>
      </c>
      <c r="GU10" s="49">
        <v>5.1920000000000002</v>
      </c>
      <c r="GV10" s="49">
        <v>0</v>
      </c>
      <c r="GW10" s="48">
        <v>13.483000000000001</v>
      </c>
      <c r="GX10" s="48">
        <v>15.092000000000001</v>
      </c>
      <c r="GY10" s="49">
        <v>0</v>
      </c>
      <c r="GZ10" s="49">
        <v>0</v>
      </c>
      <c r="HA10" s="49">
        <v>0</v>
      </c>
      <c r="HB10" s="48">
        <v>0</v>
      </c>
      <c r="HC10" s="48">
        <v>34.386000000000003</v>
      </c>
      <c r="HD10" s="49">
        <v>82</v>
      </c>
      <c r="HE10" s="49">
        <v>0</v>
      </c>
      <c r="HF10" s="49">
        <v>0</v>
      </c>
      <c r="HG10" s="48">
        <v>74.930000000000007</v>
      </c>
      <c r="HH10" s="48">
        <v>78.510000000000005</v>
      </c>
      <c r="HI10" s="49">
        <v>0</v>
      </c>
      <c r="HJ10" s="49">
        <v>0</v>
      </c>
      <c r="HK10" s="49">
        <v>0</v>
      </c>
      <c r="HL10" s="49">
        <v>56</v>
      </c>
      <c r="HM10" s="48">
        <v>49</v>
      </c>
      <c r="HN10" s="49">
        <v>61</v>
      </c>
      <c r="HO10" s="49">
        <v>54</v>
      </c>
      <c r="HP10" s="49">
        <v>58</v>
      </c>
      <c r="HQ10" s="49">
        <v>56</v>
      </c>
      <c r="HR10" s="49">
        <v>48</v>
      </c>
      <c r="HS10" s="48">
        <v>62</v>
      </c>
      <c r="HT10" s="49">
        <v>-1.407</v>
      </c>
      <c r="HU10" s="49">
        <v>0</v>
      </c>
      <c r="HV10" s="49">
        <v>0.74099999999999999</v>
      </c>
      <c r="HW10" s="48">
        <v>45.97</v>
      </c>
      <c r="HX10" s="48">
        <v>47.68</v>
      </c>
      <c r="HY10" s="3"/>
      <c r="HZ10" s="3"/>
      <c r="IA10" s="48">
        <v>2.6659999999999999</v>
      </c>
      <c r="IB10" s="49">
        <v>103</v>
      </c>
      <c r="IC10" s="49">
        <v>22.233000000000001</v>
      </c>
      <c r="ID10" s="48">
        <v>-0.36099999999999999</v>
      </c>
      <c r="IE10" s="48">
        <v>-0.20300000000000001</v>
      </c>
      <c r="IF10" s="49">
        <v>817.5</v>
      </c>
      <c r="IG10" s="48">
        <v>746</v>
      </c>
      <c r="IH10" s="49">
        <v>822.4</v>
      </c>
      <c r="II10" s="48">
        <v>759.9</v>
      </c>
      <c r="IJ10" s="48">
        <v>-0.03</v>
      </c>
      <c r="IK10" s="49">
        <v>2.1999999999999999E-2</v>
      </c>
      <c r="IL10" s="48">
        <v>84.573999999999998</v>
      </c>
      <c r="IM10" s="48">
        <v>84.573999999999998</v>
      </c>
      <c r="IN10" s="49">
        <v>14.093999999999999</v>
      </c>
      <c r="IO10" s="49">
        <v>0.25900000000000001</v>
      </c>
      <c r="IP10" s="48">
        <v>9.32</v>
      </c>
      <c r="IQ10" s="48">
        <v>0</v>
      </c>
      <c r="IR10" s="48">
        <v>0</v>
      </c>
      <c r="IS10">
        <v>0.24100000000000002</v>
      </c>
      <c r="IT10">
        <v>0.11000000000000001</v>
      </c>
    </row>
    <row r="11" spans="1:254" x14ac:dyDescent="0.25">
      <c r="IS11">
        <v>0.24100000000000002</v>
      </c>
      <c r="IT11">
        <v>0.11000000000000001</v>
      </c>
    </row>
    <row r="12" spans="1:254" x14ac:dyDescent="0.25">
      <c r="IS12">
        <v>0.24100000000000002</v>
      </c>
      <c r="IT12">
        <v>0.11000000000000001</v>
      </c>
    </row>
    <row r="13" spans="1:254" x14ac:dyDescent="0.25">
      <c r="IS13">
        <v>0.24100000000000002</v>
      </c>
      <c r="IT13">
        <v>0.11000000000000001</v>
      </c>
    </row>
    <row r="14" spans="1:254" x14ac:dyDescent="0.25">
      <c r="B14" s="2" t="s">
        <v>409</v>
      </c>
      <c r="C14" s="2" t="s">
        <v>41</v>
      </c>
      <c r="D14" s="57">
        <v>3.5311342592592595E-3</v>
      </c>
      <c r="E14" s="49">
        <v>305.09100000000001</v>
      </c>
      <c r="F14" s="48">
        <v>329.67</v>
      </c>
      <c r="G14" s="48">
        <v>5.74</v>
      </c>
      <c r="H14" s="48">
        <v>25.3</v>
      </c>
      <c r="I14" s="49">
        <v>0</v>
      </c>
      <c r="J14" s="49">
        <v>35.299999999999997</v>
      </c>
      <c r="K14" s="49">
        <v>6</v>
      </c>
      <c r="L14" s="49">
        <v>6</v>
      </c>
      <c r="M14" s="49">
        <v>7</v>
      </c>
      <c r="N14" s="49">
        <v>2</v>
      </c>
      <c r="O14" s="49">
        <v>3</v>
      </c>
      <c r="P14" s="48">
        <v>0.42599999999999999</v>
      </c>
      <c r="Q14" s="48">
        <v>0.80500000000000005</v>
      </c>
      <c r="R14" s="48">
        <v>0.433</v>
      </c>
      <c r="S14" s="48">
        <v>0.26800000000000002</v>
      </c>
      <c r="T14" s="48">
        <v>59.75</v>
      </c>
      <c r="U14" s="49">
        <v>61.497999999999998</v>
      </c>
      <c r="V14" s="49">
        <v>165</v>
      </c>
      <c r="W14" s="49">
        <v>192.5</v>
      </c>
      <c r="X14" s="49">
        <v>122.5</v>
      </c>
      <c r="Y14" s="49">
        <v>147.5</v>
      </c>
      <c r="Z14" s="48">
        <v>322.42</v>
      </c>
      <c r="AA14" s="48">
        <v>341.2</v>
      </c>
      <c r="AB14" s="48">
        <v>217.3</v>
      </c>
      <c r="AC14" s="48">
        <v>276.20999999999998</v>
      </c>
      <c r="AD14" s="48">
        <v>1.8089999999999999</v>
      </c>
      <c r="AE14" s="48">
        <v>1.827</v>
      </c>
      <c r="AF14" s="48">
        <v>1.782</v>
      </c>
      <c r="AG14" s="48">
        <v>1.8129999999999999</v>
      </c>
      <c r="AH14" s="48">
        <v>68.37</v>
      </c>
      <c r="AI14" s="48">
        <v>61.03</v>
      </c>
      <c r="AJ14" s="48">
        <v>89.34</v>
      </c>
      <c r="AK14" s="48">
        <v>81.400000000000006</v>
      </c>
      <c r="AL14" s="48">
        <v>623.78099999999995</v>
      </c>
      <c r="AM14" s="48">
        <v>639.47500000000002</v>
      </c>
      <c r="AN14" s="48">
        <v>807.61400000000003</v>
      </c>
      <c r="AO14" s="48">
        <v>792.39499999999998</v>
      </c>
      <c r="AP14" s="49">
        <v>1.4430000000000001</v>
      </c>
      <c r="AQ14" s="49">
        <v>1.9119999999999999</v>
      </c>
      <c r="AR14" s="48">
        <v>41.627000000000002</v>
      </c>
      <c r="AS14" s="48">
        <v>38.433999999999997</v>
      </c>
      <c r="AT14" s="49">
        <v>85</v>
      </c>
      <c r="AU14" s="48">
        <v>114</v>
      </c>
      <c r="AV14" s="48">
        <v>1.6975</v>
      </c>
      <c r="AW14" s="48">
        <v>4.5468000000000002</v>
      </c>
      <c r="AX14" s="49">
        <v>1020.4</v>
      </c>
      <c r="AY14" s="49">
        <v>2.93</v>
      </c>
      <c r="AZ14" s="48">
        <v>5.71</v>
      </c>
      <c r="BA14" s="49">
        <v>65.706000000000003</v>
      </c>
      <c r="BB14" s="49">
        <v>66.7</v>
      </c>
      <c r="BC14" s="48">
        <v>7779</v>
      </c>
      <c r="BD14" s="48">
        <v>87.5</v>
      </c>
      <c r="BE14" s="48">
        <v>15.65</v>
      </c>
      <c r="BF14" s="48">
        <v>12.87</v>
      </c>
      <c r="BG14" s="48">
        <v>28.95</v>
      </c>
      <c r="BH14" s="48">
        <v>27.89</v>
      </c>
      <c r="BI14" s="48">
        <v>64.840999999999994</v>
      </c>
      <c r="BJ14" s="48">
        <v>80.683999999999997</v>
      </c>
      <c r="BK14" s="48">
        <v>63.165999999999997</v>
      </c>
      <c r="BL14" s="48">
        <v>78.260000000000005</v>
      </c>
      <c r="BM14" s="48">
        <v>78.043000000000006</v>
      </c>
      <c r="BN14" s="49">
        <v>132.63200000000001</v>
      </c>
      <c r="BO14" s="49">
        <v>133.4</v>
      </c>
      <c r="BP14" s="48">
        <v>126.248</v>
      </c>
      <c r="BQ14" s="48">
        <v>131.89599999999999</v>
      </c>
      <c r="BR14" s="48">
        <v>58.121000000000002</v>
      </c>
      <c r="BS14" s="48">
        <v>25.1</v>
      </c>
      <c r="BT14" s="48">
        <v>7363.2020000000002</v>
      </c>
      <c r="BU14" s="49">
        <v>54.411000000000001</v>
      </c>
      <c r="BV14" s="49">
        <v>54.363999999999997</v>
      </c>
      <c r="BW14" s="49">
        <v>55.774000000000001</v>
      </c>
      <c r="BX14" s="48">
        <v>56.703000000000003</v>
      </c>
      <c r="BY14" s="48">
        <v>1.375</v>
      </c>
      <c r="BZ14" s="48">
        <v>2.33</v>
      </c>
      <c r="CA14" s="48">
        <v>3.2930000000000001</v>
      </c>
      <c r="CB14" s="48">
        <v>3.145</v>
      </c>
      <c r="CC14" s="48">
        <v>1.101</v>
      </c>
      <c r="CD14" s="48">
        <v>2.3159999999999998</v>
      </c>
      <c r="CE14" s="49">
        <v>1.3260000000000001</v>
      </c>
      <c r="CF14" s="49">
        <v>2.1829999999999998</v>
      </c>
      <c r="CG14" s="48">
        <v>13.616</v>
      </c>
      <c r="CH14" s="49">
        <v>10.093999999999999</v>
      </c>
      <c r="CI14" s="49">
        <v>4.8680000000000003</v>
      </c>
      <c r="CJ14" s="48">
        <v>3.3090000000000002</v>
      </c>
      <c r="CK14" s="48">
        <v>1.5580000000000001</v>
      </c>
      <c r="CL14" s="48">
        <v>0</v>
      </c>
      <c r="CM14" s="48">
        <v>1.5</v>
      </c>
      <c r="CN14" s="49">
        <v>0</v>
      </c>
      <c r="CO14" s="49">
        <v>0</v>
      </c>
      <c r="CP14" s="49">
        <v>105.851</v>
      </c>
      <c r="CQ14" s="49">
        <v>106.821</v>
      </c>
      <c r="CR14" s="48">
        <v>109.239</v>
      </c>
      <c r="CS14" s="48">
        <v>115.483</v>
      </c>
      <c r="CT14" s="48">
        <v>0.19700000000000001</v>
      </c>
      <c r="CU14" s="48">
        <v>0.996</v>
      </c>
      <c r="CV14" s="48">
        <v>2.0920000000000001</v>
      </c>
      <c r="CW14" s="48">
        <v>1.298</v>
      </c>
      <c r="CX14" s="48">
        <v>1.796</v>
      </c>
      <c r="CY14" s="48">
        <v>0.995</v>
      </c>
      <c r="CZ14" s="48">
        <v>1.4950000000000001</v>
      </c>
      <c r="DA14" s="48">
        <v>0.60099999999999998</v>
      </c>
      <c r="DB14" s="48">
        <v>1.8959999999999999</v>
      </c>
      <c r="DC14" s="49">
        <v>0</v>
      </c>
      <c r="DD14" s="49">
        <v>0</v>
      </c>
      <c r="DE14" s="48">
        <v>0.151</v>
      </c>
      <c r="DF14" s="48">
        <v>0.08</v>
      </c>
      <c r="DG14" s="48">
        <v>0.17299999999999999</v>
      </c>
      <c r="DH14" s="48">
        <v>1.53</v>
      </c>
      <c r="DI14" s="48">
        <v>0.74299999999999999</v>
      </c>
      <c r="DJ14" s="49">
        <v>0.155</v>
      </c>
      <c r="DK14" s="48">
        <v>0.69099999999999995</v>
      </c>
      <c r="DL14" s="49">
        <v>0.41499999999999998</v>
      </c>
      <c r="DM14" s="49">
        <v>0.504</v>
      </c>
      <c r="DN14" s="48">
        <v>0.51100000000000001</v>
      </c>
      <c r="DO14" s="49">
        <v>0.90500000000000003</v>
      </c>
      <c r="DP14" s="48">
        <v>65.323999999999998</v>
      </c>
      <c r="DQ14" s="48">
        <v>60.719000000000001</v>
      </c>
      <c r="DR14" s="48">
        <v>54.206000000000003</v>
      </c>
      <c r="DS14" s="48">
        <v>51.322000000000003</v>
      </c>
      <c r="DT14" s="48">
        <v>3.86</v>
      </c>
      <c r="DU14" s="48">
        <v>3.87</v>
      </c>
      <c r="DV14" s="48">
        <v>7.3</v>
      </c>
      <c r="DW14" s="48">
        <v>5.69</v>
      </c>
      <c r="DX14" s="48">
        <v>4.16</v>
      </c>
      <c r="DY14" s="48">
        <v>3.93</v>
      </c>
      <c r="DZ14" s="48">
        <v>6.72</v>
      </c>
      <c r="EA14" s="48">
        <v>5.31</v>
      </c>
      <c r="EB14" s="48">
        <v>34.590000000000003</v>
      </c>
      <c r="EC14" s="48">
        <v>34.9</v>
      </c>
      <c r="ED14" s="48">
        <v>29.43</v>
      </c>
      <c r="EE14" s="48">
        <v>30.64</v>
      </c>
      <c r="EF14" s="49">
        <v>57.38</v>
      </c>
      <c r="EG14" s="49">
        <v>57.3</v>
      </c>
      <c r="EH14" s="49">
        <v>56.55</v>
      </c>
      <c r="EI14" s="49">
        <v>58.36</v>
      </c>
      <c r="EJ14" s="48">
        <v>6.5659999999999998</v>
      </c>
      <c r="EK14" s="48">
        <v>62.186999999999998</v>
      </c>
      <c r="EL14" s="49">
        <v>2.65</v>
      </c>
      <c r="EM14" s="48">
        <v>1.85</v>
      </c>
      <c r="EN14" s="48">
        <v>1.17</v>
      </c>
      <c r="EO14" s="48">
        <v>1.18</v>
      </c>
      <c r="EP14" s="48">
        <v>-94.25</v>
      </c>
      <c r="EQ14" s="49">
        <v>-2.0049999999999999</v>
      </c>
      <c r="ER14" s="48">
        <v>108.398</v>
      </c>
      <c r="ES14" s="48">
        <v>1.1870000000000001</v>
      </c>
      <c r="ET14" s="48">
        <v>1.2330000000000001</v>
      </c>
      <c r="EU14" s="48">
        <v>1.149</v>
      </c>
      <c r="EV14" s="48">
        <v>7.8170000000000002</v>
      </c>
      <c r="EW14" s="48">
        <v>2.9079999999999999</v>
      </c>
      <c r="EX14" s="48">
        <v>-284.02</v>
      </c>
      <c r="EY14" s="48">
        <v>0</v>
      </c>
      <c r="EZ14" s="48">
        <v>0</v>
      </c>
      <c r="FA14" s="49">
        <v>0</v>
      </c>
      <c r="FB14" s="48">
        <v>7.82</v>
      </c>
      <c r="FC14" s="48">
        <v>67.478999999999999</v>
      </c>
      <c r="FD14" s="48">
        <v>62.256</v>
      </c>
      <c r="FE14" s="48">
        <v>76.004000000000005</v>
      </c>
      <c r="FF14" s="48">
        <v>74.438999999999993</v>
      </c>
      <c r="FG14" s="48">
        <v>0.96499999999999997</v>
      </c>
      <c r="FH14" s="48">
        <v>0.97</v>
      </c>
      <c r="FI14" s="49">
        <v>1</v>
      </c>
      <c r="FJ14" s="49">
        <v>1.002</v>
      </c>
      <c r="FK14" s="49">
        <v>0.20100000000000001</v>
      </c>
      <c r="FL14" s="49">
        <v>85</v>
      </c>
      <c r="FM14" s="48">
        <v>3.72</v>
      </c>
      <c r="FN14" s="48">
        <v>-0.09</v>
      </c>
      <c r="FO14" s="48">
        <v>5.49</v>
      </c>
      <c r="FP14" s="49">
        <v>0.35</v>
      </c>
      <c r="FQ14" s="49">
        <v>1.8</v>
      </c>
      <c r="FR14" s="48">
        <v>5.15</v>
      </c>
      <c r="FS14" s="48">
        <v>6.6455000000000002</v>
      </c>
      <c r="FT14" s="48">
        <v>1073.5999999999999</v>
      </c>
      <c r="FU14" s="48">
        <v>5.94</v>
      </c>
      <c r="FV14" s="48">
        <v>5.74</v>
      </c>
      <c r="FW14" s="48">
        <v>3210</v>
      </c>
      <c r="FX14" s="49">
        <v>166500</v>
      </c>
      <c r="FY14" s="49">
        <v>168300</v>
      </c>
      <c r="FZ14" s="49">
        <v>47.725000000000001</v>
      </c>
      <c r="GA14" s="49">
        <v>48.034999999999997</v>
      </c>
      <c r="GB14" s="49">
        <v>2185.1</v>
      </c>
      <c r="GC14" s="48">
        <v>2185.9</v>
      </c>
      <c r="GD14" s="48">
        <v>2185.1</v>
      </c>
      <c r="GE14" s="48">
        <v>2185.9</v>
      </c>
      <c r="GF14" s="48">
        <v>1259.875</v>
      </c>
      <c r="GG14" s="49">
        <v>29</v>
      </c>
      <c r="GH14" s="48">
        <v>29</v>
      </c>
      <c r="GI14" s="49">
        <v>49.8</v>
      </c>
      <c r="GJ14" s="49">
        <v>55.8</v>
      </c>
      <c r="GK14" s="49">
        <v>98</v>
      </c>
      <c r="GL14" s="49">
        <v>114</v>
      </c>
      <c r="GM14" s="49">
        <v>0</v>
      </c>
      <c r="GN14" s="48">
        <v>23.785</v>
      </c>
      <c r="GO14" s="48">
        <v>108.398</v>
      </c>
      <c r="GP14" s="49">
        <v>0</v>
      </c>
      <c r="GQ14" s="48">
        <v>3.4809999999999999</v>
      </c>
      <c r="GR14" s="49">
        <v>0</v>
      </c>
      <c r="GS14" s="48">
        <v>3.6579999999999999</v>
      </c>
      <c r="GT14" s="49">
        <v>0</v>
      </c>
      <c r="GU14" s="48">
        <v>4.4249999999999998</v>
      </c>
      <c r="GV14" s="49">
        <v>0</v>
      </c>
      <c r="GW14" s="48">
        <v>10.547000000000001</v>
      </c>
      <c r="GX14" s="48">
        <v>17.835999999999999</v>
      </c>
      <c r="GY14" s="49">
        <v>0</v>
      </c>
      <c r="GZ14" s="48">
        <v>0</v>
      </c>
      <c r="HA14" s="48">
        <v>0</v>
      </c>
      <c r="HB14" s="49">
        <v>1</v>
      </c>
      <c r="HC14" s="48">
        <v>32.238999999999997</v>
      </c>
      <c r="HD14" s="49">
        <v>90</v>
      </c>
      <c r="HE14" s="49">
        <v>0</v>
      </c>
      <c r="HF14" s="49">
        <v>0</v>
      </c>
      <c r="HG14" s="49">
        <v>87.44</v>
      </c>
      <c r="HH14" s="48">
        <v>80.7</v>
      </c>
      <c r="HI14" s="49">
        <v>0</v>
      </c>
      <c r="HJ14" s="49">
        <v>0</v>
      </c>
      <c r="HK14" s="49">
        <v>0</v>
      </c>
      <c r="HL14" s="49">
        <v>61</v>
      </c>
      <c r="HM14" s="49">
        <v>50</v>
      </c>
      <c r="HN14" s="48">
        <v>62</v>
      </c>
      <c r="HO14" s="48">
        <v>55</v>
      </c>
      <c r="HP14" s="48">
        <v>58</v>
      </c>
      <c r="HQ14" s="48">
        <v>56</v>
      </c>
      <c r="HR14" s="48">
        <v>50</v>
      </c>
      <c r="HS14" s="48">
        <v>62</v>
      </c>
      <c r="HT14" s="48">
        <v>-1.421</v>
      </c>
      <c r="HU14" s="49">
        <v>0</v>
      </c>
      <c r="HV14" s="48">
        <v>0.13100000000000001</v>
      </c>
      <c r="HW14" s="48">
        <v>42.33</v>
      </c>
      <c r="HX14" s="48">
        <v>49.07</v>
      </c>
      <c r="HY14" s="3"/>
      <c r="HZ14" s="3"/>
      <c r="IA14" s="48">
        <v>2.4620000000000002</v>
      </c>
      <c r="IB14" s="48">
        <v>100</v>
      </c>
      <c r="IC14" s="48">
        <v>18.878</v>
      </c>
      <c r="ID14" s="49">
        <v>-0.23100000000000001</v>
      </c>
      <c r="IE14" s="49">
        <v>-0.125</v>
      </c>
      <c r="IF14" s="48">
        <v>817.7</v>
      </c>
      <c r="IG14" s="48">
        <v>670.3</v>
      </c>
      <c r="IH14" s="48">
        <v>812.6</v>
      </c>
      <c r="II14" s="48">
        <v>686.9</v>
      </c>
      <c r="IJ14" s="49">
        <v>5.0000000000000001E-3</v>
      </c>
      <c r="IK14" s="48">
        <v>2.5000000000000001E-2</v>
      </c>
      <c r="IL14" s="49">
        <v>160.32400000000001</v>
      </c>
      <c r="IM14" s="49">
        <v>160.32400000000001</v>
      </c>
      <c r="IN14" s="49">
        <v>16.867000000000001</v>
      </c>
      <c r="IO14" s="48">
        <v>0.19700000000000001</v>
      </c>
      <c r="IP14" s="49">
        <v>9.6</v>
      </c>
      <c r="IQ14" s="48">
        <v>3.0000000000000001E-3</v>
      </c>
      <c r="IR14" s="48">
        <v>-1E-3</v>
      </c>
      <c r="IS14">
        <v>0.24100000000000002</v>
      </c>
      <c r="IT14">
        <v>0.11000000000000001</v>
      </c>
    </row>
    <row r="15" spans="1:254" x14ac:dyDescent="0.25">
      <c r="B15" s="2" t="s">
        <v>409</v>
      </c>
      <c r="C15" s="2" t="s">
        <v>42</v>
      </c>
      <c r="D15" s="57">
        <v>2.5193287037037037E-3</v>
      </c>
      <c r="E15" s="48">
        <v>217.67</v>
      </c>
      <c r="F15" s="48">
        <v>328</v>
      </c>
      <c r="G15" s="49">
        <v>5.96</v>
      </c>
      <c r="H15" s="48">
        <v>25.3</v>
      </c>
      <c r="I15" s="49">
        <v>0</v>
      </c>
      <c r="J15" s="48">
        <v>17.600000000000001</v>
      </c>
      <c r="K15" s="49">
        <v>6</v>
      </c>
      <c r="L15" s="49">
        <v>6</v>
      </c>
      <c r="M15" s="49">
        <v>7</v>
      </c>
      <c r="N15" s="49">
        <v>2</v>
      </c>
      <c r="O15" s="49">
        <v>3</v>
      </c>
      <c r="P15" s="49">
        <v>0.48499999999999999</v>
      </c>
      <c r="Q15" s="48">
        <v>1.0349999999999999</v>
      </c>
      <c r="R15" s="49">
        <v>0.52500000000000002</v>
      </c>
      <c r="S15" s="48">
        <v>0.16700000000000001</v>
      </c>
      <c r="T15" s="48">
        <v>63.63</v>
      </c>
      <c r="U15" s="48">
        <v>60.412999999999997</v>
      </c>
      <c r="V15" s="48">
        <v>228.34</v>
      </c>
      <c r="W15" s="48">
        <v>253.34</v>
      </c>
      <c r="X15" s="48">
        <v>152.5</v>
      </c>
      <c r="Y15" s="48">
        <v>200</v>
      </c>
      <c r="Z15" s="48">
        <v>378.25</v>
      </c>
      <c r="AA15" s="48">
        <v>405.65</v>
      </c>
      <c r="AB15" s="48">
        <v>273.27</v>
      </c>
      <c r="AC15" s="48">
        <v>344.6</v>
      </c>
      <c r="AD15" s="48">
        <v>1.8169999999999999</v>
      </c>
      <c r="AE15" s="48">
        <v>1.8260000000000001</v>
      </c>
      <c r="AF15" s="48">
        <v>1.8149999999999999</v>
      </c>
      <c r="AG15" s="48">
        <v>1.8420000000000001</v>
      </c>
      <c r="AH15" s="48">
        <v>75.290000000000006</v>
      </c>
      <c r="AI15" s="48">
        <v>66.900000000000006</v>
      </c>
      <c r="AJ15" s="48">
        <v>97.17</v>
      </c>
      <c r="AK15" s="48">
        <v>95.71</v>
      </c>
      <c r="AL15" s="48">
        <v>664.58299999999997</v>
      </c>
      <c r="AM15" s="48">
        <v>670.80499999999995</v>
      </c>
      <c r="AN15" s="48">
        <v>830.21900000000005</v>
      </c>
      <c r="AO15" s="48">
        <v>804.73599999999999</v>
      </c>
      <c r="AP15" s="48">
        <v>1.4239999999999999</v>
      </c>
      <c r="AQ15" s="48">
        <v>1.8939999999999999</v>
      </c>
      <c r="AR15" s="48">
        <v>41.542000000000002</v>
      </c>
      <c r="AS15" s="48">
        <v>38.468000000000004</v>
      </c>
      <c r="AT15" s="48">
        <v>82</v>
      </c>
      <c r="AU15" s="48">
        <v>117</v>
      </c>
      <c r="AV15" s="48">
        <v>1.6445000000000001</v>
      </c>
      <c r="AW15" s="48">
        <v>4.8011999999999997</v>
      </c>
      <c r="AX15" s="48">
        <v>1018.8</v>
      </c>
      <c r="AY15" s="48">
        <v>2.4300000000000002</v>
      </c>
      <c r="AZ15" s="49">
        <v>5.5</v>
      </c>
      <c r="BA15" s="48">
        <v>134.56100000000001</v>
      </c>
      <c r="BB15" s="48">
        <v>132.79400000000001</v>
      </c>
      <c r="BC15" s="48">
        <v>7746</v>
      </c>
      <c r="BD15" s="48">
        <v>88.75</v>
      </c>
      <c r="BE15" s="49">
        <v>17.77</v>
      </c>
      <c r="BF15" s="48">
        <v>13.445</v>
      </c>
      <c r="BG15" s="49">
        <v>29.62</v>
      </c>
      <c r="BH15" s="48">
        <v>28.21</v>
      </c>
      <c r="BI15" s="3"/>
      <c r="BJ15" s="3"/>
      <c r="BK15" s="3"/>
      <c r="BL15" s="3"/>
      <c r="BM15" s="3"/>
      <c r="BN15" s="48">
        <v>98.903999999999996</v>
      </c>
      <c r="BO15" s="48">
        <v>99.575999999999993</v>
      </c>
      <c r="BP15" s="48">
        <v>116.42400000000001</v>
      </c>
      <c r="BQ15" s="48">
        <v>121.11199999999999</v>
      </c>
      <c r="BR15" s="3"/>
      <c r="BS15" s="48">
        <v>25.1</v>
      </c>
      <c r="BT15" s="49">
        <v>7454.5680000000002</v>
      </c>
      <c r="BU15" s="48">
        <v>51.231999999999999</v>
      </c>
      <c r="BV15" s="48">
        <v>53.42</v>
      </c>
      <c r="BW15" s="48">
        <v>55.561999999999998</v>
      </c>
      <c r="BX15" s="49">
        <v>57.28</v>
      </c>
      <c r="BY15" s="48">
        <v>1.4710000000000001</v>
      </c>
      <c r="BZ15" s="48">
        <v>2.5880000000000001</v>
      </c>
      <c r="CA15" s="48">
        <v>3.34</v>
      </c>
      <c r="CB15" s="48">
        <v>3.04</v>
      </c>
      <c r="CC15" s="48">
        <v>1.1339999999999999</v>
      </c>
      <c r="CD15" s="49">
        <v>2.3959999999999999</v>
      </c>
      <c r="CE15" s="48">
        <v>1.3149999999999999</v>
      </c>
      <c r="CF15" s="48">
        <v>2.133</v>
      </c>
      <c r="CG15" s="49">
        <v>13.736000000000001</v>
      </c>
      <c r="CH15" s="48">
        <v>13.553000000000001</v>
      </c>
      <c r="CI15" s="48">
        <v>4.7960000000000003</v>
      </c>
      <c r="CJ15" s="49">
        <v>3.718</v>
      </c>
      <c r="CK15" s="48">
        <v>1.548</v>
      </c>
      <c r="CL15" s="48">
        <v>0.1</v>
      </c>
      <c r="CM15" s="48">
        <v>0.6</v>
      </c>
      <c r="CN15" s="49">
        <v>0</v>
      </c>
      <c r="CO15" s="49">
        <v>0</v>
      </c>
      <c r="CP15" s="48">
        <v>94.066000000000003</v>
      </c>
      <c r="CQ15" s="48">
        <v>96</v>
      </c>
      <c r="CR15" s="48">
        <v>106.97799999999999</v>
      </c>
      <c r="CS15" s="48">
        <v>114.32</v>
      </c>
      <c r="CT15" s="48">
        <v>0.32800000000000001</v>
      </c>
      <c r="CU15" s="48">
        <v>0.6</v>
      </c>
      <c r="CV15" s="48">
        <v>1.198</v>
      </c>
      <c r="CW15" s="48">
        <v>1.1020000000000001</v>
      </c>
      <c r="CX15" s="48">
        <v>1.6020000000000001</v>
      </c>
      <c r="CY15" s="48">
        <v>0.3</v>
      </c>
      <c r="CZ15" s="48">
        <v>1.403</v>
      </c>
      <c r="DA15" s="48">
        <v>0.89700000000000002</v>
      </c>
      <c r="DB15" s="48">
        <v>1.3979999999999999</v>
      </c>
      <c r="DC15" s="49">
        <v>0</v>
      </c>
      <c r="DD15" s="49">
        <v>0</v>
      </c>
      <c r="DE15" s="48">
        <v>0.183</v>
      </c>
      <c r="DF15" s="48">
        <v>5.2999999999999999E-2</v>
      </c>
      <c r="DG15" s="48">
        <v>0.65800000000000003</v>
      </c>
      <c r="DH15" s="48">
        <v>1.79</v>
      </c>
      <c r="DI15" s="48">
        <v>0.70299999999999996</v>
      </c>
      <c r="DJ15" s="48">
        <v>9.2999999999999999E-2</v>
      </c>
      <c r="DK15" s="48">
        <v>0.69599999999999995</v>
      </c>
      <c r="DL15" s="49">
        <v>0.41499999999999998</v>
      </c>
      <c r="DM15" s="48">
        <v>0.46300000000000002</v>
      </c>
      <c r="DN15" s="49">
        <v>0.64300000000000002</v>
      </c>
      <c r="DO15" s="48">
        <v>0.36699999999999999</v>
      </c>
      <c r="DP15" s="48">
        <v>65.436000000000007</v>
      </c>
      <c r="DQ15" s="48">
        <v>60.472000000000001</v>
      </c>
      <c r="DR15" s="48">
        <v>53.27</v>
      </c>
      <c r="DS15" s="48">
        <v>51.088999999999999</v>
      </c>
      <c r="DT15" s="48">
        <v>6.24</v>
      </c>
      <c r="DU15" s="48">
        <v>6.18</v>
      </c>
      <c r="DV15" s="48">
        <v>11.57</v>
      </c>
      <c r="DW15" s="49">
        <v>8.94</v>
      </c>
      <c r="DX15" s="48">
        <v>6.61</v>
      </c>
      <c r="DY15" s="48">
        <v>6.41</v>
      </c>
      <c r="DZ15" s="48">
        <v>11.19</v>
      </c>
      <c r="EA15" s="49">
        <v>8.7200000000000006</v>
      </c>
      <c r="EB15" s="48">
        <v>42.06</v>
      </c>
      <c r="EC15" s="49">
        <v>41.72</v>
      </c>
      <c r="ED15" s="49">
        <v>35.130000000000003</v>
      </c>
      <c r="EE15" s="48">
        <v>37.43</v>
      </c>
      <c r="EF15" s="48">
        <v>45.09</v>
      </c>
      <c r="EG15" s="48">
        <v>45.69</v>
      </c>
      <c r="EH15" s="48">
        <v>42.11</v>
      </c>
      <c r="EI15" s="48">
        <v>44.91</v>
      </c>
      <c r="EJ15" s="48">
        <v>6.7839999999999998</v>
      </c>
      <c r="EK15" s="49">
        <v>62.843000000000004</v>
      </c>
      <c r="EL15" s="48">
        <v>2.2000000000000002</v>
      </c>
      <c r="EM15" s="49">
        <v>1.8</v>
      </c>
      <c r="EN15" s="48">
        <v>1.2</v>
      </c>
      <c r="EO15" s="48">
        <v>1.21</v>
      </c>
      <c r="EP15" s="48">
        <v>-105.054</v>
      </c>
      <c r="EQ15" s="48">
        <v>-3.3410000000000002</v>
      </c>
      <c r="ER15" s="48">
        <v>82.41</v>
      </c>
      <c r="ES15" s="49">
        <v>1.52</v>
      </c>
      <c r="ET15" s="48">
        <v>1.6120000000000001</v>
      </c>
      <c r="EU15" s="49">
        <v>1.456</v>
      </c>
      <c r="EV15" s="49">
        <v>7.9749999999999996</v>
      </c>
      <c r="EW15" s="49">
        <v>3.097</v>
      </c>
      <c r="EX15" s="49">
        <v>73.08</v>
      </c>
      <c r="EY15" s="48">
        <v>0</v>
      </c>
      <c r="EZ15" s="49">
        <v>1.39</v>
      </c>
      <c r="FA15" s="49">
        <v>0</v>
      </c>
      <c r="FB15" s="48">
        <v>9</v>
      </c>
      <c r="FC15" s="48">
        <v>66.594999999999999</v>
      </c>
      <c r="FD15" s="48">
        <v>61.45</v>
      </c>
      <c r="FE15" s="48">
        <v>74</v>
      </c>
      <c r="FF15" s="48">
        <v>73.507000000000005</v>
      </c>
      <c r="FG15" s="48">
        <v>0.91700000000000004</v>
      </c>
      <c r="FH15" s="48">
        <v>0.91800000000000004</v>
      </c>
      <c r="FI15" s="48">
        <v>0.996</v>
      </c>
      <c r="FJ15" s="48">
        <v>0.998</v>
      </c>
      <c r="FK15" s="48">
        <v>0</v>
      </c>
      <c r="FL15" s="48">
        <v>83</v>
      </c>
      <c r="FM15" s="48">
        <v>3.76</v>
      </c>
      <c r="FN15" s="48">
        <v>-0.22</v>
      </c>
      <c r="FO15" s="48">
        <v>5.31</v>
      </c>
      <c r="FP15" s="3"/>
      <c r="FQ15" s="48">
        <v>4.55</v>
      </c>
      <c r="FR15" s="48">
        <v>4.95</v>
      </c>
      <c r="FS15" s="48">
        <v>6.6245000000000003</v>
      </c>
      <c r="FT15" s="49">
        <v>1078.9000000000001</v>
      </c>
      <c r="FU15" s="48">
        <v>5.92</v>
      </c>
      <c r="FV15" s="48">
        <v>11.69</v>
      </c>
      <c r="FW15" s="49">
        <v>3213.5</v>
      </c>
      <c r="FX15" s="48">
        <v>162700</v>
      </c>
      <c r="FY15" s="48">
        <v>163800</v>
      </c>
      <c r="FZ15" s="48">
        <v>47.283000000000001</v>
      </c>
      <c r="GA15" s="48">
        <v>47.927</v>
      </c>
      <c r="GB15" s="48">
        <v>2142.5</v>
      </c>
      <c r="GC15" s="48">
        <v>2137.4</v>
      </c>
      <c r="GD15" s="48">
        <v>2187.5</v>
      </c>
      <c r="GE15" s="48">
        <v>2170.5</v>
      </c>
      <c r="GF15" s="48">
        <v>1479.4688000000001</v>
      </c>
      <c r="GG15" s="48">
        <v>28</v>
      </c>
      <c r="GH15" s="48">
        <v>27.6</v>
      </c>
      <c r="GI15" s="48">
        <v>45.8</v>
      </c>
      <c r="GJ15" s="48">
        <v>51.2</v>
      </c>
      <c r="GK15" s="48">
        <v>99.5</v>
      </c>
      <c r="GL15" s="48">
        <v>109.1</v>
      </c>
      <c r="GM15" s="49">
        <v>0</v>
      </c>
      <c r="GN15" s="48">
        <v>25.087</v>
      </c>
      <c r="GO15" s="48">
        <v>105.054</v>
      </c>
      <c r="GP15" s="48">
        <v>0.94399999999999995</v>
      </c>
      <c r="GQ15" s="48">
        <v>1.829</v>
      </c>
      <c r="GR15" s="48">
        <v>1.2390000000000001</v>
      </c>
      <c r="GS15" s="48">
        <v>1.9470000000000001</v>
      </c>
      <c r="GT15" s="48">
        <v>0.76700000000000002</v>
      </c>
      <c r="GU15" s="48">
        <v>1.829</v>
      </c>
      <c r="GV15" s="48">
        <v>12.348000000000001</v>
      </c>
      <c r="GW15" s="48">
        <v>13.778</v>
      </c>
      <c r="GX15" s="48">
        <v>15.19</v>
      </c>
      <c r="GY15" s="49">
        <v>0</v>
      </c>
      <c r="GZ15" s="48">
        <v>0</v>
      </c>
      <c r="HA15" s="48">
        <v>0</v>
      </c>
      <c r="HB15" s="48">
        <v>0</v>
      </c>
      <c r="HC15" s="48">
        <v>36.371000000000002</v>
      </c>
      <c r="HD15" s="48">
        <v>82</v>
      </c>
      <c r="HE15" s="49">
        <v>0</v>
      </c>
      <c r="HF15" s="49">
        <v>0</v>
      </c>
      <c r="HG15" s="48">
        <v>73.91</v>
      </c>
      <c r="HH15" s="48">
        <v>80.63</v>
      </c>
      <c r="HI15" s="49">
        <v>0</v>
      </c>
      <c r="HJ15" s="49">
        <v>0</v>
      </c>
      <c r="HK15" s="49">
        <v>0</v>
      </c>
      <c r="HL15" s="48">
        <v>57</v>
      </c>
      <c r="HM15" s="48">
        <v>49</v>
      </c>
      <c r="HN15" s="48">
        <v>62</v>
      </c>
      <c r="HO15" s="48">
        <v>56</v>
      </c>
      <c r="HP15" s="48">
        <v>59</v>
      </c>
      <c r="HQ15" s="48">
        <v>57</v>
      </c>
      <c r="HR15" s="48">
        <v>50</v>
      </c>
      <c r="HS15" s="48">
        <v>70</v>
      </c>
      <c r="HT15" s="48">
        <v>-1.4155</v>
      </c>
      <c r="HU15" s="49">
        <v>0</v>
      </c>
      <c r="HV15" s="48">
        <v>0.65400000000000003</v>
      </c>
      <c r="HW15" s="49">
        <v>37.17</v>
      </c>
      <c r="HX15" s="48">
        <v>49.07</v>
      </c>
      <c r="HY15" s="48">
        <v>52.49</v>
      </c>
      <c r="HZ15" s="48">
        <v>52.49</v>
      </c>
      <c r="IA15" s="48">
        <v>2.4980000000000002</v>
      </c>
      <c r="IB15" s="49">
        <v>103</v>
      </c>
      <c r="IC15" s="48">
        <v>22.029</v>
      </c>
      <c r="ID15" s="48">
        <v>-0.39600000000000002</v>
      </c>
      <c r="IE15" s="48">
        <v>-0.23100000000000001</v>
      </c>
      <c r="IF15" s="49">
        <v>830.6</v>
      </c>
      <c r="IG15" s="49">
        <v>761.2</v>
      </c>
      <c r="IH15" s="48">
        <v>825</v>
      </c>
      <c r="II15" s="49">
        <v>770.5</v>
      </c>
      <c r="IJ15" s="48">
        <v>-3.1E-2</v>
      </c>
      <c r="IK15" s="48">
        <v>4.8000000000000001E-2</v>
      </c>
      <c r="IL15" s="48">
        <v>76.902000000000001</v>
      </c>
      <c r="IM15" s="48">
        <v>76.902000000000001</v>
      </c>
      <c r="IN15" s="48">
        <v>9.7200000000000006</v>
      </c>
      <c r="IO15" s="49">
        <v>0.39500000000000002</v>
      </c>
      <c r="IP15" s="48">
        <v>9.5</v>
      </c>
      <c r="IQ15" s="48">
        <v>5.0000000000000001E-3</v>
      </c>
      <c r="IR15" s="49">
        <v>7.0000000000000001E-3</v>
      </c>
      <c r="IS15">
        <v>0.24600000000000002</v>
      </c>
      <c r="IT15">
        <v>0.11700000000000002</v>
      </c>
    </row>
    <row r="16" spans="1:254" x14ac:dyDescent="0.25">
      <c r="B16" s="2" t="s">
        <v>409</v>
      </c>
      <c r="C16" s="2" t="s">
        <v>43</v>
      </c>
      <c r="D16" s="57">
        <v>2.5099537037037035E-3</v>
      </c>
      <c r="E16" s="48">
        <v>216.86</v>
      </c>
      <c r="F16" s="48">
        <v>331.06</v>
      </c>
      <c r="G16" s="48">
        <v>5.91</v>
      </c>
      <c r="H16" s="48">
        <v>25.6</v>
      </c>
      <c r="I16" s="49">
        <v>0</v>
      </c>
      <c r="J16" s="48">
        <v>18.100000000000001</v>
      </c>
      <c r="K16" s="49">
        <v>6</v>
      </c>
      <c r="L16" s="49">
        <v>6</v>
      </c>
      <c r="M16" s="49">
        <v>7</v>
      </c>
      <c r="N16" s="49">
        <v>2</v>
      </c>
      <c r="O16" s="49">
        <v>3</v>
      </c>
      <c r="P16" s="48">
        <v>0.39600000000000002</v>
      </c>
      <c r="Q16" s="48">
        <v>0.89500000000000002</v>
      </c>
      <c r="R16" s="48">
        <v>0.29499999999999998</v>
      </c>
      <c r="S16" s="48">
        <v>0.17399999999999999</v>
      </c>
      <c r="T16" s="48">
        <v>72.66</v>
      </c>
      <c r="U16" s="48">
        <v>60.43</v>
      </c>
      <c r="V16" s="48">
        <v>230</v>
      </c>
      <c r="W16" s="48">
        <v>260</v>
      </c>
      <c r="X16" s="48">
        <v>165</v>
      </c>
      <c r="Y16" s="48">
        <v>213.34</v>
      </c>
      <c r="Z16" s="49">
        <v>382.41</v>
      </c>
      <c r="AA16" s="49">
        <v>409.94</v>
      </c>
      <c r="AB16" s="49">
        <v>285.05</v>
      </c>
      <c r="AC16" s="49">
        <v>357.48</v>
      </c>
      <c r="AD16" s="48">
        <v>1.835</v>
      </c>
      <c r="AE16" s="48">
        <v>1.8420000000000001</v>
      </c>
      <c r="AF16" s="48">
        <v>1.851</v>
      </c>
      <c r="AG16" s="48">
        <v>1.8779999999999999</v>
      </c>
      <c r="AH16" s="48">
        <v>78.959999999999994</v>
      </c>
      <c r="AI16" s="48">
        <v>68.819999999999993</v>
      </c>
      <c r="AJ16" s="48">
        <v>102.52</v>
      </c>
      <c r="AK16" s="48">
        <v>100.94</v>
      </c>
      <c r="AL16" s="48">
        <v>649.79600000000005</v>
      </c>
      <c r="AM16" s="48">
        <v>664.173</v>
      </c>
      <c r="AN16" s="48">
        <v>813.44399999999996</v>
      </c>
      <c r="AO16" s="48">
        <v>796.59100000000001</v>
      </c>
      <c r="AP16" s="48">
        <v>1.4019999999999999</v>
      </c>
      <c r="AQ16" s="48">
        <v>1.89</v>
      </c>
      <c r="AR16" s="48">
        <v>42.082999999999998</v>
      </c>
      <c r="AS16" s="48">
        <v>39.183999999999997</v>
      </c>
      <c r="AT16" s="48">
        <v>83</v>
      </c>
      <c r="AU16" s="48">
        <v>119</v>
      </c>
      <c r="AV16" s="48">
        <v>1.7430000000000001</v>
      </c>
      <c r="AW16" s="49">
        <v>4.8494000000000002</v>
      </c>
      <c r="AX16" s="48">
        <v>1016.1</v>
      </c>
      <c r="AY16" s="48">
        <v>2.4</v>
      </c>
      <c r="AZ16" s="48">
        <v>5.71</v>
      </c>
      <c r="BA16" s="48">
        <v>100.06699999999999</v>
      </c>
      <c r="BB16" s="48">
        <v>99.566999999999993</v>
      </c>
      <c r="BC16" s="48">
        <v>7685</v>
      </c>
      <c r="BD16" s="48">
        <v>87.5</v>
      </c>
      <c r="BE16" s="48">
        <v>17.254999999999999</v>
      </c>
      <c r="BF16" s="48">
        <v>13.395</v>
      </c>
      <c r="BG16" s="48">
        <v>29.48</v>
      </c>
      <c r="BH16" s="48">
        <v>27.97</v>
      </c>
      <c r="BI16" s="3"/>
      <c r="BJ16" s="3"/>
      <c r="BK16" s="3"/>
      <c r="BL16" s="3"/>
      <c r="BM16" s="3"/>
      <c r="BN16" s="48">
        <v>99.944000000000003</v>
      </c>
      <c r="BO16" s="48">
        <v>102.52</v>
      </c>
      <c r="BP16" s="48">
        <v>121.752</v>
      </c>
      <c r="BQ16" s="48">
        <v>126.712</v>
      </c>
      <c r="BR16" s="3"/>
      <c r="BS16" s="48">
        <v>25.3</v>
      </c>
      <c r="BT16" s="48">
        <v>7414.8649999999998</v>
      </c>
      <c r="BU16" s="48">
        <v>51.326999999999998</v>
      </c>
      <c r="BV16" s="48">
        <v>53.289000000000001</v>
      </c>
      <c r="BW16" s="48">
        <v>55.697000000000003</v>
      </c>
      <c r="BX16" s="48">
        <v>56.863999999999997</v>
      </c>
      <c r="BY16" s="48">
        <v>1.3919999999999999</v>
      </c>
      <c r="BZ16" s="48">
        <v>2.7170000000000001</v>
      </c>
      <c r="CA16" s="48">
        <v>3.4420000000000002</v>
      </c>
      <c r="CB16" s="48">
        <v>3.0070000000000001</v>
      </c>
      <c r="CC16" s="48">
        <v>1.022</v>
      </c>
      <c r="CD16" s="48">
        <v>2.3290000000000002</v>
      </c>
      <c r="CE16" s="48">
        <v>1.3069999999999999</v>
      </c>
      <c r="CF16" s="48">
        <v>2.1150000000000002</v>
      </c>
      <c r="CG16" s="48">
        <v>13.734</v>
      </c>
      <c r="CH16" s="48">
        <v>13.557</v>
      </c>
      <c r="CI16" s="48">
        <v>4.7279999999999998</v>
      </c>
      <c r="CJ16" s="48">
        <v>3.7160000000000002</v>
      </c>
      <c r="CK16" s="49">
        <v>1.611</v>
      </c>
      <c r="CL16" s="49">
        <v>0.4</v>
      </c>
      <c r="CM16" s="48">
        <v>0.6</v>
      </c>
      <c r="CN16" s="49">
        <v>0</v>
      </c>
      <c r="CO16" s="49">
        <v>0</v>
      </c>
      <c r="CP16" s="48">
        <v>95.63</v>
      </c>
      <c r="CQ16" s="48">
        <v>98.686000000000007</v>
      </c>
      <c r="CR16" s="48">
        <v>114.602</v>
      </c>
      <c r="CS16" s="48">
        <v>120.753</v>
      </c>
      <c r="CT16" s="49">
        <v>0.38200000000000001</v>
      </c>
      <c r="CU16" s="48">
        <v>0.60099999999999998</v>
      </c>
      <c r="CV16" s="48">
        <v>1.5940000000000001</v>
      </c>
      <c r="CW16" s="48">
        <v>0.999</v>
      </c>
      <c r="CX16" s="49">
        <v>1.9</v>
      </c>
      <c r="CY16" s="48">
        <v>0.89700000000000002</v>
      </c>
      <c r="CZ16" s="48">
        <v>1.2010000000000001</v>
      </c>
      <c r="DA16" s="48">
        <v>0.4</v>
      </c>
      <c r="DB16" s="48">
        <v>1.198</v>
      </c>
      <c r="DC16" s="49">
        <v>0</v>
      </c>
      <c r="DD16" s="49">
        <v>0</v>
      </c>
      <c r="DE16" s="48">
        <v>0.17100000000000001</v>
      </c>
      <c r="DF16" s="48">
        <v>0.06</v>
      </c>
      <c r="DG16" s="48">
        <v>0.52200000000000002</v>
      </c>
      <c r="DH16" s="49">
        <v>1.8360000000000001</v>
      </c>
      <c r="DI16" s="48">
        <v>0.64800000000000002</v>
      </c>
      <c r="DJ16" s="48">
        <v>6.5000000000000002E-2</v>
      </c>
      <c r="DK16" s="48">
        <v>0.70499999999999996</v>
      </c>
      <c r="DL16" s="48">
        <v>0.41199999999999998</v>
      </c>
      <c r="DM16" s="48">
        <v>0.48299999999999998</v>
      </c>
      <c r="DN16" s="48">
        <v>0.48799999999999999</v>
      </c>
      <c r="DO16" s="48">
        <v>0.86699999999999999</v>
      </c>
      <c r="DP16" s="48">
        <v>67.932000000000002</v>
      </c>
      <c r="DQ16" s="48">
        <v>60.893000000000001</v>
      </c>
      <c r="DR16" s="49">
        <v>55.106999999999999</v>
      </c>
      <c r="DS16" s="48">
        <v>52.38</v>
      </c>
      <c r="DT16" s="48">
        <v>6.07</v>
      </c>
      <c r="DU16" s="48">
        <v>6.13</v>
      </c>
      <c r="DV16" s="48">
        <v>11.49</v>
      </c>
      <c r="DW16" s="48">
        <v>8.66</v>
      </c>
      <c r="DX16" s="48">
        <v>6.67</v>
      </c>
      <c r="DY16" s="48">
        <v>6.32</v>
      </c>
      <c r="DZ16" s="48">
        <v>11.24</v>
      </c>
      <c r="EA16" s="48">
        <v>8.32</v>
      </c>
      <c r="EB16" s="49">
        <v>42.58</v>
      </c>
      <c r="EC16" s="48">
        <v>41.12</v>
      </c>
      <c r="ED16" s="49">
        <v>35.130000000000003</v>
      </c>
      <c r="EE16" s="49">
        <v>37.53</v>
      </c>
      <c r="EF16" s="48">
        <v>44.68</v>
      </c>
      <c r="EG16" s="48">
        <v>46.43</v>
      </c>
      <c r="EH16" s="48">
        <v>42.14</v>
      </c>
      <c r="EI16" s="48">
        <v>45.49</v>
      </c>
      <c r="EJ16" s="48">
        <v>6.5659999999999998</v>
      </c>
      <c r="EK16" s="48">
        <v>62.466000000000001</v>
      </c>
      <c r="EL16" s="48">
        <v>2.25</v>
      </c>
      <c r="EM16" s="48">
        <v>1.85</v>
      </c>
      <c r="EN16" s="48">
        <v>1.2</v>
      </c>
      <c r="EO16" s="48">
        <v>1.21</v>
      </c>
      <c r="EP16" s="48">
        <v>-106.22199999999999</v>
      </c>
      <c r="EQ16" s="48">
        <v>-3.0760000000000001</v>
      </c>
      <c r="ER16" s="48">
        <v>96.426000000000002</v>
      </c>
      <c r="ES16" s="48">
        <v>1.4830000000000001</v>
      </c>
      <c r="ET16" s="48">
        <v>1.6160000000000001</v>
      </c>
      <c r="EU16" s="48">
        <v>1.4259999999999999</v>
      </c>
      <c r="EV16" s="48">
        <v>7.6040000000000001</v>
      </c>
      <c r="EW16" s="48">
        <v>2.8559999999999999</v>
      </c>
      <c r="EX16" s="48">
        <v>72.36</v>
      </c>
      <c r="EY16" s="48">
        <v>0</v>
      </c>
      <c r="EZ16" s="48">
        <v>6.0999999999999999E-2</v>
      </c>
      <c r="FA16" s="49">
        <v>0</v>
      </c>
      <c r="FB16" s="48">
        <v>8.9879999999999995</v>
      </c>
      <c r="FC16" s="48">
        <v>68.864000000000004</v>
      </c>
      <c r="FD16" s="48">
        <v>63.499000000000002</v>
      </c>
      <c r="FE16" s="48">
        <v>78.197000000000003</v>
      </c>
      <c r="FF16" s="48">
        <v>77.284000000000006</v>
      </c>
      <c r="FG16" s="48">
        <v>0.91400000000000003</v>
      </c>
      <c r="FH16" s="48">
        <v>0.91400000000000003</v>
      </c>
      <c r="FI16" s="48">
        <v>0.995</v>
      </c>
      <c r="FJ16" s="48">
        <v>0.997</v>
      </c>
      <c r="FK16" s="48">
        <v>0</v>
      </c>
      <c r="FL16" s="48">
        <v>83</v>
      </c>
      <c r="FM16" s="48">
        <v>3.73</v>
      </c>
      <c r="FN16" s="49">
        <v>-0.63</v>
      </c>
      <c r="FO16" s="48">
        <v>5.39</v>
      </c>
      <c r="FP16" s="3"/>
      <c r="FQ16" s="48">
        <v>4.55</v>
      </c>
      <c r="FR16" s="49">
        <v>4.75</v>
      </c>
      <c r="FS16" s="49">
        <v>6.6820000000000004</v>
      </c>
      <c r="FT16" s="48">
        <v>1069.8</v>
      </c>
      <c r="FU16" s="48">
        <v>6.33</v>
      </c>
      <c r="FV16" s="48">
        <v>17.61</v>
      </c>
      <c r="FW16" s="48">
        <v>3049.5</v>
      </c>
      <c r="FX16" s="48">
        <v>163000</v>
      </c>
      <c r="FY16" s="48">
        <v>164800</v>
      </c>
      <c r="FZ16" s="48">
        <v>47.055</v>
      </c>
      <c r="GA16" s="48">
        <v>47.64</v>
      </c>
      <c r="GB16" s="48">
        <v>2135.6</v>
      </c>
      <c r="GC16" s="49">
        <v>2352.4</v>
      </c>
      <c r="GD16" s="49">
        <v>2258.1999999999998</v>
      </c>
      <c r="GE16" s="49">
        <v>2352.4</v>
      </c>
      <c r="GF16" s="48">
        <v>1472.7969000000001</v>
      </c>
      <c r="GG16" s="48">
        <v>28</v>
      </c>
      <c r="GH16" s="48">
        <v>28.1</v>
      </c>
      <c r="GI16" s="48">
        <v>45.2</v>
      </c>
      <c r="GJ16" s="48">
        <v>50</v>
      </c>
      <c r="GK16" s="48">
        <v>99.5</v>
      </c>
      <c r="GL16" s="48">
        <v>112.6</v>
      </c>
      <c r="GM16" s="49">
        <v>0</v>
      </c>
      <c r="GN16" s="49">
        <v>25.27</v>
      </c>
      <c r="GO16" s="48">
        <v>106.22199999999999</v>
      </c>
      <c r="GP16" s="48">
        <v>0.76700000000000002</v>
      </c>
      <c r="GQ16" s="48">
        <v>1.829</v>
      </c>
      <c r="GR16" s="48">
        <v>1.2390000000000001</v>
      </c>
      <c r="GS16" s="48">
        <v>1.9470000000000001</v>
      </c>
      <c r="GT16" s="48">
        <v>0.76700000000000002</v>
      </c>
      <c r="GU16" s="48">
        <v>1.829</v>
      </c>
      <c r="GV16" s="48">
        <v>12.74</v>
      </c>
      <c r="GW16" s="48">
        <v>13.787000000000001</v>
      </c>
      <c r="GX16" s="48">
        <v>14.896000000000001</v>
      </c>
      <c r="GY16" s="49">
        <v>0</v>
      </c>
      <c r="GZ16" s="48">
        <v>0</v>
      </c>
      <c r="HA16" s="48">
        <v>0</v>
      </c>
      <c r="HB16" s="48">
        <v>0</v>
      </c>
      <c r="HC16" s="48">
        <v>36.348999999999997</v>
      </c>
      <c r="HD16" s="48">
        <v>78</v>
      </c>
      <c r="HE16" s="49">
        <v>0</v>
      </c>
      <c r="HF16" s="49">
        <v>0</v>
      </c>
      <c r="HG16" s="48">
        <v>72.31</v>
      </c>
      <c r="HH16" s="48">
        <v>80.55</v>
      </c>
      <c r="HI16" s="49">
        <v>0</v>
      </c>
      <c r="HJ16" s="49">
        <v>0</v>
      </c>
      <c r="HK16" s="49">
        <v>0</v>
      </c>
      <c r="HL16" s="48">
        <v>57</v>
      </c>
      <c r="HM16" s="48">
        <v>49</v>
      </c>
      <c r="HN16" s="48">
        <v>63</v>
      </c>
      <c r="HO16" s="48">
        <v>57</v>
      </c>
      <c r="HP16" s="48">
        <v>60</v>
      </c>
      <c r="HQ16" s="48">
        <v>58</v>
      </c>
      <c r="HR16" s="48">
        <v>51</v>
      </c>
      <c r="HS16" s="48">
        <v>70</v>
      </c>
      <c r="HT16" s="49">
        <v>-1.4315</v>
      </c>
      <c r="HU16" s="49">
        <v>0</v>
      </c>
      <c r="HV16" s="49">
        <v>0.73699999999999999</v>
      </c>
      <c r="HW16" s="49">
        <v>37.17</v>
      </c>
      <c r="HX16" s="48">
        <v>51.76</v>
      </c>
      <c r="HY16" s="48">
        <v>52.13</v>
      </c>
      <c r="HZ16" s="48">
        <v>52.13</v>
      </c>
      <c r="IA16" s="48">
        <v>2.7130000000000001</v>
      </c>
      <c r="IB16" s="49">
        <v>103</v>
      </c>
      <c r="IC16" s="49">
        <v>22.186</v>
      </c>
      <c r="ID16" s="48">
        <v>-0.42099999999999999</v>
      </c>
      <c r="IE16" s="48">
        <v>-0.23400000000000001</v>
      </c>
      <c r="IF16" s="48">
        <v>820.1</v>
      </c>
      <c r="IG16" s="48">
        <v>759.7</v>
      </c>
      <c r="IH16" s="49">
        <v>830.7</v>
      </c>
      <c r="II16" s="49">
        <v>770.5</v>
      </c>
      <c r="IJ16" s="48">
        <v>-3.3000000000000002E-2</v>
      </c>
      <c r="IK16" s="49">
        <v>5.7000000000000002E-2</v>
      </c>
      <c r="IL16" s="48">
        <v>76.620999999999995</v>
      </c>
      <c r="IM16" s="48">
        <v>76.620999999999995</v>
      </c>
      <c r="IN16" s="48">
        <v>11.426</v>
      </c>
      <c r="IO16" s="48">
        <v>0.35099999999999998</v>
      </c>
      <c r="IP16" s="48">
        <v>9.3800000000000008</v>
      </c>
      <c r="IQ16" s="48">
        <v>4.0000000000000001E-3</v>
      </c>
      <c r="IR16" s="48">
        <v>1E-3</v>
      </c>
      <c r="IS16">
        <v>0.25</v>
      </c>
      <c r="IT16">
        <v>0.11800000000000002</v>
      </c>
    </row>
    <row r="17" spans="1:254" x14ac:dyDescent="0.25">
      <c r="B17" s="2" t="s">
        <v>409</v>
      </c>
      <c r="C17" s="58" t="s">
        <v>44</v>
      </c>
      <c r="D17" s="59">
        <v>2.5057870370370368E-3</v>
      </c>
      <c r="E17" s="48">
        <v>216.5</v>
      </c>
      <c r="F17" s="49">
        <v>331.68</v>
      </c>
      <c r="G17" s="48">
        <v>5.9</v>
      </c>
      <c r="H17" s="49">
        <v>25.7</v>
      </c>
      <c r="I17" s="49">
        <v>0</v>
      </c>
      <c r="J17" s="48">
        <v>16.8</v>
      </c>
      <c r="K17" s="49">
        <v>6</v>
      </c>
      <c r="L17" s="49">
        <v>6</v>
      </c>
      <c r="M17" s="49">
        <v>7</v>
      </c>
      <c r="N17" s="49">
        <v>2</v>
      </c>
      <c r="O17" s="49">
        <v>3</v>
      </c>
      <c r="P17" s="48">
        <v>0.38200000000000001</v>
      </c>
      <c r="Q17" s="48">
        <v>0.73099999999999998</v>
      </c>
      <c r="R17" s="48">
        <v>0.46200000000000002</v>
      </c>
      <c r="S17" s="48">
        <v>0.20100000000000001</v>
      </c>
      <c r="T17" s="48">
        <v>70.56</v>
      </c>
      <c r="U17" s="48">
        <v>60.451999999999998</v>
      </c>
      <c r="V17" s="48">
        <v>245</v>
      </c>
      <c r="W17" s="48">
        <v>278.33999999999997</v>
      </c>
      <c r="X17" s="48">
        <v>170</v>
      </c>
      <c r="Y17" s="48">
        <v>216.66</v>
      </c>
      <c r="Z17" s="48">
        <v>381.35</v>
      </c>
      <c r="AA17" s="48">
        <v>407.83</v>
      </c>
      <c r="AB17" s="48">
        <v>270.57</v>
      </c>
      <c r="AC17" s="48">
        <v>342.74</v>
      </c>
      <c r="AD17" s="48">
        <v>1.835</v>
      </c>
      <c r="AE17" s="48">
        <v>1.8440000000000001</v>
      </c>
      <c r="AF17" s="48">
        <v>1.8580000000000001</v>
      </c>
      <c r="AG17" s="48">
        <v>1.8779999999999999</v>
      </c>
      <c r="AH17" s="48">
        <v>78.61</v>
      </c>
      <c r="AI17" s="48">
        <v>68.77</v>
      </c>
      <c r="AJ17" s="48">
        <v>101.74</v>
      </c>
      <c r="AK17" s="48">
        <v>100.8</v>
      </c>
      <c r="AL17" s="48">
        <v>659.96</v>
      </c>
      <c r="AM17" s="48">
        <v>671.26199999999994</v>
      </c>
      <c r="AN17" s="49">
        <v>855.08600000000001</v>
      </c>
      <c r="AO17" s="48">
        <v>782.95399999999995</v>
      </c>
      <c r="AP17" s="48">
        <v>1.4039999999999999</v>
      </c>
      <c r="AQ17" s="48">
        <v>1.8759999999999999</v>
      </c>
      <c r="AR17" s="49">
        <v>42.274000000000001</v>
      </c>
      <c r="AS17" s="49">
        <v>39.247</v>
      </c>
      <c r="AT17" s="48">
        <v>83</v>
      </c>
      <c r="AU17" s="48">
        <v>119</v>
      </c>
      <c r="AV17" s="48">
        <v>1.6595</v>
      </c>
      <c r="AW17" s="48">
        <v>4.8063000000000002</v>
      </c>
      <c r="AX17" s="48">
        <v>1015.3</v>
      </c>
      <c r="AY17" s="48">
        <v>2.4300000000000002</v>
      </c>
      <c r="AZ17" s="48">
        <v>5.53</v>
      </c>
      <c r="BA17" s="48">
        <v>95.2</v>
      </c>
      <c r="BB17" s="48">
        <v>91.725999999999999</v>
      </c>
      <c r="BC17" s="49">
        <v>7860</v>
      </c>
      <c r="BD17" s="48">
        <v>88.75</v>
      </c>
      <c r="BE17" s="48">
        <v>15.93</v>
      </c>
      <c r="BF17" s="48">
        <v>14.9</v>
      </c>
      <c r="BG17" s="48">
        <v>28.46</v>
      </c>
      <c r="BH17" s="49">
        <v>31.4</v>
      </c>
      <c r="BI17" s="3"/>
      <c r="BJ17" s="3"/>
      <c r="BK17" s="3"/>
      <c r="BL17" s="3"/>
      <c r="BM17" s="3"/>
      <c r="BN17" s="48">
        <v>103.032</v>
      </c>
      <c r="BO17" s="48">
        <v>107.08</v>
      </c>
      <c r="BP17" s="48">
        <v>122.024</v>
      </c>
      <c r="BQ17" s="48">
        <v>126.88800000000001</v>
      </c>
      <c r="BR17" s="3"/>
      <c r="BS17" s="49">
        <v>25.5</v>
      </c>
      <c r="BT17" s="48">
        <v>7381.6769999999997</v>
      </c>
      <c r="BU17" s="48">
        <v>51.085000000000001</v>
      </c>
      <c r="BV17" s="48">
        <v>52.597999999999999</v>
      </c>
      <c r="BW17" s="48">
        <v>54.244</v>
      </c>
      <c r="BX17" s="48">
        <v>56.256999999999998</v>
      </c>
      <c r="BY17" s="48">
        <v>1.589</v>
      </c>
      <c r="BZ17" s="49">
        <v>2.9889999999999999</v>
      </c>
      <c r="CA17" s="49">
        <v>3.6190000000000002</v>
      </c>
      <c r="CB17" s="48">
        <v>3.137</v>
      </c>
      <c r="CC17" s="48">
        <v>0.81699999999999995</v>
      </c>
      <c r="CD17" s="48">
        <v>2.2349999999999999</v>
      </c>
      <c r="CE17" s="48">
        <v>1.3220000000000001</v>
      </c>
      <c r="CF17" s="48">
        <v>2.141</v>
      </c>
      <c r="CG17" s="48">
        <v>13.734</v>
      </c>
      <c r="CH17" s="48">
        <v>13.602</v>
      </c>
      <c r="CI17" s="48">
        <v>4.5720000000000001</v>
      </c>
      <c r="CJ17" s="48">
        <v>3.5019999999999998</v>
      </c>
      <c r="CK17" s="48">
        <v>1.603</v>
      </c>
      <c r="CL17" s="48">
        <v>0</v>
      </c>
      <c r="CM17" s="49">
        <v>2.8</v>
      </c>
      <c r="CN17" s="49">
        <v>0</v>
      </c>
      <c r="CO17" s="49">
        <v>0</v>
      </c>
      <c r="CP17" s="48">
        <v>96.852999999999994</v>
      </c>
      <c r="CQ17" s="48">
        <v>99.968999999999994</v>
      </c>
      <c r="CR17" s="48">
        <v>114.70399999999999</v>
      </c>
      <c r="CS17" s="48">
        <v>120.866</v>
      </c>
      <c r="CT17" s="48">
        <v>0.252</v>
      </c>
      <c r="CU17" s="49">
        <v>1.1040000000000001</v>
      </c>
      <c r="CV17" s="49">
        <v>2.101</v>
      </c>
      <c r="CW17" s="49">
        <v>1.4970000000000001</v>
      </c>
      <c r="CX17" s="48">
        <v>1.8</v>
      </c>
      <c r="CY17" s="49">
        <v>1.2050000000000001</v>
      </c>
      <c r="CZ17" s="48">
        <v>0.9</v>
      </c>
      <c r="DA17" s="49">
        <v>1.5</v>
      </c>
      <c r="DB17" s="49">
        <v>2.0979999999999999</v>
      </c>
      <c r="DC17" s="49">
        <v>0</v>
      </c>
      <c r="DD17" s="49">
        <v>0</v>
      </c>
      <c r="DE17" s="49">
        <v>0.20200000000000001</v>
      </c>
      <c r="DF17" s="48">
        <v>8.6999999999999994E-2</v>
      </c>
      <c r="DG17" s="49">
        <v>0.92</v>
      </c>
      <c r="DH17" s="48">
        <v>1.732</v>
      </c>
      <c r="DI17" s="48">
        <v>0.79900000000000004</v>
      </c>
      <c r="DJ17" s="48">
        <v>0.14699999999999999</v>
      </c>
      <c r="DK17" s="49">
        <v>0.82099999999999995</v>
      </c>
      <c r="DL17" s="48">
        <v>0.41299999999999998</v>
      </c>
      <c r="DM17" s="48">
        <v>0.42799999999999999</v>
      </c>
      <c r="DN17" s="48">
        <v>0.374</v>
      </c>
      <c r="DO17" s="48">
        <v>0.41699999999999998</v>
      </c>
      <c r="DP17" s="48">
        <v>68.281000000000006</v>
      </c>
      <c r="DQ17" s="48">
        <v>59.500999999999998</v>
      </c>
      <c r="DR17" s="48">
        <v>54.378</v>
      </c>
      <c r="DS17" s="49">
        <v>53.454000000000001</v>
      </c>
      <c r="DT17" s="49">
        <v>6.37</v>
      </c>
      <c r="DU17" s="49">
        <v>6.63</v>
      </c>
      <c r="DV17" s="49">
        <v>12.2</v>
      </c>
      <c r="DW17" s="48">
        <v>8.77</v>
      </c>
      <c r="DX17" s="49">
        <v>6.88</v>
      </c>
      <c r="DY17" s="49">
        <v>7.04</v>
      </c>
      <c r="DZ17" s="49">
        <v>11.6</v>
      </c>
      <c r="EA17" s="48">
        <v>8.5500000000000007</v>
      </c>
      <c r="EB17" s="48">
        <v>42.14</v>
      </c>
      <c r="EC17" s="48">
        <v>41.35</v>
      </c>
      <c r="ED17" s="48">
        <v>34.53</v>
      </c>
      <c r="EE17" s="48">
        <v>37.46</v>
      </c>
      <c r="EF17" s="48">
        <v>44.6</v>
      </c>
      <c r="EG17" s="48">
        <v>44.98</v>
      </c>
      <c r="EH17" s="48">
        <v>41.67</v>
      </c>
      <c r="EI17" s="48">
        <v>45.23</v>
      </c>
      <c r="EJ17" s="48">
        <v>6.734</v>
      </c>
      <c r="EK17" s="48">
        <v>62.48</v>
      </c>
      <c r="EL17" s="48">
        <v>2.25</v>
      </c>
      <c r="EM17" s="48">
        <v>1.85</v>
      </c>
      <c r="EN17" s="48">
        <v>1.21</v>
      </c>
      <c r="EO17" s="48">
        <v>1.21</v>
      </c>
      <c r="EP17" s="49">
        <v>-112.062</v>
      </c>
      <c r="EQ17" s="48">
        <v>-3.0550000000000002</v>
      </c>
      <c r="ER17" s="49">
        <v>113.07</v>
      </c>
      <c r="ES17" s="48">
        <v>1.44</v>
      </c>
      <c r="ET17" s="49">
        <v>1.6220000000000001</v>
      </c>
      <c r="EU17" s="48">
        <v>1.4059999999999999</v>
      </c>
      <c r="EV17" s="48">
        <v>7.6059999999999999</v>
      </c>
      <c r="EW17" s="48">
        <v>2.823</v>
      </c>
      <c r="EX17" s="48">
        <v>72.22</v>
      </c>
      <c r="EY17" s="48">
        <v>0</v>
      </c>
      <c r="EZ17" s="48">
        <v>0</v>
      </c>
      <c r="FA17" s="49">
        <v>0</v>
      </c>
      <c r="FB17" s="48">
        <v>8.9819999999999993</v>
      </c>
      <c r="FC17" s="48">
        <v>69.757000000000005</v>
      </c>
      <c r="FD17" s="48">
        <v>64.521000000000001</v>
      </c>
      <c r="FE17" s="48">
        <v>79.534999999999997</v>
      </c>
      <c r="FF17" s="48">
        <v>78.593999999999994</v>
      </c>
      <c r="FG17" s="48">
        <v>0.91600000000000004</v>
      </c>
      <c r="FH17" s="48">
        <v>0.91500000000000004</v>
      </c>
      <c r="FI17" s="48">
        <v>0.995</v>
      </c>
      <c r="FJ17" s="48">
        <v>0.997</v>
      </c>
      <c r="FK17" s="48">
        <v>0</v>
      </c>
      <c r="FL17" s="48">
        <v>83</v>
      </c>
      <c r="FM17" s="48">
        <v>3.72</v>
      </c>
      <c r="FN17" s="48">
        <v>-0.56000000000000005</v>
      </c>
      <c r="FO17" s="48">
        <v>5.5</v>
      </c>
      <c r="FP17" s="48">
        <v>4.55</v>
      </c>
      <c r="FQ17" s="48">
        <v>4.5</v>
      </c>
      <c r="FR17" s="48">
        <v>5.05</v>
      </c>
      <c r="FS17" s="48">
        <v>6.6055000000000001</v>
      </c>
      <c r="FT17" s="48">
        <v>1078.7</v>
      </c>
      <c r="FU17" s="49">
        <v>6.36</v>
      </c>
      <c r="FV17" s="48">
        <v>23.51</v>
      </c>
      <c r="FW17" s="48">
        <v>3189.5</v>
      </c>
      <c r="FX17" s="48">
        <v>162700</v>
      </c>
      <c r="FY17" s="48">
        <v>163200</v>
      </c>
      <c r="FZ17" s="48">
        <v>47.341000000000001</v>
      </c>
      <c r="GA17" s="48">
        <v>47.637999999999998</v>
      </c>
      <c r="GB17" s="48">
        <v>2156.6</v>
      </c>
      <c r="GC17" s="48">
        <v>2168.3000000000002</v>
      </c>
      <c r="GD17" s="48">
        <v>2215.1999999999998</v>
      </c>
      <c r="GE17" s="48">
        <v>2217</v>
      </c>
      <c r="GF17" s="49">
        <v>1621.5625</v>
      </c>
      <c r="GG17" s="49">
        <v>29</v>
      </c>
      <c r="GH17" s="48">
        <v>28.6</v>
      </c>
      <c r="GI17" s="48">
        <v>45.6</v>
      </c>
      <c r="GJ17" s="48">
        <v>50.5</v>
      </c>
      <c r="GK17" s="48">
        <v>99.5</v>
      </c>
      <c r="GL17" s="48">
        <v>109.2</v>
      </c>
      <c r="GM17" s="49">
        <v>0</v>
      </c>
      <c r="GN17" s="48">
        <v>22.712</v>
      </c>
      <c r="GO17" s="49">
        <v>113.07</v>
      </c>
      <c r="GP17" s="48">
        <v>0.53100000000000003</v>
      </c>
      <c r="GQ17" s="48">
        <v>1.829</v>
      </c>
      <c r="GR17" s="48">
        <v>1.298</v>
      </c>
      <c r="GS17" s="48">
        <v>2.0059999999999998</v>
      </c>
      <c r="GT17" s="48">
        <v>0.70799999999999996</v>
      </c>
      <c r="GU17" s="48">
        <v>1.829</v>
      </c>
      <c r="GV17" s="48">
        <v>12.641999999999999</v>
      </c>
      <c r="GW17" s="49">
        <v>13.81</v>
      </c>
      <c r="GX17" s="48">
        <v>14.994</v>
      </c>
      <c r="GY17" s="49">
        <v>0</v>
      </c>
      <c r="GZ17" s="48">
        <v>0</v>
      </c>
      <c r="HA17" s="48">
        <v>0</v>
      </c>
      <c r="HB17" s="48">
        <v>0</v>
      </c>
      <c r="HC17" s="49">
        <v>36.390999999999998</v>
      </c>
      <c r="HD17" s="48">
        <v>82</v>
      </c>
      <c r="HE17" s="49">
        <v>0</v>
      </c>
      <c r="HF17" s="49">
        <v>0</v>
      </c>
      <c r="HG17" s="48">
        <v>74.790000000000006</v>
      </c>
      <c r="HH17" s="49">
        <v>80.97</v>
      </c>
      <c r="HI17" s="49">
        <v>0</v>
      </c>
      <c r="HJ17" s="49">
        <v>0</v>
      </c>
      <c r="HK17" s="49">
        <v>0</v>
      </c>
      <c r="HL17" s="48">
        <v>58</v>
      </c>
      <c r="HM17" s="49">
        <v>50</v>
      </c>
      <c r="HN17" s="49">
        <v>64</v>
      </c>
      <c r="HO17" s="48">
        <v>57</v>
      </c>
      <c r="HP17" s="49">
        <v>61</v>
      </c>
      <c r="HQ17" s="49">
        <v>59</v>
      </c>
      <c r="HR17" s="48">
        <v>51</v>
      </c>
      <c r="HS17" s="49">
        <v>82</v>
      </c>
      <c r="HT17" s="48">
        <v>-1.4035</v>
      </c>
      <c r="HU17" s="49">
        <v>0</v>
      </c>
      <c r="HV17" s="48">
        <v>0.72399999999999998</v>
      </c>
      <c r="HW17" s="48">
        <v>38.119999999999997</v>
      </c>
      <c r="HX17" s="49">
        <v>48.18</v>
      </c>
      <c r="HY17" s="49">
        <v>52.59</v>
      </c>
      <c r="HZ17" s="49">
        <v>52.59</v>
      </c>
      <c r="IA17" s="48">
        <v>2.6120000000000001</v>
      </c>
      <c r="IB17" s="49">
        <v>103</v>
      </c>
      <c r="IC17" s="48">
        <v>22.08</v>
      </c>
      <c r="ID17" s="48">
        <v>-0.41599999999999998</v>
      </c>
      <c r="IE17" s="48">
        <v>-0.23499999999999999</v>
      </c>
      <c r="IF17" s="48">
        <v>802.3</v>
      </c>
      <c r="IG17" s="48">
        <v>757.4</v>
      </c>
      <c r="IH17" s="48">
        <v>815.1</v>
      </c>
      <c r="II17" s="48">
        <v>769.1</v>
      </c>
      <c r="IJ17" s="48">
        <v>-1.6E-2</v>
      </c>
      <c r="IK17" s="48">
        <v>3.7999999999999999E-2</v>
      </c>
      <c r="IL17" s="48">
        <v>77.326999999999998</v>
      </c>
      <c r="IM17" s="48">
        <v>77.326999999999998</v>
      </c>
      <c r="IN17" s="48">
        <v>11.754</v>
      </c>
      <c r="IO17" s="48">
        <v>0.26800000000000002</v>
      </c>
      <c r="IP17" s="48">
        <v>9.35</v>
      </c>
      <c r="IQ17" s="49">
        <v>8.9999999999999993E-3</v>
      </c>
      <c r="IR17" s="49">
        <v>7.0000000000000001E-3</v>
      </c>
      <c r="IS17">
        <v>0.25900000000000001</v>
      </c>
      <c r="IT17">
        <v>0.12500000000000003</v>
      </c>
    </row>
    <row r="18" spans="1:254" x14ac:dyDescent="0.25">
      <c r="B18" s="2" t="s">
        <v>409</v>
      </c>
      <c r="C18" s="2" t="s">
        <v>45</v>
      </c>
      <c r="D18" s="57">
        <v>2.9621527777777784E-3</v>
      </c>
      <c r="E18" s="48">
        <v>255.928</v>
      </c>
      <c r="F18" s="48">
        <v>330.06</v>
      </c>
      <c r="G18" s="48">
        <v>-23.51</v>
      </c>
      <c r="H18" s="48">
        <v>25.6</v>
      </c>
      <c r="I18" s="49">
        <v>0</v>
      </c>
      <c r="J18" s="48">
        <v>27.2</v>
      </c>
      <c r="K18" s="49">
        <v>6</v>
      </c>
      <c r="L18" s="49">
        <v>6</v>
      </c>
      <c r="M18" s="49">
        <v>7</v>
      </c>
      <c r="N18" s="49">
        <v>2</v>
      </c>
      <c r="O18" s="49">
        <v>3</v>
      </c>
      <c r="P18" s="48">
        <v>0.46899999999999997</v>
      </c>
      <c r="Q18" s="49">
        <v>1.0569999999999999</v>
      </c>
      <c r="R18" s="48">
        <v>0.214</v>
      </c>
      <c r="S18" s="49">
        <v>0.28199999999999997</v>
      </c>
      <c r="T18" s="49">
        <v>74.3</v>
      </c>
      <c r="U18" s="48">
        <v>60.576000000000001</v>
      </c>
      <c r="V18" s="48">
        <v>230</v>
      </c>
      <c r="W18" s="48">
        <v>261.66000000000003</v>
      </c>
      <c r="X18" s="48">
        <v>165</v>
      </c>
      <c r="Y18" s="48">
        <v>208.34</v>
      </c>
      <c r="Z18" s="48">
        <v>369.09</v>
      </c>
      <c r="AA18" s="48">
        <v>395.64</v>
      </c>
      <c r="AB18" s="48">
        <v>274.7</v>
      </c>
      <c r="AC18" s="48">
        <v>339.75</v>
      </c>
      <c r="AD18" s="49">
        <v>1.855</v>
      </c>
      <c r="AE18" s="49">
        <v>1.861</v>
      </c>
      <c r="AF18" s="49">
        <v>1.88</v>
      </c>
      <c r="AG18" s="49">
        <v>1.9019999999999999</v>
      </c>
      <c r="AH18" s="49">
        <v>81.040000000000006</v>
      </c>
      <c r="AI18" s="49">
        <v>70.540000000000006</v>
      </c>
      <c r="AJ18" s="49">
        <v>104.46</v>
      </c>
      <c r="AK18" s="49">
        <v>102.85</v>
      </c>
      <c r="AL18" s="49">
        <v>692.88699999999994</v>
      </c>
      <c r="AM18" s="49">
        <v>707.35400000000004</v>
      </c>
      <c r="AN18" s="48">
        <v>850.84299999999996</v>
      </c>
      <c r="AO18" s="49">
        <v>859.53499999999997</v>
      </c>
      <c r="AP18" s="48">
        <v>1.4039999999999999</v>
      </c>
      <c r="AQ18" s="48">
        <v>1.87</v>
      </c>
      <c r="AR18" s="48">
        <v>41.984000000000002</v>
      </c>
      <c r="AS18" s="48">
        <v>38.508000000000003</v>
      </c>
      <c r="AT18" s="48">
        <v>83</v>
      </c>
      <c r="AU18" s="49">
        <v>120</v>
      </c>
      <c r="AV18" s="49">
        <v>1.5085</v>
      </c>
      <c r="AW18" s="48">
        <v>4.6585999999999999</v>
      </c>
      <c r="AX18" s="48">
        <v>1015.6</v>
      </c>
      <c r="AY18" s="48">
        <v>2.4300000000000002</v>
      </c>
      <c r="AZ18" s="48">
        <v>5.64</v>
      </c>
      <c r="BA18" s="48">
        <v>69.400000000000006</v>
      </c>
      <c r="BB18" s="48">
        <v>69.400000000000006</v>
      </c>
      <c r="BC18" s="48">
        <v>7698</v>
      </c>
      <c r="BD18" s="49">
        <v>89</v>
      </c>
      <c r="BE18" s="48">
        <v>17.57</v>
      </c>
      <c r="BF18" s="49">
        <v>15.065</v>
      </c>
      <c r="BG18" s="48">
        <v>29.29</v>
      </c>
      <c r="BH18" s="48">
        <v>27.78</v>
      </c>
      <c r="BI18" s="49">
        <v>65.841999999999999</v>
      </c>
      <c r="BJ18" s="49">
        <v>82.007000000000005</v>
      </c>
      <c r="BK18" s="49">
        <v>64.132999999999996</v>
      </c>
      <c r="BL18" s="49">
        <v>78.867999999999995</v>
      </c>
      <c r="BM18" s="49">
        <v>79.977999999999994</v>
      </c>
      <c r="BN18" s="48">
        <v>117.464</v>
      </c>
      <c r="BO18" s="48">
        <v>120.47199999999999</v>
      </c>
      <c r="BP18" s="49">
        <v>132.77600000000001</v>
      </c>
      <c r="BQ18" s="49">
        <v>134.136</v>
      </c>
      <c r="BR18" s="49">
        <v>59.98</v>
      </c>
      <c r="BS18" s="48">
        <v>25.4</v>
      </c>
      <c r="BT18" s="48">
        <v>7389.9120000000003</v>
      </c>
      <c r="BU18" s="48">
        <v>51.503999999999998</v>
      </c>
      <c r="BV18" s="48">
        <v>51.771999999999998</v>
      </c>
      <c r="BW18" s="48">
        <v>54.317</v>
      </c>
      <c r="BX18" s="48">
        <v>57.076000000000001</v>
      </c>
      <c r="BY18" s="49">
        <v>1.744</v>
      </c>
      <c r="BZ18" s="48">
        <v>2.8769999999999998</v>
      </c>
      <c r="CA18" s="48">
        <v>3.3220000000000001</v>
      </c>
      <c r="CB18" s="49">
        <v>3.53</v>
      </c>
      <c r="CC18" s="49">
        <v>1.1419999999999999</v>
      </c>
      <c r="CD18" s="48">
        <v>2.323</v>
      </c>
      <c r="CE18" s="48">
        <v>1.2929999999999999</v>
      </c>
      <c r="CF18" s="48">
        <v>2.0920000000000001</v>
      </c>
      <c r="CG18" s="48">
        <v>13.718999999999999</v>
      </c>
      <c r="CH18" s="48">
        <v>10.382999999999999</v>
      </c>
      <c r="CI18" s="3"/>
      <c r="CJ18" s="3"/>
      <c r="CK18" s="3"/>
      <c r="CL18" s="48">
        <v>0.1</v>
      </c>
      <c r="CM18" s="48">
        <v>0</v>
      </c>
      <c r="CN18" s="49">
        <v>0</v>
      </c>
      <c r="CO18" s="49">
        <v>0</v>
      </c>
      <c r="CP18" s="48">
        <v>96.768000000000001</v>
      </c>
      <c r="CQ18" s="48">
        <v>99.141000000000005</v>
      </c>
      <c r="CR18" s="49">
        <v>116.035</v>
      </c>
      <c r="CS18" s="49">
        <v>121.15300000000001</v>
      </c>
      <c r="CT18" s="48">
        <v>0.312</v>
      </c>
      <c r="CU18" s="48">
        <v>0.70099999999999996</v>
      </c>
      <c r="CV18" s="48">
        <v>1.2010000000000001</v>
      </c>
      <c r="CW18" s="48">
        <v>1.198</v>
      </c>
      <c r="CX18" s="48">
        <v>1.5</v>
      </c>
      <c r="CY18" s="48">
        <v>1.002</v>
      </c>
      <c r="CZ18" s="49">
        <v>1.7989999999999999</v>
      </c>
      <c r="DA18" s="48">
        <v>0.79900000000000004</v>
      </c>
      <c r="DB18" s="48">
        <v>1.7030000000000001</v>
      </c>
      <c r="DC18" s="49">
        <v>0</v>
      </c>
      <c r="DD18" s="49">
        <v>0</v>
      </c>
      <c r="DE18" s="48">
        <v>0.18</v>
      </c>
      <c r="DF18" s="49">
        <v>0.104</v>
      </c>
      <c r="DG18" s="48">
        <v>0.216</v>
      </c>
      <c r="DH18" s="48">
        <v>1.829</v>
      </c>
      <c r="DI18" s="49">
        <v>0.81699999999999995</v>
      </c>
      <c r="DJ18" s="48">
        <v>3.1E-2</v>
      </c>
      <c r="DK18" s="48">
        <v>0.79100000000000004</v>
      </c>
      <c r="DL18" s="48">
        <v>0.40400000000000003</v>
      </c>
      <c r="DM18" s="48">
        <v>0.45800000000000002</v>
      </c>
      <c r="DN18" s="48">
        <v>-2.528</v>
      </c>
      <c r="DO18" s="48">
        <v>0.29399999999999998</v>
      </c>
      <c r="DP18" s="49">
        <v>68.653000000000006</v>
      </c>
      <c r="DQ18" s="49">
        <v>61.756999999999998</v>
      </c>
      <c r="DR18" s="48">
        <v>53.162999999999997</v>
      </c>
      <c r="DS18" s="48">
        <v>53.389000000000003</v>
      </c>
      <c r="DT18" s="48">
        <v>6.19</v>
      </c>
      <c r="DU18" s="48">
        <v>6.48</v>
      </c>
      <c r="DV18" s="48">
        <v>10.59</v>
      </c>
      <c r="DW18" s="48">
        <v>8.3000000000000007</v>
      </c>
      <c r="DX18" s="48">
        <v>6.31</v>
      </c>
      <c r="DY18" s="48">
        <v>6.69</v>
      </c>
      <c r="DZ18" s="48">
        <v>10.199999999999999</v>
      </c>
      <c r="EA18" s="48">
        <v>8.24</v>
      </c>
      <c r="EB18" s="48">
        <v>40.65</v>
      </c>
      <c r="EC18" s="48">
        <v>39.89</v>
      </c>
      <c r="ED18" s="48">
        <v>33.31</v>
      </c>
      <c r="EE18" s="48">
        <v>34.76</v>
      </c>
      <c r="EF18" s="48">
        <v>46.85</v>
      </c>
      <c r="EG18" s="48">
        <v>46.94</v>
      </c>
      <c r="EH18" s="48">
        <v>45.9</v>
      </c>
      <c r="EI18" s="48">
        <v>48.7</v>
      </c>
      <c r="EJ18" s="49">
        <v>6.8579999999999997</v>
      </c>
      <c r="EK18" s="48">
        <v>62.610999999999997</v>
      </c>
      <c r="EL18" s="48">
        <v>2.2999999999999998</v>
      </c>
      <c r="EM18" s="48">
        <v>1.85</v>
      </c>
      <c r="EN18" s="49">
        <v>1.22</v>
      </c>
      <c r="EO18" s="49">
        <v>1.24</v>
      </c>
      <c r="EP18" s="48">
        <v>-100.96599999999999</v>
      </c>
      <c r="EQ18" s="48">
        <v>-2.8220000000000001</v>
      </c>
      <c r="ER18" s="48">
        <v>110.44199999999999</v>
      </c>
      <c r="ES18" s="48">
        <v>1.4259999999999999</v>
      </c>
      <c r="ET18" s="48">
        <v>1.59</v>
      </c>
      <c r="EU18" s="48">
        <v>1.393</v>
      </c>
      <c r="EV18" s="48">
        <v>7.7350000000000003</v>
      </c>
      <c r="EW18" s="48">
        <v>2.9289999999999998</v>
      </c>
      <c r="EX18" s="48">
        <v>71.02</v>
      </c>
      <c r="EY18" s="49">
        <v>1.9E-2</v>
      </c>
      <c r="EZ18" s="48">
        <v>0</v>
      </c>
      <c r="FA18" s="49">
        <v>0</v>
      </c>
      <c r="FB18" s="49">
        <v>9.0470000000000006</v>
      </c>
      <c r="FC18" s="49">
        <v>70.337999999999994</v>
      </c>
      <c r="FD18" s="49">
        <v>64.778000000000006</v>
      </c>
      <c r="FE18" s="49">
        <v>80.358000000000004</v>
      </c>
      <c r="FF18" s="49">
        <v>79.242999999999995</v>
      </c>
      <c r="FG18" s="49">
        <v>0.98299999999999998</v>
      </c>
      <c r="FH18" s="49">
        <v>1.01</v>
      </c>
      <c r="FI18" s="48">
        <v>0.995</v>
      </c>
      <c r="FJ18" s="48">
        <v>0.997</v>
      </c>
      <c r="FK18" s="48">
        <v>0</v>
      </c>
      <c r="FL18" s="48">
        <v>83</v>
      </c>
      <c r="FM18" s="49">
        <v>3.84</v>
      </c>
      <c r="FN18" s="48">
        <v>-0.37</v>
      </c>
      <c r="FO18" s="49">
        <v>5.28</v>
      </c>
      <c r="FP18" s="48">
        <v>3.7</v>
      </c>
      <c r="FQ18" s="48">
        <v>4.55</v>
      </c>
      <c r="FR18" s="48">
        <v>4.8499999999999996</v>
      </c>
      <c r="FS18" s="48">
        <v>6.5759999999999996</v>
      </c>
      <c r="FT18" s="48">
        <v>1071.5</v>
      </c>
      <c r="FU18" s="48">
        <v>6.32</v>
      </c>
      <c r="FV18" s="49">
        <v>29.36</v>
      </c>
      <c r="FW18" s="48">
        <v>3158.5</v>
      </c>
      <c r="FX18" s="48">
        <v>165000</v>
      </c>
      <c r="FY18" s="48">
        <v>164300</v>
      </c>
      <c r="FZ18" s="48">
        <v>47.021999999999998</v>
      </c>
      <c r="GA18" s="48">
        <v>47.345999999999997</v>
      </c>
      <c r="GB18" s="48">
        <v>2169</v>
      </c>
      <c r="GC18" s="48">
        <v>2171.6</v>
      </c>
      <c r="GD18" s="48">
        <v>2179.6999999999998</v>
      </c>
      <c r="GE18" s="48">
        <v>2262.9</v>
      </c>
      <c r="GF18" s="48">
        <v>1357.8280999999999</v>
      </c>
      <c r="GG18" s="49">
        <v>29</v>
      </c>
      <c r="GH18" s="49">
        <v>29.2</v>
      </c>
      <c r="GI18" s="48">
        <v>45.5</v>
      </c>
      <c r="GJ18" s="48">
        <v>50.9</v>
      </c>
      <c r="GK18" s="48">
        <v>98.5</v>
      </c>
      <c r="GL18" s="48">
        <v>109.5</v>
      </c>
      <c r="GM18" s="49">
        <v>0</v>
      </c>
      <c r="GN18" s="48">
        <v>24.843</v>
      </c>
      <c r="GO18" s="48">
        <v>110.44199999999999</v>
      </c>
      <c r="GP18" s="49">
        <v>0</v>
      </c>
      <c r="GQ18" s="49">
        <v>5.782</v>
      </c>
      <c r="GR18" s="49">
        <v>0</v>
      </c>
      <c r="GS18" s="49">
        <v>4.8380000000000001</v>
      </c>
      <c r="GT18" s="49">
        <v>0</v>
      </c>
      <c r="GU18" s="49">
        <v>5.9589999999999996</v>
      </c>
      <c r="GV18" s="49">
        <v>0</v>
      </c>
      <c r="GW18" s="48">
        <v>12.455</v>
      </c>
      <c r="GX18" s="49">
        <v>20.972000000000001</v>
      </c>
      <c r="GY18" s="49">
        <v>0</v>
      </c>
      <c r="GZ18" s="49">
        <v>0.68400000000000005</v>
      </c>
      <c r="HA18" s="49">
        <v>24.99</v>
      </c>
      <c r="HB18" s="49">
        <v>1</v>
      </c>
      <c r="HC18" s="48">
        <v>33.935000000000002</v>
      </c>
      <c r="HD18" s="48">
        <v>86</v>
      </c>
      <c r="HE18" s="49">
        <v>0</v>
      </c>
      <c r="HF18" s="49">
        <v>0</v>
      </c>
      <c r="HG18" s="48">
        <v>73.73</v>
      </c>
      <c r="HH18" s="48">
        <v>80.81</v>
      </c>
      <c r="HI18" s="49">
        <v>0</v>
      </c>
      <c r="HJ18" s="49">
        <v>0</v>
      </c>
      <c r="HK18" s="49">
        <v>0</v>
      </c>
      <c r="HL18" s="48">
        <v>57</v>
      </c>
      <c r="HM18" s="49">
        <v>50</v>
      </c>
      <c r="HN18" s="49">
        <v>64</v>
      </c>
      <c r="HO18" s="49">
        <v>58</v>
      </c>
      <c r="HP18" s="49">
        <v>61</v>
      </c>
      <c r="HQ18" s="49">
        <v>59</v>
      </c>
      <c r="HR18" s="49">
        <v>52</v>
      </c>
      <c r="HS18" s="48">
        <v>62</v>
      </c>
      <c r="HT18" s="48">
        <v>-1.407</v>
      </c>
      <c r="HU18" s="49">
        <v>0</v>
      </c>
      <c r="HV18" s="48">
        <v>0.40200000000000002</v>
      </c>
      <c r="HW18" s="48">
        <v>38.119999999999997</v>
      </c>
      <c r="HX18" s="49">
        <v>48.18</v>
      </c>
      <c r="HY18" s="3"/>
      <c r="HZ18" s="3"/>
      <c r="IA18" s="49">
        <v>2.8069999999999999</v>
      </c>
      <c r="IB18" s="49">
        <v>103</v>
      </c>
      <c r="IC18" s="48">
        <v>21.882999999999999</v>
      </c>
      <c r="ID18" s="48">
        <v>-0.30599999999999999</v>
      </c>
      <c r="IE18" s="48">
        <v>-0.17100000000000001</v>
      </c>
      <c r="IF18" s="48">
        <v>819.2</v>
      </c>
      <c r="IG18" s="48">
        <v>734.1</v>
      </c>
      <c r="IH18" s="48">
        <v>815.4</v>
      </c>
      <c r="II18" s="48">
        <v>748.2</v>
      </c>
      <c r="IJ18" s="48">
        <v>-3.7999999999999999E-2</v>
      </c>
      <c r="IK18" s="48">
        <v>2E-3</v>
      </c>
      <c r="IL18" s="48">
        <v>95.932000000000002</v>
      </c>
      <c r="IM18" s="48">
        <v>95.932000000000002</v>
      </c>
      <c r="IN18" s="48">
        <v>14.2</v>
      </c>
      <c r="IO18" s="48">
        <v>0.22600000000000001</v>
      </c>
      <c r="IP18" s="48">
        <v>9.24</v>
      </c>
      <c r="IQ18" s="48">
        <v>0</v>
      </c>
      <c r="IR18" s="48">
        <v>0</v>
      </c>
      <c r="IS18">
        <v>0.25900000000000001</v>
      </c>
      <c r="IT18">
        <v>0.12500000000000003</v>
      </c>
    </row>
    <row r="19" spans="1:254" x14ac:dyDescent="0.25">
      <c r="IS19">
        <v>0.25900000000000001</v>
      </c>
      <c r="IT19">
        <v>0.12500000000000003</v>
      </c>
    </row>
    <row r="20" spans="1:254" x14ac:dyDescent="0.25">
      <c r="IS20">
        <v>0.25900000000000001</v>
      </c>
      <c r="IT20">
        <v>0.12500000000000003</v>
      </c>
    </row>
    <row r="21" spans="1:254" x14ac:dyDescent="0.25">
      <c r="IS21">
        <v>0.25900000000000001</v>
      </c>
      <c r="IT21">
        <v>0.12500000000000003</v>
      </c>
    </row>
    <row r="22" spans="1:254" x14ac:dyDescent="0.25">
      <c r="B22" s="2" t="s">
        <v>409</v>
      </c>
      <c r="C22" s="2" t="s">
        <v>41</v>
      </c>
      <c r="D22" s="57">
        <v>3.457638888888889E-3</v>
      </c>
      <c r="E22" s="48">
        <v>298.74400000000003</v>
      </c>
      <c r="F22" s="48">
        <v>328.48</v>
      </c>
      <c r="G22" s="48">
        <v>5.76</v>
      </c>
      <c r="H22" s="48">
        <v>25.6</v>
      </c>
      <c r="I22" s="49">
        <v>0</v>
      </c>
      <c r="J22" s="48">
        <v>71.400000000000006</v>
      </c>
      <c r="K22" s="49">
        <v>6</v>
      </c>
      <c r="L22" s="49">
        <v>6</v>
      </c>
      <c r="M22" s="49">
        <v>7</v>
      </c>
      <c r="N22" s="49">
        <v>2</v>
      </c>
      <c r="O22" s="49">
        <v>3</v>
      </c>
      <c r="P22" s="48">
        <v>0.44700000000000001</v>
      </c>
      <c r="Q22" s="48">
        <v>0.76900000000000002</v>
      </c>
      <c r="R22" s="48">
        <v>0.49</v>
      </c>
      <c r="S22" s="49">
        <v>0.35299999999999998</v>
      </c>
      <c r="T22" s="48">
        <v>55.09</v>
      </c>
      <c r="U22" s="49">
        <v>60.917000000000002</v>
      </c>
      <c r="V22" s="48">
        <v>218.34</v>
      </c>
      <c r="W22" s="48">
        <v>235</v>
      </c>
      <c r="X22" s="48">
        <v>140</v>
      </c>
      <c r="Y22" s="48">
        <v>167.5</v>
      </c>
      <c r="Z22" s="48">
        <v>343.51</v>
      </c>
      <c r="AA22" s="48">
        <v>366.32</v>
      </c>
      <c r="AB22" s="48">
        <v>219.12</v>
      </c>
      <c r="AC22" s="48">
        <v>270.56</v>
      </c>
      <c r="AD22" s="48">
        <v>1.823</v>
      </c>
      <c r="AE22" s="48">
        <v>1.8360000000000001</v>
      </c>
      <c r="AF22" s="48">
        <v>1.8049999999999999</v>
      </c>
      <c r="AG22" s="48">
        <v>1.831</v>
      </c>
      <c r="AH22" s="48">
        <v>70.37</v>
      </c>
      <c r="AI22" s="48">
        <v>62.51</v>
      </c>
      <c r="AJ22" s="48">
        <v>90.16</v>
      </c>
      <c r="AK22" s="48">
        <v>89.29</v>
      </c>
      <c r="AL22" s="48">
        <v>619.399</v>
      </c>
      <c r="AM22" s="48">
        <v>664.77800000000002</v>
      </c>
      <c r="AN22" s="48">
        <v>805.03300000000002</v>
      </c>
      <c r="AO22" s="48">
        <v>771.17899999999997</v>
      </c>
      <c r="AP22" s="49">
        <v>1.429</v>
      </c>
      <c r="AQ22" s="48">
        <v>1.8979999999999999</v>
      </c>
      <c r="AR22" s="49">
        <v>43.402999999999999</v>
      </c>
      <c r="AS22" s="49">
        <v>40.890999999999998</v>
      </c>
      <c r="AT22" s="49">
        <v>84</v>
      </c>
      <c r="AU22" s="48">
        <v>116</v>
      </c>
      <c r="AV22" s="48">
        <v>1.5805</v>
      </c>
      <c r="AW22" s="48">
        <v>4.4134000000000002</v>
      </c>
      <c r="AX22" s="49">
        <v>1020.1</v>
      </c>
      <c r="AY22" s="49">
        <v>2.89</v>
      </c>
      <c r="AZ22" s="49">
        <v>4.41</v>
      </c>
      <c r="BA22" s="49">
        <v>65.602000000000004</v>
      </c>
      <c r="BB22" s="49">
        <v>66.3</v>
      </c>
      <c r="BC22" s="48">
        <v>7769</v>
      </c>
      <c r="BD22" s="48">
        <v>89</v>
      </c>
      <c r="BE22" s="48">
        <v>15.565</v>
      </c>
      <c r="BF22" s="48">
        <v>13.205</v>
      </c>
      <c r="BG22" s="48">
        <v>28.31</v>
      </c>
      <c r="BH22" s="49">
        <v>29.84</v>
      </c>
      <c r="BI22" s="49">
        <v>65.328999999999994</v>
      </c>
      <c r="BJ22" s="48">
        <v>80.89</v>
      </c>
      <c r="BK22" s="49">
        <v>63.683999999999997</v>
      </c>
      <c r="BL22" s="48">
        <v>78.507000000000005</v>
      </c>
      <c r="BM22" s="48">
        <v>78.298000000000002</v>
      </c>
      <c r="BN22" s="49">
        <v>133.672</v>
      </c>
      <c r="BO22" s="49">
        <v>139.68799999999999</v>
      </c>
      <c r="BP22" s="48">
        <v>129.72</v>
      </c>
      <c r="BQ22" s="48">
        <v>131.864</v>
      </c>
      <c r="BR22" s="48">
        <v>57.972000000000001</v>
      </c>
      <c r="BS22" s="48">
        <v>25.3</v>
      </c>
      <c r="BT22" s="48">
        <v>7194.3829999999998</v>
      </c>
      <c r="BU22" s="49">
        <v>54.183</v>
      </c>
      <c r="BV22" s="49">
        <v>55.414999999999999</v>
      </c>
      <c r="BW22" s="49">
        <v>55.636000000000003</v>
      </c>
      <c r="BX22" s="48">
        <v>56.11</v>
      </c>
      <c r="BY22" s="48">
        <v>1.4390000000000001</v>
      </c>
      <c r="BZ22" s="48">
        <v>2.218</v>
      </c>
      <c r="CA22" s="48">
        <v>2.9670000000000001</v>
      </c>
      <c r="CB22" s="48">
        <v>2.9329999999999998</v>
      </c>
      <c r="CC22" s="48">
        <v>1.048</v>
      </c>
      <c r="CD22" s="48">
        <v>2.4630000000000001</v>
      </c>
      <c r="CE22" s="49">
        <v>1.381</v>
      </c>
      <c r="CF22" s="49">
        <v>2.2040000000000002</v>
      </c>
      <c r="CG22" s="48">
        <v>13.555</v>
      </c>
      <c r="CH22" s="49">
        <v>9.91</v>
      </c>
      <c r="CI22" s="49">
        <v>4.8250000000000002</v>
      </c>
      <c r="CJ22" s="49">
        <v>4.01</v>
      </c>
      <c r="CK22" s="48">
        <v>1.0489999999999999</v>
      </c>
      <c r="CL22" s="48">
        <v>0.1</v>
      </c>
      <c r="CM22" s="48">
        <v>0.4</v>
      </c>
      <c r="CN22" s="49">
        <v>0</v>
      </c>
      <c r="CO22" s="49">
        <v>0</v>
      </c>
      <c r="CP22" s="49">
        <v>109.23399999999999</v>
      </c>
      <c r="CQ22" s="49">
        <v>112.61799999999999</v>
      </c>
      <c r="CR22" s="48">
        <v>110.258</v>
      </c>
      <c r="CS22" s="48">
        <v>113.425</v>
      </c>
      <c r="CT22" s="48">
        <v>0.27500000000000002</v>
      </c>
      <c r="CU22" s="49">
        <v>1.5</v>
      </c>
      <c r="CV22" s="49">
        <v>2.0939999999999999</v>
      </c>
      <c r="CW22" s="48">
        <v>1.8009999999999999</v>
      </c>
      <c r="CX22" s="49">
        <v>2.194</v>
      </c>
      <c r="CY22" s="48">
        <v>0.89800000000000002</v>
      </c>
      <c r="CZ22" s="48">
        <v>1.6</v>
      </c>
      <c r="DA22" s="48">
        <v>0.89900000000000002</v>
      </c>
      <c r="DB22" s="48">
        <v>1.8</v>
      </c>
      <c r="DC22" s="49">
        <v>0</v>
      </c>
      <c r="DD22" s="49">
        <v>0</v>
      </c>
      <c r="DE22" s="48">
        <v>0.16700000000000001</v>
      </c>
      <c r="DF22" s="49">
        <v>0.105</v>
      </c>
      <c r="DG22" s="48">
        <v>0.28199999999999997</v>
      </c>
      <c r="DH22" s="48">
        <v>1.55</v>
      </c>
      <c r="DI22" s="49">
        <v>0.94</v>
      </c>
      <c r="DJ22" s="48">
        <v>9.5000000000000001E-2</v>
      </c>
      <c r="DK22" s="48">
        <v>0.77300000000000002</v>
      </c>
      <c r="DL22" s="49">
        <v>0.41099999999999998</v>
      </c>
      <c r="DM22" s="48">
        <v>0.50600000000000001</v>
      </c>
      <c r="DN22" s="48">
        <v>2.5000000000000001E-2</v>
      </c>
      <c r="DO22" s="49">
        <v>0.42899999999999999</v>
      </c>
      <c r="DP22" s="48">
        <v>63.33</v>
      </c>
      <c r="DQ22" s="48">
        <v>59.701999999999998</v>
      </c>
      <c r="DR22" s="49">
        <v>55.33</v>
      </c>
      <c r="DS22" s="48">
        <v>52.33</v>
      </c>
      <c r="DT22" s="48">
        <v>3.69</v>
      </c>
      <c r="DU22" s="48">
        <v>4.53</v>
      </c>
      <c r="DV22" s="48">
        <v>7.28</v>
      </c>
      <c r="DW22" s="48">
        <v>5.54</v>
      </c>
      <c r="DX22" s="48">
        <v>3.99</v>
      </c>
      <c r="DY22" s="48">
        <v>4.54</v>
      </c>
      <c r="DZ22" s="48">
        <v>6.7</v>
      </c>
      <c r="EA22" s="48">
        <v>5.21</v>
      </c>
      <c r="EB22" s="48">
        <v>35.17</v>
      </c>
      <c r="EC22" s="48">
        <v>34.65</v>
      </c>
      <c r="ED22" s="48">
        <v>29.74</v>
      </c>
      <c r="EE22" s="48">
        <v>33.25</v>
      </c>
      <c r="EF22" s="49">
        <v>57.14</v>
      </c>
      <c r="EG22" s="48">
        <v>56.28</v>
      </c>
      <c r="EH22" s="48">
        <v>56.27</v>
      </c>
      <c r="EI22" s="48">
        <v>55.99</v>
      </c>
      <c r="EJ22" s="48">
        <v>6.556</v>
      </c>
      <c r="EK22" s="48">
        <v>61.942999999999998</v>
      </c>
      <c r="EL22" s="49">
        <v>2.7</v>
      </c>
      <c r="EM22" s="48">
        <v>1.85</v>
      </c>
      <c r="EN22" s="48">
        <v>1.19</v>
      </c>
      <c r="EO22" s="48">
        <v>1.2</v>
      </c>
      <c r="EP22" s="48">
        <v>-101.842</v>
      </c>
      <c r="EQ22" s="48">
        <v>-1.84</v>
      </c>
      <c r="ER22" s="49">
        <v>99.054000000000002</v>
      </c>
      <c r="ES22" s="48">
        <v>1.244</v>
      </c>
      <c r="ET22" s="48">
        <v>1.304</v>
      </c>
      <c r="EU22" s="48">
        <v>1.2130000000000001</v>
      </c>
      <c r="EV22" s="48">
        <v>7.5670000000000002</v>
      </c>
      <c r="EW22" s="48">
        <v>2.661</v>
      </c>
      <c r="EX22" s="48">
        <v>-287.76</v>
      </c>
      <c r="EY22" s="48">
        <v>0</v>
      </c>
      <c r="EZ22" s="48">
        <v>0</v>
      </c>
      <c r="FA22" s="49">
        <v>0</v>
      </c>
      <c r="FB22" s="48">
        <v>7.9720000000000004</v>
      </c>
      <c r="FC22" s="48">
        <v>68.778000000000006</v>
      </c>
      <c r="FD22" s="48">
        <v>64.200999999999993</v>
      </c>
      <c r="FE22" s="49">
        <v>76.14</v>
      </c>
      <c r="FF22" s="49">
        <v>75.125</v>
      </c>
      <c r="FG22" s="48">
        <v>0.96299999999999997</v>
      </c>
      <c r="FH22" s="48">
        <v>0.96799999999999997</v>
      </c>
      <c r="FI22" s="48">
        <v>0.998</v>
      </c>
      <c r="FJ22" s="48">
        <v>1.0009999999999999</v>
      </c>
      <c r="FK22" s="49">
        <v>0.10100000000000001</v>
      </c>
      <c r="FL22" s="49">
        <v>86</v>
      </c>
      <c r="FM22" s="49">
        <v>3.72</v>
      </c>
      <c r="FN22" s="48">
        <v>-0.41</v>
      </c>
      <c r="FO22" s="49">
        <v>4.4400000000000004</v>
      </c>
      <c r="FP22" s="49">
        <v>0.55000000000000004</v>
      </c>
      <c r="FQ22" s="49">
        <v>4.3499999999999996</v>
      </c>
      <c r="FR22" s="48">
        <v>5</v>
      </c>
      <c r="FS22" s="49">
        <v>6.5220000000000002</v>
      </c>
      <c r="FT22" s="48">
        <v>1075.5</v>
      </c>
      <c r="FU22" s="49">
        <v>6.41</v>
      </c>
      <c r="FV22" s="48">
        <v>5.76</v>
      </c>
      <c r="FW22" s="49">
        <v>3046</v>
      </c>
      <c r="FX22" s="49">
        <v>163000</v>
      </c>
      <c r="FY22" s="49">
        <v>163900</v>
      </c>
      <c r="FZ22" s="49">
        <v>47.970999999999997</v>
      </c>
      <c r="GA22" s="48">
        <v>48.171999999999997</v>
      </c>
      <c r="GB22" s="48">
        <v>2162.4</v>
      </c>
      <c r="GC22" s="48">
        <v>2164</v>
      </c>
      <c r="GD22" s="48">
        <v>2263.8000000000002</v>
      </c>
      <c r="GE22" s="48">
        <v>2262.1999999999998</v>
      </c>
      <c r="GF22" s="48">
        <v>1409.2655999999999</v>
      </c>
      <c r="GG22" s="49">
        <v>30</v>
      </c>
      <c r="GH22" s="48">
        <v>29.7</v>
      </c>
      <c r="GI22" s="49">
        <v>50.5</v>
      </c>
      <c r="GJ22" s="48">
        <v>55.8</v>
      </c>
      <c r="GK22" s="49">
        <v>97</v>
      </c>
      <c r="GL22" s="48">
        <v>111.1</v>
      </c>
      <c r="GM22" s="49">
        <v>0</v>
      </c>
      <c r="GN22" s="48">
        <v>23.843</v>
      </c>
      <c r="GO22" s="48">
        <v>101.842</v>
      </c>
      <c r="GP22" s="49">
        <v>0</v>
      </c>
      <c r="GQ22" s="48">
        <v>3.8940000000000001</v>
      </c>
      <c r="GR22" s="49">
        <v>0</v>
      </c>
      <c r="GS22" s="48">
        <v>4.0119999999999996</v>
      </c>
      <c r="GT22" s="49">
        <v>0</v>
      </c>
      <c r="GU22" s="48">
        <v>4.1890000000000001</v>
      </c>
      <c r="GV22" s="49">
        <v>0</v>
      </c>
      <c r="GW22" s="49">
        <v>0.02</v>
      </c>
      <c r="GX22" s="49">
        <v>19.795999999999999</v>
      </c>
      <c r="GY22" s="49">
        <v>0</v>
      </c>
      <c r="GZ22" s="48">
        <v>10.821999999999999</v>
      </c>
      <c r="HA22" s="48">
        <v>20.58</v>
      </c>
      <c r="HB22" s="49">
        <v>1</v>
      </c>
      <c r="HC22" s="48">
        <v>33.64</v>
      </c>
      <c r="HD22" s="49">
        <v>90</v>
      </c>
      <c r="HE22" s="49">
        <v>0</v>
      </c>
      <c r="HF22" s="49">
        <v>0</v>
      </c>
      <c r="HG22" s="49">
        <v>78.459999999999994</v>
      </c>
      <c r="HH22" s="49">
        <v>100</v>
      </c>
      <c r="HI22" s="49">
        <v>0</v>
      </c>
      <c r="HJ22" s="49">
        <v>0</v>
      </c>
      <c r="HK22" s="49">
        <v>0</v>
      </c>
      <c r="HL22" s="49">
        <v>63</v>
      </c>
      <c r="HM22" s="49">
        <v>51</v>
      </c>
      <c r="HN22" s="48">
        <v>64</v>
      </c>
      <c r="HO22" s="48">
        <v>57</v>
      </c>
      <c r="HP22" s="48">
        <v>61</v>
      </c>
      <c r="HQ22" s="49">
        <v>59</v>
      </c>
      <c r="HR22" s="48">
        <v>53</v>
      </c>
      <c r="HS22" s="49">
        <v>70</v>
      </c>
      <c r="HT22" s="48">
        <v>-1.4139999999999999</v>
      </c>
      <c r="HU22" s="49">
        <v>0</v>
      </c>
      <c r="HV22" s="48">
        <v>0.24199999999999999</v>
      </c>
      <c r="HW22" s="48">
        <v>42.11</v>
      </c>
      <c r="HX22" s="48">
        <v>45.08</v>
      </c>
      <c r="HY22" s="3"/>
      <c r="HZ22" s="3"/>
      <c r="IA22" s="48">
        <v>2.6850000000000001</v>
      </c>
      <c r="IB22" s="48">
        <v>100</v>
      </c>
      <c r="IC22" s="48">
        <v>19.13</v>
      </c>
      <c r="ID22" s="48">
        <v>-0.154</v>
      </c>
      <c r="IE22" s="48">
        <v>-8.1000000000000003E-2</v>
      </c>
      <c r="IF22" s="48">
        <v>805.9</v>
      </c>
      <c r="IG22" s="48">
        <v>670.6</v>
      </c>
      <c r="IH22" s="48">
        <v>807.1</v>
      </c>
      <c r="II22" s="48">
        <v>685.2</v>
      </c>
      <c r="IJ22" s="48">
        <v>-1E-3</v>
      </c>
      <c r="IK22" s="48">
        <v>7.0000000000000001E-3</v>
      </c>
      <c r="IL22" s="48">
        <v>154.096</v>
      </c>
      <c r="IM22" s="48">
        <v>154.096</v>
      </c>
      <c r="IN22" s="48">
        <v>14.9</v>
      </c>
      <c r="IO22" s="48">
        <v>0.159</v>
      </c>
      <c r="IP22" s="49">
        <v>9.31</v>
      </c>
      <c r="IQ22" s="48">
        <v>8.9999999999999993E-3</v>
      </c>
      <c r="IR22" s="48">
        <v>4.0000000000000001E-3</v>
      </c>
      <c r="IS22">
        <v>0.25900000000000001</v>
      </c>
      <c r="IT22">
        <v>0.12500000000000003</v>
      </c>
    </row>
    <row r="23" spans="1:254" x14ac:dyDescent="0.25">
      <c r="B23" s="2" t="s">
        <v>409</v>
      </c>
      <c r="C23" s="2" t="s">
        <v>42</v>
      </c>
      <c r="D23" s="57">
        <v>3.1888888888888891E-3</v>
      </c>
      <c r="E23" s="48">
        <v>275.56</v>
      </c>
      <c r="F23" s="49">
        <v>331.93</v>
      </c>
      <c r="G23" s="48">
        <v>5.59</v>
      </c>
      <c r="H23" s="49">
        <v>25.8</v>
      </c>
      <c r="I23" s="49">
        <v>0</v>
      </c>
      <c r="J23" s="48">
        <v>10.4</v>
      </c>
      <c r="K23" s="49">
        <v>6</v>
      </c>
      <c r="L23" s="49">
        <v>6</v>
      </c>
      <c r="M23" s="49">
        <v>7</v>
      </c>
      <c r="N23" s="49">
        <v>2</v>
      </c>
      <c r="O23" s="49">
        <v>3</v>
      </c>
      <c r="P23" s="49">
        <v>0.66</v>
      </c>
      <c r="Q23" s="48">
        <v>0.90500000000000003</v>
      </c>
      <c r="R23" s="49">
        <v>0.71599999999999997</v>
      </c>
      <c r="S23" s="3"/>
      <c r="T23" s="48">
        <v>62.41</v>
      </c>
      <c r="U23" s="48">
        <v>60.054000000000002</v>
      </c>
      <c r="V23" s="48">
        <v>203.34</v>
      </c>
      <c r="W23" s="48">
        <v>231.66</v>
      </c>
      <c r="X23" s="48">
        <v>185</v>
      </c>
      <c r="Y23" s="48">
        <v>220</v>
      </c>
      <c r="Z23" s="48">
        <v>382.33</v>
      </c>
      <c r="AA23" s="49">
        <v>409.23</v>
      </c>
      <c r="AB23" s="49">
        <v>297.18</v>
      </c>
      <c r="AC23" s="49">
        <v>358.71</v>
      </c>
      <c r="AD23" s="49">
        <v>1.8380000000000001</v>
      </c>
      <c r="AE23" s="49">
        <v>1.843</v>
      </c>
      <c r="AF23" s="49">
        <v>1.843</v>
      </c>
      <c r="AG23" s="49">
        <v>1.8580000000000001</v>
      </c>
      <c r="AH23" s="49">
        <v>75.8</v>
      </c>
      <c r="AI23" s="49">
        <v>67.16</v>
      </c>
      <c r="AJ23" s="49">
        <v>96.45</v>
      </c>
      <c r="AK23" s="49">
        <v>93.85</v>
      </c>
      <c r="AL23" s="49">
        <v>758.51599999999996</v>
      </c>
      <c r="AM23" s="49">
        <v>705.95600000000002</v>
      </c>
      <c r="AN23" s="48">
        <v>928.68299999999999</v>
      </c>
      <c r="AO23" s="49">
        <v>816.32500000000005</v>
      </c>
      <c r="AP23" s="48">
        <v>1.3939999999999999</v>
      </c>
      <c r="AQ23" s="49">
        <v>1.905</v>
      </c>
      <c r="AR23" s="48">
        <v>42.44</v>
      </c>
      <c r="AS23" s="48">
        <v>38.563000000000002</v>
      </c>
      <c r="AT23" s="48">
        <v>83</v>
      </c>
      <c r="AU23" s="49">
        <v>118</v>
      </c>
      <c r="AV23" s="48">
        <v>2.2519999999999998</v>
      </c>
      <c r="AW23" s="48">
        <v>4.4794</v>
      </c>
      <c r="AX23" s="48">
        <v>1018.3</v>
      </c>
      <c r="AY23" s="48">
        <v>2.48</v>
      </c>
      <c r="AZ23" s="48">
        <v>4.8899999999999997</v>
      </c>
      <c r="BA23" s="48">
        <v>70.903000000000006</v>
      </c>
      <c r="BB23" s="48">
        <v>72.739000000000004</v>
      </c>
      <c r="BC23" s="48">
        <v>7787</v>
      </c>
      <c r="BD23" s="48">
        <v>88.75</v>
      </c>
      <c r="BE23" s="49">
        <v>17</v>
      </c>
      <c r="BF23" s="49">
        <v>15.654999999999999</v>
      </c>
      <c r="BG23" s="49">
        <v>31.25</v>
      </c>
      <c r="BH23" s="48">
        <v>29.46</v>
      </c>
      <c r="BI23" s="3"/>
      <c r="BJ23" s="3"/>
      <c r="BK23" s="3"/>
      <c r="BL23" s="3"/>
      <c r="BM23" s="3"/>
      <c r="BN23" s="48">
        <v>128.072</v>
      </c>
      <c r="BO23" s="48">
        <v>130.26400000000001</v>
      </c>
      <c r="BP23" s="49">
        <v>148.52000000000001</v>
      </c>
      <c r="BQ23" s="48">
        <v>147.624</v>
      </c>
      <c r="BR23" s="3"/>
      <c r="BS23" s="49">
        <v>25.4</v>
      </c>
      <c r="BT23" s="48">
        <v>7138.2610000000004</v>
      </c>
      <c r="BU23" s="48">
        <v>46.683999999999997</v>
      </c>
      <c r="BV23" s="48">
        <v>54.206000000000003</v>
      </c>
      <c r="BW23" s="48">
        <v>54.902000000000001</v>
      </c>
      <c r="BX23" s="48">
        <v>56.42</v>
      </c>
      <c r="BY23" s="48">
        <v>1.363</v>
      </c>
      <c r="BZ23" s="49">
        <v>3.0859999999999999</v>
      </c>
      <c r="CA23" s="48">
        <v>3.008</v>
      </c>
      <c r="CB23" s="49">
        <v>4.0579999999999998</v>
      </c>
      <c r="CC23" s="49">
        <v>1.1859999999999999</v>
      </c>
      <c r="CD23" s="48">
        <v>2.5</v>
      </c>
      <c r="CE23" s="48">
        <v>1.3089999999999999</v>
      </c>
      <c r="CF23" s="48">
        <v>2.15</v>
      </c>
      <c r="CG23" s="49">
        <v>13.76</v>
      </c>
      <c r="CH23" s="48">
        <v>13.574999999999999</v>
      </c>
      <c r="CI23" s="48">
        <v>4.4850000000000003</v>
      </c>
      <c r="CJ23" s="48">
        <v>3.2109999999999999</v>
      </c>
      <c r="CK23" s="48">
        <v>1.37</v>
      </c>
      <c r="CL23" s="48">
        <v>0.2</v>
      </c>
      <c r="CM23" s="48">
        <v>0.1</v>
      </c>
      <c r="CN23" s="49">
        <v>0</v>
      </c>
      <c r="CO23" s="49">
        <v>0</v>
      </c>
      <c r="CP23" s="48">
        <v>109.16</v>
      </c>
      <c r="CQ23" s="48">
        <v>110.755</v>
      </c>
      <c r="CR23" s="49">
        <v>124.80800000000001</v>
      </c>
      <c r="CS23" s="48">
        <v>126.488</v>
      </c>
      <c r="CT23" s="48">
        <v>0.40300000000000002</v>
      </c>
      <c r="CU23" s="48">
        <v>0.79800000000000004</v>
      </c>
      <c r="CV23" s="48">
        <v>1.198</v>
      </c>
      <c r="CW23" s="48">
        <v>1.796</v>
      </c>
      <c r="CX23" s="48">
        <v>2.0009999999999999</v>
      </c>
      <c r="CY23" s="49">
        <v>0.998</v>
      </c>
      <c r="CZ23" s="48">
        <v>1.595</v>
      </c>
      <c r="DA23" s="48">
        <v>1</v>
      </c>
      <c r="DB23" s="48">
        <v>1.5029999999999999</v>
      </c>
      <c r="DC23" s="49">
        <v>0</v>
      </c>
      <c r="DD23" s="49">
        <v>0</v>
      </c>
      <c r="DE23" s="48">
        <v>0.17699999999999999</v>
      </c>
      <c r="DF23" s="48">
        <v>0.08</v>
      </c>
      <c r="DG23" s="48">
        <v>0.28999999999999998</v>
      </c>
      <c r="DH23" s="48">
        <v>1.7629999999999999</v>
      </c>
      <c r="DI23" s="48">
        <v>0.93899999999999995</v>
      </c>
      <c r="DJ23" s="48">
        <v>9.1999999999999998E-2</v>
      </c>
      <c r="DK23" s="49">
        <v>1.032</v>
      </c>
      <c r="DL23" s="48">
        <v>0.39500000000000002</v>
      </c>
      <c r="DM23" s="48">
        <v>0.38500000000000001</v>
      </c>
      <c r="DN23" s="48">
        <v>0.109</v>
      </c>
      <c r="DO23" s="48">
        <v>-0.30599999999999999</v>
      </c>
      <c r="DP23" s="49">
        <v>65.257000000000005</v>
      </c>
      <c r="DQ23" s="49">
        <v>62.396999999999998</v>
      </c>
      <c r="DR23" s="48">
        <v>55.161999999999999</v>
      </c>
      <c r="DS23" s="49">
        <v>52.654000000000003</v>
      </c>
      <c r="DT23" s="48">
        <v>4.6399999999999997</v>
      </c>
      <c r="DU23" s="48">
        <v>4.3099999999999996</v>
      </c>
      <c r="DV23" s="48">
        <v>7.72</v>
      </c>
      <c r="DW23" s="48">
        <v>5.63</v>
      </c>
      <c r="DX23" s="48">
        <v>4.57</v>
      </c>
      <c r="DY23" s="48">
        <v>4.62</v>
      </c>
      <c r="DZ23" s="48">
        <v>7.27</v>
      </c>
      <c r="EA23" s="48">
        <v>5.6</v>
      </c>
      <c r="EB23" s="48">
        <v>42.2</v>
      </c>
      <c r="EC23" s="48">
        <v>42.5</v>
      </c>
      <c r="ED23" s="48">
        <v>35.380000000000003</v>
      </c>
      <c r="EE23" s="48">
        <v>38.06</v>
      </c>
      <c r="EF23" s="48">
        <v>48.58</v>
      </c>
      <c r="EG23" s="48">
        <v>48.57</v>
      </c>
      <c r="EH23" s="48">
        <v>49.62</v>
      </c>
      <c r="EI23" s="48">
        <v>50.71</v>
      </c>
      <c r="EJ23" s="48">
        <v>7.165</v>
      </c>
      <c r="EK23" s="48">
        <v>62.25</v>
      </c>
      <c r="EL23" s="48">
        <v>2.25</v>
      </c>
      <c r="EM23" s="48">
        <v>1.8</v>
      </c>
      <c r="EN23" s="48">
        <v>1.44</v>
      </c>
      <c r="EO23" s="48">
        <v>1.43</v>
      </c>
      <c r="EP23" s="49">
        <v>-133.96199999999999</v>
      </c>
      <c r="EQ23" s="48">
        <v>-2.3439999999999999</v>
      </c>
      <c r="ER23" s="48">
        <v>88.834000000000003</v>
      </c>
      <c r="ES23" s="49">
        <v>1.5409999999999999</v>
      </c>
      <c r="ET23" s="48">
        <v>1.6279999999999999</v>
      </c>
      <c r="EU23" s="49">
        <v>1.5109999999999999</v>
      </c>
      <c r="EV23" s="48">
        <v>7.468</v>
      </c>
      <c r="EW23" s="48">
        <v>2.8439999999999999</v>
      </c>
      <c r="EX23" s="48">
        <v>66.959999999999994</v>
      </c>
      <c r="EY23" s="48">
        <v>0</v>
      </c>
      <c r="EZ23" s="48">
        <v>1.0999999999999999E-2</v>
      </c>
      <c r="FA23" s="49">
        <v>0</v>
      </c>
      <c r="FB23" s="48">
        <v>9.1010000000000009</v>
      </c>
      <c r="FC23" s="49">
        <v>69.546000000000006</v>
      </c>
      <c r="FD23" s="49">
        <v>64.260000000000005</v>
      </c>
      <c r="FE23" s="48">
        <v>76.045000000000002</v>
      </c>
      <c r="FF23" s="48">
        <v>74.302000000000007</v>
      </c>
      <c r="FG23" s="48">
        <v>0.91700000000000004</v>
      </c>
      <c r="FH23" s="48">
        <v>0.91900000000000004</v>
      </c>
      <c r="FI23" s="48">
        <v>0.99299999999999999</v>
      </c>
      <c r="FJ23" s="48">
        <v>0.998</v>
      </c>
      <c r="FK23" s="48">
        <v>0</v>
      </c>
      <c r="FL23" s="48">
        <v>83</v>
      </c>
      <c r="FM23" s="48">
        <v>3.7</v>
      </c>
      <c r="FN23" s="48">
        <v>0.05</v>
      </c>
      <c r="FO23" s="48">
        <v>4.99</v>
      </c>
      <c r="FP23" s="48">
        <v>4.3499999999999996</v>
      </c>
      <c r="FQ23" s="48">
        <v>4.5</v>
      </c>
      <c r="FR23" s="49">
        <v>4.9000000000000004</v>
      </c>
      <c r="FS23" s="48">
        <v>6.4335000000000004</v>
      </c>
      <c r="FT23" s="49">
        <v>1076.3</v>
      </c>
      <c r="FU23" s="48">
        <v>6.21</v>
      </c>
      <c r="FV23" s="48">
        <v>11.35</v>
      </c>
      <c r="FW23" s="48">
        <v>2888.5</v>
      </c>
      <c r="FX23" s="48">
        <v>159400</v>
      </c>
      <c r="FY23" s="48">
        <v>161300</v>
      </c>
      <c r="FZ23" s="48">
        <v>47.689</v>
      </c>
      <c r="GA23" s="48">
        <v>48.408999999999999</v>
      </c>
      <c r="GB23" s="48">
        <v>2145.6</v>
      </c>
      <c r="GC23" s="48">
        <v>2146.1</v>
      </c>
      <c r="GD23" s="48">
        <v>2162.6</v>
      </c>
      <c r="GE23" s="49">
        <v>2305.4</v>
      </c>
      <c r="GF23" s="48">
        <v>1527.5155999999999</v>
      </c>
      <c r="GG23" s="48">
        <v>29</v>
      </c>
      <c r="GH23" s="48">
        <v>28.6</v>
      </c>
      <c r="GI23" s="48">
        <v>46.7</v>
      </c>
      <c r="GJ23" s="48">
        <v>52.4</v>
      </c>
      <c r="GK23" s="48">
        <v>99.5</v>
      </c>
      <c r="GL23" s="49">
        <v>114.4</v>
      </c>
      <c r="GM23" s="49">
        <v>0</v>
      </c>
      <c r="GN23" s="48">
        <v>24.821000000000002</v>
      </c>
      <c r="GO23" s="49">
        <v>133.96199999999999</v>
      </c>
      <c r="GP23" s="48">
        <v>0.94399999999999995</v>
      </c>
      <c r="GQ23" s="48">
        <v>1.8879999999999999</v>
      </c>
      <c r="GR23" s="48">
        <v>1.298</v>
      </c>
      <c r="GS23" s="48">
        <v>2.0059999999999998</v>
      </c>
      <c r="GT23" s="48">
        <v>1.0029999999999999</v>
      </c>
      <c r="GU23" s="48">
        <v>1.829</v>
      </c>
      <c r="GV23" s="49">
        <v>0</v>
      </c>
      <c r="GW23" s="48">
        <v>0</v>
      </c>
      <c r="GX23" s="48">
        <v>0</v>
      </c>
      <c r="GY23" s="48">
        <v>12.25</v>
      </c>
      <c r="GZ23" s="49">
        <v>13.794</v>
      </c>
      <c r="HA23" s="48">
        <v>15.19</v>
      </c>
      <c r="HB23" s="48">
        <v>0</v>
      </c>
      <c r="HC23" s="48">
        <v>36.237000000000002</v>
      </c>
      <c r="HD23" s="49">
        <v>90</v>
      </c>
      <c r="HE23" s="49">
        <v>0</v>
      </c>
      <c r="HF23" s="49">
        <v>0</v>
      </c>
      <c r="HG23" s="48">
        <v>70.53</v>
      </c>
      <c r="HH23" s="48">
        <v>80.099999999999994</v>
      </c>
      <c r="HI23" s="49">
        <v>0</v>
      </c>
      <c r="HJ23" s="49">
        <v>0</v>
      </c>
      <c r="HK23" s="49">
        <v>0</v>
      </c>
      <c r="HL23" s="48">
        <v>60</v>
      </c>
      <c r="HM23" s="49">
        <v>51</v>
      </c>
      <c r="HN23" s="48">
        <v>64</v>
      </c>
      <c r="HO23" s="49">
        <v>58</v>
      </c>
      <c r="HP23" s="49">
        <v>62</v>
      </c>
      <c r="HQ23" s="49">
        <v>59</v>
      </c>
      <c r="HR23" s="48">
        <v>53</v>
      </c>
      <c r="HS23" s="49">
        <v>70</v>
      </c>
      <c r="HT23" s="48">
        <v>-1.4515</v>
      </c>
      <c r="HU23" s="49">
        <v>0</v>
      </c>
      <c r="HV23" s="49">
        <v>0.442</v>
      </c>
      <c r="HW23" s="48">
        <v>41.09</v>
      </c>
      <c r="HX23" s="48">
        <v>45.08</v>
      </c>
      <c r="HY23" s="3"/>
      <c r="HZ23" s="3"/>
      <c r="IA23" s="48">
        <v>2.7229999999999999</v>
      </c>
      <c r="IB23" s="48">
        <v>101</v>
      </c>
      <c r="IC23" s="48">
        <v>20.940999999999999</v>
      </c>
      <c r="ID23" s="48">
        <v>-0.22600000000000001</v>
      </c>
      <c r="IE23" s="48">
        <v>-0.124</v>
      </c>
      <c r="IF23" s="48">
        <v>806.3</v>
      </c>
      <c r="IG23" s="48">
        <v>694.2</v>
      </c>
      <c r="IH23" s="48">
        <v>815.3</v>
      </c>
      <c r="II23" s="48">
        <v>709.4</v>
      </c>
      <c r="IJ23" s="48">
        <v>-8.0000000000000002E-3</v>
      </c>
      <c r="IK23" s="49">
        <v>5.1999999999999998E-2</v>
      </c>
      <c r="IL23" s="48">
        <v>153.63</v>
      </c>
      <c r="IM23" s="48">
        <v>153.63</v>
      </c>
      <c r="IN23" s="48">
        <v>15.512</v>
      </c>
      <c r="IO23" s="48">
        <v>0.28899999999999998</v>
      </c>
      <c r="IP23" s="48">
        <v>9.14</v>
      </c>
      <c r="IQ23" s="48">
        <v>6.0000000000000001E-3</v>
      </c>
      <c r="IR23" s="48">
        <v>6.0000000000000001E-3</v>
      </c>
      <c r="IS23">
        <v>0.26500000000000001</v>
      </c>
      <c r="IT23">
        <v>0.13100000000000003</v>
      </c>
    </row>
    <row r="24" spans="1:254" x14ac:dyDescent="0.25">
      <c r="B24" s="2" t="s">
        <v>409</v>
      </c>
      <c r="C24" s="2" t="s">
        <v>43</v>
      </c>
      <c r="D24" s="57">
        <v>2.83125E-3</v>
      </c>
      <c r="E24" s="48">
        <v>244.68</v>
      </c>
      <c r="F24" s="48">
        <v>329.08</v>
      </c>
      <c r="G24" s="48">
        <v>5.74</v>
      </c>
      <c r="H24" s="48">
        <v>25.5</v>
      </c>
      <c r="I24" s="49">
        <v>0</v>
      </c>
      <c r="J24" s="48">
        <v>15</v>
      </c>
      <c r="K24" s="49">
        <v>6</v>
      </c>
      <c r="L24" s="49">
        <v>6</v>
      </c>
      <c r="M24" s="49">
        <v>7</v>
      </c>
      <c r="N24" s="49">
        <v>2</v>
      </c>
      <c r="O24" s="49">
        <v>3</v>
      </c>
      <c r="P24" s="48">
        <v>0.58799999999999997</v>
      </c>
      <c r="Q24" s="48">
        <v>1.1240000000000001</v>
      </c>
      <c r="R24" s="48">
        <v>0.48799999999999999</v>
      </c>
      <c r="S24" s="48">
        <v>0.29799999999999999</v>
      </c>
      <c r="T24" s="48">
        <v>73.3</v>
      </c>
      <c r="U24" s="48">
        <v>60.319000000000003</v>
      </c>
      <c r="V24" s="48">
        <v>225</v>
      </c>
      <c r="W24" s="48">
        <v>248.34</v>
      </c>
      <c r="X24" s="48">
        <v>162.5</v>
      </c>
      <c r="Y24" s="48">
        <v>210</v>
      </c>
      <c r="Z24" s="48">
        <v>364.18</v>
      </c>
      <c r="AA24" s="48">
        <v>389.95</v>
      </c>
      <c r="AB24" s="48">
        <v>274.14</v>
      </c>
      <c r="AC24" s="48">
        <v>351.72</v>
      </c>
      <c r="AD24" s="48">
        <v>1.796</v>
      </c>
      <c r="AE24" s="48">
        <v>1.8029999999999999</v>
      </c>
      <c r="AF24" s="48">
        <v>1.8069999999999999</v>
      </c>
      <c r="AG24" s="48">
        <v>1.821</v>
      </c>
      <c r="AH24" s="48">
        <v>68.77</v>
      </c>
      <c r="AI24" s="48">
        <v>60.6</v>
      </c>
      <c r="AJ24" s="48">
        <v>89.33</v>
      </c>
      <c r="AK24" s="48">
        <v>86.66</v>
      </c>
      <c r="AL24" s="48">
        <v>642.25</v>
      </c>
      <c r="AM24" s="48">
        <v>644.29600000000005</v>
      </c>
      <c r="AN24" s="48">
        <v>810.471</v>
      </c>
      <c r="AO24" s="48">
        <v>762.37699999999995</v>
      </c>
      <c r="AP24" s="48">
        <v>1.413</v>
      </c>
      <c r="AQ24" s="48">
        <v>1.8740000000000001</v>
      </c>
      <c r="AR24" s="48">
        <v>40.372</v>
      </c>
      <c r="AS24" s="48">
        <v>37.076000000000001</v>
      </c>
      <c r="AT24" s="48">
        <v>82</v>
      </c>
      <c r="AU24" s="48">
        <v>115</v>
      </c>
      <c r="AV24" s="48">
        <v>1.8485</v>
      </c>
      <c r="AW24" s="48">
        <v>4.5849000000000002</v>
      </c>
      <c r="AX24" s="48">
        <v>1014.2</v>
      </c>
      <c r="AY24" s="48">
        <v>2.41</v>
      </c>
      <c r="AZ24" s="48">
        <v>4.8600000000000003</v>
      </c>
      <c r="BA24" s="48">
        <v>73.822000000000003</v>
      </c>
      <c r="BB24" s="48">
        <v>73.900000000000006</v>
      </c>
      <c r="BC24" s="48">
        <v>7670</v>
      </c>
      <c r="BD24" s="49">
        <v>89.25</v>
      </c>
      <c r="BE24" s="48">
        <v>15.715</v>
      </c>
      <c r="BF24" s="48">
        <v>14.22</v>
      </c>
      <c r="BG24" s="48">
        <v>28.9</v>
      </c>
      <c r="BH24" s="48">
        <v>26.04</v>
      </c>
      <c r="BI24" s="3"/>
      <c r="BJ24" s="3"/>
      <c r="BK24" s="3"/>
      <c r="BL24" s="3"/>
      <c r="BM24" s="3"/>
      <c r="BN24" s="48">
        <v>115.048</v>
      </c>
      <c r="BO24" s="48">
        <v>117.64</v>
      </c>
      <c r="BP24" s="48">
        <v>137.36799999999999</v>
      </c>
      <c r="BQ24" s="48">
        <v>140.96799999999999</v>
      </c>
      <c r="BR24" s="3"/>
      <c r="BS24" s="48">
        <v>25.2</v>
      </c>
      <c r="BT24" s="48">
        <v>7142.442</v>
      </c>
      <c r="BU24" s="48">
        <v>47.988999999999997</v>
      </c>
      <c r="BV24" s="48">
        <v>54.753999999999998</v>
      </c>
      <c r="BW24" s="48">
        <v>54.097999999999999</v>
      </c>
      <c r="BX24" s="48">
        <v>57.225000000000001</v>
      </c>
      <c r="BY24" s="48">
        <v>1.43</v>
      </c>
      <c r="BZ24" s="48">
        <v>2.782</v>
      </c>
      <c r="CA24" s="48">
        <v>2.7330000000000001</v>
      </c>
      <c r="CB24" s="48">
        <v>3.3969999999999998</v>
      </c>
      <c r="CC24" s="48">
        <v>1.0489999999999999</v>
      </c>
      <c r="CD24" s="48">
        <v>2.2890000000000001</v>
      </c>
      <c r="CE24" s="48">
        <v>1.2669999999999999</v>
      </c>
      <c r="CF24" s="48">
        <v>2.0619999999999998</v>
      </c>
      <c r="CG24" s="48">
        <v>13.749000000000001</v>
      </c>
      <c r="CH24" s="48">
        <v>13.56</v>
      </c>
      <c r="CI24" s="48">
        <v>4.6950000000000003</v>
      </c>
      <c r="CJ24" s="48">
        <v>3.7309999999999999</v>
      </c>
      <c r="CK24" s="49">
        <v>1.6619999999999999</v>
      </c>
      <c r="CL24" s="49">
        <v>0.5</v>
      </c>
      <c r="CM24" s="49">
        <v>0.9</v>
      </c>
      <c r="CN24" s="49">
        <v>0</v>
      </c>
      <c r="CO24" s="49">
        <v>0</v>
      </c>
      <c r="CP24" s="48">
        <v>100.672</v>
      </c>
      <c r="CQ24" s="48">
        <v>103.505</v>
      </c>
      <c r="CR24" s="48">
        <v>122.47799999999999</v>
      </c>
      <c r="CS24" s="49">
        <v>127.776</v>
      </c>
      <c r="CT24" s="49">
        <v>0.47</v>
      </c>
      <c r="CU24" s="48">
        <v>0.89900000000000002</v>
      </c>
      <c r="CV24" s="48">
        <v>1.9990000000000001</v>
      </c>
      <c r="CW24" s="48">
        <v>1.9019999999999999</v>
      </c>
      <c r="CX24" s="48">
        <v>1.8979999999999999</v>
      </c>
      <c r="CY24" s="48">
        <v>0.7</v>
      </c>
      <c r="CZ24" s="48">
        <v>1.6</v>
      </c>
      <c r="DA24" s="49">
        <v>1.3009999999999999</v>
      </c>
      <c r="DB24" s="49">
        <v>2.2050000000000001</v>
      </c>
      <c r="DC24" s="49">
        <v>0</v>
      </c>
      <c r="DD24" s="49">
        <v>0</v>
      </c>
      <c r="DE24" s="48">
        <v>0.186</v>
      </c>
      <c r="DF24" s="48">
        <v>7.3999999999999996E-2</v>
      </c>
      <c r="DG24" s="49">
        <v>0.66800000000000004</v>
      </c>
      <c r="DH24" s="48">
        <v>1.478</v>
      </c>
      <c r="DI24" s="48">
        <v>0.73599999999999999</v>
      </c>
      <c r="DJ24" s="49">
        <v>0.187</v>
      </c>
      <c r="DK24" s="48">
        <v>0.95399999999999996</v>
      </c>
      <c r="DL24" s="48">
        <v>0.41</v>
      </c>
      <c r="DM24" s="48">
        <v>0.39400000000000002</v>
      </c>
      <c r="DN24" s="48">
        <v>-0.999</v>
      </c>
      <c r="DO24" s="48">
        <v>0.31900000000000001</v>
      </c>
      <c r="DP24" s="48">
        <v>62.857999999999997</v>
      </c>
      <c r="DQ24" s="48">
        <v>61.436999999999998</v>
      </c>
      <c r="DR24" s="48">
        <v>53.933</v>
      </c>
      <c r="DS24" s="48">
        <v>52.085999999999999</v>
      </c>
      <c r="DT24" s="48">
        <v>4.9800000000000004</v>
      </c>
      <c r="DU24" s="48">
        <v>4.84</v>
      </c>
      <c r="DV24" s="48">
        <v>8.91</v>
      </c>
      <c r="DW24" s="48">
        <v>6.77</v>
      </c>
      <c r="DX24" s="48">
        <v>5.1100000000000003</v>
      </c>
      <c r="DY24" s="48">
        <v>4.96</v>
      </c>
      <c r="DZ24" s="48">
        <v>8.3000000000000007</v>
      </c>
      <c r="EA24" s="48">
        <v>6.57</v>
      </c>
      <c r="EB24" s="48">
        <v>42.46</v>
      </c>
      <c r="EC24" s="49">
        <v>42.63</v>
      </c>
      <c r="ED24" s="49">
        <v>36.17</v>
      </c>
      <c r="EE24" s="49">
        <v>38.75</v>
      </c>
      <c r="EF24" s="48">
        <v>47.44</v>
      </c>
      <c r="EG24" s="48">
        <v>47.57</v>
      </c>
      <c r="EH24" s="48">
        <v>46.62</v>
      </c>
      <c r="EI24" s="48">
        <v>47.92</v>
      </c>
      <c r="EJ24" s="48">
        <v>7.024</v>
      </c>
      <c r="EK24" s="48">
        <v>62.633000000000003</v>
      </c>
      <c r="EL24" s="48">
        <v>2.2000000000000002</v>
      </c>
      <c r="EM24" s="49">
        <v>1.75</v>
      </c>
      <c r="EN24" s="48">
        <v>1.25</v>
      </c>
      <c r="EO24" s="48">
        <v>1.25</v>
      </c>
      <c r="EP24" s="48">
        <v>-98.046000000000006</v>
      </c>
      <c r="EQ24" s="48">
        <v>-2.617</v>
      </c>
      <c r="ER24" s="48">
        <v>82.41</v>
      </c>
      <c r="ES24" s="48">
        <v>1.516</v>
      </c>
      <c r="ET24" s="49">
        <v>1.633</v>
      </c>
      <c r="EU24" s="48">
        <v>1.4810000000000001</v>
      </c>
      <c r="EV24" s="49">
        <v>7.6680000000000001</v>
      </c>
      <c r="EW24" s="48">
        <v>2.867</v>
      </c>
      <c r="EX24" s="48">
        <v>69.06</v>
      </c>
      <c r="EY24" s="49">
        <v>9.9000000000000005E-2</v>
      </c>
      <c r="EZ24" s="49">
        <v>1.9450000000000001</v>
      </c>
      <c r="FA24" s="49">
        <v>0</v>
      </c>
      <c r="FB24" s="48">
        <v>9.0980000000000008</v>
      </c>
      <c r="FC24" s="48">
        <v>67.37</v>
      </c>
      <c r="FD24" s="48">
        <v>62.777000000000001</v>
      </c>
      <c r="FE24" s="48">
        <v>74.984999999999999</v>
      </c>
      <c r="FF24" s="48">
        <v>73.225999999999999</v>
      </c>
      <c r="FG24" s="48">
        <v>0.92300000000000004</v>
      </c>
      <c r="FH24" s="48">
        <v>0.92300000000000004</v>
      </c>
      <c r="FI24" s="48">
        <v>0.998</v>
      </c>
      <c r="FJ24" s="48">
        <v>1.002</v>
      </c>
      <c r="FK24" s="48">
        <v>0</v>
      </c>
      <c r="FL24" s="48">
        <v>83</v>
      </c>
      <c r="FM24" s="48">
        <v>3.54</v>
      </c>
      <c r="FN24" s="49">
        <v>-0.71</v>
      </c>
      <c r="FO24" s="48">
        <v>5.16</v>
      </c>
      <c r="FP24" s="48">
        <v>4.5999999999999996</v>
      </c>
      <c r="FQ24" s="48">
        <v>4.55</v>
      </c>
      <c r="FR24" s="48">
        <v>5.05</v>
      </c>
      <c r="FS24" s="48">
        <v>6.3710000000000004</v>
      </c>
      <c r="FT24" s="48">
        <v>1069.7</v>
      </c>
      <c r="FU24" s="48">
        <v>6.05</v>
      </c>
      <c r="FV24" s="48">
        <v>17.09</v>
      </c>
      <c r="FW24" s="48">
        <v>2961.5</v>
      </c>
      <c r="FX24" s="48">
        <v>160700</v>
      </c>
      <c r="FY24" s="48">
        <v>161200</v>
      </c>
      <c r="FZ24" s="48">
        <v>47.750999999999998</v>
      </c>
      <c r="GA24" s="49">
        <v>48.534999999999997</v>
      </c>
      <c r="GB24" s="48">
        <v>2151.3000000000002</v>
      </c>
      <c r="GC24" s="48">
        <v>2154.1999999999998</v>
      </c>
      <c r="GD24" s="48">
        <v>2170.3000000000002</v>
      </c>
      <c r="GE24" s="48">
        <v>2172.6999999999998</v>
      </c>
      <c r="GF24" s="49">
        <v>1658.1719000000001</v>
      </c>
      <c r="GG24" s="48">
        <v>29</v>
      </c>
      <c r="GH24" s="48">
        <v>29.1</v>
      </c>
      <c r="GI24" s="48">
        <v>46.9</v>
      </c>
      <c r="GJ24" s="48">
        <v>52.4</v>
      </c>
      <c r="GK24" s="48">
        <v>99.5</v>
      </c>
      <c r="GL24" s="48">
        <v>108.1</v>
      </c>
      <c r="GM24" s="49">
        <v>0</v>
      </c>
      <c r="GN24" s="49">
        <v>26.094000000000001</v>
      </c>
      <c r="GO24" s="48">
        <v>98.046000000000006</v>
      </c>
      <c r="GP24" s="48">
        <v>0.88500000000000001</v>
      </c>
      <c r="GQ24" s="48">
        <v>1.9470000000000001</v>
      </c>
      <c r="GR24" s="48">
        <v>1.298</v>
      </c>
      <c r="GS24" s="48">
        <v>2.0059999999999998</v>
      </c>
      <c r="GT24" s="48">
        <v>0.76700000000000002</v>
      </c>
      <c r="GU24" s="48">
        <v>1.829</v>
      </c>
      <c r="GV24" s="49">
        <v>0</v>
      </c>
      <c r="GW24" s="48">
        <v>0</v>
      </c>
      <c r="GX24" s="48">
        <v>0</v>
      </c>
      <c r="GY24" s="48">
        <v>11.858000000000001</v>
      </c>
      <c r="GZ24" s="48">
        <v>13.75</v>
      </c>
      <c r="HA24" s="48">
        <v>15.68</v>
      </c>
      <c r="HB24" s="48">
        <v>0</v>
      </c>
      <c r="HC24" s="49">
        <v>36.314999999999998</v>
      </c>
      <c r="HD24" s="48">
        <v>86</v>
      </c>
      <c r="HE24" s="49">
        <v>0</v>
      </c>
      <c r="HF24" s="49">
        <v>0</v>
      </c>
      <c r="HG24" s="48">
        <v>70.41</v>
      </c>
      <c r="HH24" s="48">
        <v>79.760000000000005</v>
      </c>
      <c r="HI24" s="49">
        <v>0</v>
      </c>
      <c r="HJ24" s="49">
        <v>0</v>
      </c>
      <c r="HK24" s="49">
        <v>0</v>
      </c>
      <c r="HL24" s="48">
        <v>61</v>
      </c>
      <c r="HM24" s="48">
        <v>50</v>
      </c>
      <c r="HN24" s="48">
        <v>64</v>
      </c>
      <c r="HO24" s="49">
        <v>58</v>
      </c>
      <c r="HP24" s="48">
        <v>61</v>
      </c>
      <c r="HQ24" s="49">
        <v>59</v>
      </c>
      <c r="HR24" s="48">
        <v>53</v>
      </c>
      <c r="HS24" s="48">
        <v>62</v>
      </c>
      <c r="HT24" s="48">
        <v>-1.456</v>
      </c>
      <c r="HU24" s="49">
        <v>0</v>
      </c>
      <c r="HV24" s="48">
        <v>9.6000000000000002E-2</v>
      </c>
      <c r="HW24" s="49">
        <v>35.299999999999997</v>
      </c>
      <c r="HX24" s="48">
        <v>46</v>
      </c>
      <c r="HY24" s="49">
        <v>56.22</v>
      </c>
      <c r="HZ24" s="49">
        <v>56.22</v>
      </c>
      <c r="IA24" s="49">
        <v>3.0070000000000001</v>
      </c>
      <c r="IB24" s="48">
        <v>101</v>
      </c>
      <c r="IC24" s="48">
        <v>20.481000000000002</v>
      </c>
      <c r="ID24" s="48">
        <v>-0.11700000000000001</v>
      </c>
      <c r="IE24" s="48">
        <v>-6.3E-2</v>
      </c>
      <c r="IF24" s="48">
        <v>807.1</v>
      </c>
      <c r="IG24" s="48">
        <v>739.4</v>
      </c>
      <c r="IH24" s="49">
        <v>827.3</v>
      </c>
      <c r="II24" s="48">
        <v>751.9</v>
      </c>
      <c r="IJ24" s="49">
        <v>2E-3</v>
      </c>
      <c r="IK24" s="48">
        <v>3.2000000000000001E-2</v>
      </c>
      <c r="IL24" s="48">
        <v>105.727</v>
      </c>
      <c r="IM24" s="48">
        <v>105.727</v>
      </c>
      <c r="IN24" s="48">
        <v>12.699</v>
      </c>
      <c r="IO24" s="48">
        <v>0.36299999999999999</v>
      </c>
      <c r="IP24" s="48">
        <v>9.15</v>
      </c>
      <c r="IQ24" s="48">
        <v>2E-3</v>
      </c>
      <c r="IR24" s="48">
        <v>4.0000000000000001E-3</v>
      </c>
      <c r="IS24">
        <v>0.26700000000000002</v>
      </c>
      <c r="IT24">
        <v>0.13500000000000004</v>
      </c>
    </row>
    <row r="25" spans="1:254" x14ac:dyDescent="0.25">
      <c r="B25" s="2" t="s">
        <v>409</v>
      </c>
      <c r="C25" s="58" t="s">
        <v>44</v>
      </c>
      <c r="D25" s="59">
        <v>2.5331018518518519E-3</v>
      </c>
      <c r="E25" s="48">
        <v>218.9</v>
      </c>
      <c r="F25" s="48">
        <v>329.12</v>
      </c>
      <c r="G25" s="49">
        <v>6.04</v>
      </c>
      <c r="H25" s="48">
        <v>25.3</v>
      </c>
      <c r="I25" s="49">
        <v>0</v>
      </c>
      <c r="J25" s="48">
        <v>10.4</v>
      </c>
      <c r="K25" s="49">
        <v>6</v>
      </c>
      <c r="L25" s="49">
        <v>6</v>
      </c>
      <c r="M25" s="49">
        <v>7</v>
      </c>
      <c r="N25" s="49">
        <v>2</v>
      </c>
      <c r="O25" s="49">
        <v>3</v>
      </c>
      <c r="P25" s="48">
        <v>0.40799999999999997</v>
      </c>
      <c r="Q25" s="49">
        <v>1.1819999999999999</v>
      </c>
      <c r="R25" s="48">
        <v>0.12</v>
      </c>
      <c r="S25" s="48">
        <v>2.3E-2</v>
      </c>
      <c r="T25" s="49">
        <v>76.39</v>
      </c>
      <c r="U25" s="48">
        <v>60.238</v>
      </c>
      <c r="V25" s="48">
        <v>228.34</v>
      </c>
      <c r="W25" s="48">
        <v>248.34</v>
      </c>
      <c r="X25" s="48">
        <v>150</v>
      </c>
      <c r="Y25" s="48">
        <v>200</v>
      </c>
      <c r="Z25" s="49">
        <v>384</v>
      </c>
      <c r="AA25" s="48">
        <v>407.3</v>
      </c>
      <c r="AB25" s="48">
        <v>280.67</v>
      </c>
      <c r="AC25" s="48">
        <v>357.44</v>
      </c>
      <c r="AD25" s="48">
        <v>1.7969999999999999</v>
      </c>
      <c r="AE25" s="48">
        <v>1.8080000000000001</v>
      </c>
      <c r="AF25" s="48">
        <v>1.819</v>
      </c>
      <c r="AG25" s="48">
        <v>1.8320000000000001</v>
      </c>
      <c r="AH25" s="48">
        <v>71.59</v>
      </c>
      <c r="AI25" s="48">
        <v>63.1</v>
      </c>
      <c r="AJ25" s="48">
        <v>93.1</v>
      </c>
      <c r="AK25" s="48">
        <v>91.14</v>
      </c>
      <c r="AL25" s="48">
        <v>660.23900000000003</v>
      </c>
      <c r="AM25" s="48">
        <v>674.15499999999997</v>
      </c>
      <c r="AN25" s="48">
        <v>848.44200000000001</v>
      </c>
      <c r="AO25" s="48">
        <v>798.87699999999995</v>
      </c>
      <c r="AP25" s="48">
        <v>1.3959999999999999</v>
      </c>
      <c r="AQ25" s="48">
        <v>1.869</v>
      </c>
      <c r="AR25" s="48">
        <v>41.786000000000001</v>
      </c>
      <c r="AS25" s="48">
        <v>38.802999999999997</v>
      </c>
      <c r="AT25" s="48">
        <v>83</v>
      </c>
      <c r="AU25" s="48">
        <v>115</v>
      </c>
      <c r="AV25" s="49">
        <v>1.3839999999999999</v>
      </c>
      <c r="AW25" s="49">
        <v>4.7634999999999996</v>
      </c>
      <c r="AX25" s="48">
        <v>1013.4</v>
      </c>
      <c r="AY25" s="48">
        <v>2.46</v>
      </c>
      <c r="AZ25" s="48">
        <v>4.8899999999999997</v>
      </c>
      <c r="BA25" s="48">
        <v>95.126000000000005</v>
      </c>
      <c r="BB25" s="48">
        <v>95.466999999999999</v>
      </c>
      <c r="BC25" s="49">
        <v>7795</v>
      </c>
      <c r="BD25" s="49">
        <v>89.25</v>
      </c>
      <c r="BE25" s="48">
        <v>14.62</v>
      </c>
      <c r="BF25" s="48">
        <v>11.74</v>
      </c>
      <c r="BG25" s="48">
        <v>29.75</v>
      </c>
      <c r="BH25" s="48">
        <v>29.03</v>
      </c>
      <c r="BI25" s="3"/>
      <c r="BJ25" s="3"/>
      <c r="BK25" s="3"/>
      <c r="BL25" s="3"/>
      <c r="BM25" s="3"/>
      <c r="BN25" s="48">
        <v>102.392</v>
      </c>
      <c r="BO25" s="48">
        <v>104.024</v>
      </c>
      <c r="BP25" s="48">
        <v>124.712</v>
      </c>
      <c r="BQ25" s="48">
        <v>130.12</v>
      </c>
      <c r="BR25" s="3"/>
      <c r="BS25" s="48">
        <v>25</v>
      </c>
      <c r="BT25" s="49">
        <v>7236.0479999999998</v>
      </c>
      <c r="BU25" s="48">
        <v>50.600999999999999</v>
      </c>
      <c r="BV25" s="48">
        <v>53.741999999999997</v>
      </c>
      <c r="BW25" s="48">
        <v>54.762</v>
      </c>
      <c r="BX25" s="48">
        <v>56.462000000000003</v>
      </c>
      <c r="BY25" s="49">
        <v>1.6639999999999999</v>
      </c>
      <c r="BZ25" s="48">
        <v>3.008</v>
      </c>
      <c r="CA25" s="49">
        <v>3.6259999999999999</v>
      </c>
      <c r="CB25" s="48">
        <v>4.0110000000000001</v>
      </c>
      <c r="CC25" s="48">
        <v>0.96599999999999997</v>
      </c>
      <c r="CD25" s="48">
        <v>2.2530000000000001</v>
      </c>
      <c r="CE25" s="48">
        <v>1.29</v>
      </c>
      <c r="CF25" s="48">
        <v>2.141</v>
      </c>
      <c r="CG25" s="48">
        <v>13.738</v>
      </c>
      <c r="CH25" s="48">
        <v>13.531000000000001</v>
      </c>
      <c r="CI25" s="48">
        <v>3.3180000000000001</v>
      </c>
      <c r="CJ25" s="48">
        <v>2.8860000000000001</v>
      </c>
      <c r="CK25" s="48">
        <v>1.1599999999999999</v>
      </c>
      <c r="CL25" s="48">
        <v>0.1</v>
      </c>
      <c r="CM25" s="48">
        <v>0.6</v>
      </c>
      <c r="CN25" s="49">
        <v>0</v>
      </c>
      <c r="CO25" s="49">
        <v>0</v>
      </c>
      <c r="CP25" s="48">
        <v>95.433000000000007</v>
      </c>
      <c r="CQ25" s="48">
        <v>97.16</v>
      </c>
      <c r="CR25" s="48">
        <v>113.148</v>
      </c>
      <c r="CS25" s="48">
        <v>120.87</v>
      </c>
      <c r="CT25" s="48">
        <v>0.40799999999999997</v>
      </c>
      <c r="CU25" s="48">
        <v>0.79700000000000004</v>
      </c>
      <c r="CV25" s="48">
        <v>1.4990000000000001</v>
      </c>
      <c r="CW25" s="48">
        <v>1.401</v>
      </c>
      <c r="CX25" s="48">
        <v>1.8029999999999999</v>
      </c>
      <c r="CY25" s="48">
        <v>0.80100000000000005</v>
      </c>
      <c r="CZ25" s="49">
        <v>2.198</v>
      </c>
      <c r="DA25" s="48">
        <v>0.9</v>
      </c>
      <c r="DB25" s="48">
        <v>1.298</v>
      </c>
      <c r="DC25" s="49">
        <v>0</v>
      </c>
      <c r="DD25" s="49">
        <v>0</v>
      </c>
      <c r="DE25" s="49">
        <v>0.19600000000000001</v>
      </c>
      <c r="DF25" s="48">
        <v>5.5E-2</v>
      </c>
      <c r="DG25" s="48">
        <v>0.58499999999999996</v>
      </c>
      <c r="DH25" s="49">
        <v>2.129</v>
      </c>
      <c r="DI25" s="48">
        <v>0.879</v>
      </c>
      <c r="DJ25" s="48">
        <v>0.11799999999999999</v>
      </c>
      <c r="DK25" s="48">
        <v>0.79700000000000004</v>
      </c>
      <c r="DL25" s="48">
        <v>0.41</v>
      </c>
      <c r="DM25" s="49">
        <v>0.621</v>
      </c>
      <c r="DN25" s="48">
        <v>0.45500000000000002</v>
      </c>
      <c r="DO25" s="48">
        <v>0.35599999999999998</v>
      </c>
      <c r="DP25" s="48">
        <v>64.346999999999994</v>
      </c>
      <c r="DQ25" s="48">
        <v>62.231000000000002</v>
      </c>
      <c r="DR25" s="48">
        <v>53.908000000000001</v>
      </c>
      <c r="DS25" s="48">
        <v>51.756</v>
      </c>
      <c r="DT25" s="49">
        <v>6.13</v>
      </c>
      <c r="DU25" s="49">
        <v>5.93</v>
      </c>
      <c r="DV25" s="49">
        <v>11.6</v>
      </c>
      <c r="DW25" s="49">
        <v>8.52</v>
      </c>
      <c r="DX25" s="49">
        <v>6.37</v>
      </c>
      <c r="DY25" s="49">
        <v>6.28</v>
      </c>
      <c r="DZ25" s="49">
        <v>11.07</v>
      </c>
      <c r="EA25" s="49">
        <v>8.26</v>
      </c>
      <c r="EB25" s="49">
        <v>42.62</v>
      </c>
      <c r="EC25" s="48">
        <v>42.17</v>
      </c>
      <c r="ED25" s="48">
        <v>35.020000000000003</v>
      </c>
      <c r="EE25" s="48">
        <v>37.9</v>
      </c>
      <c r="EF25" s="48">
        <v>44.87</v>
      </c>
      <c r="EG25" s="48">
        <v>45.63</v>
      </c>
      <c r="EH25" s="48">
        <v>42.3</v>
      </c>
      <c r="EI25" s="48">
        <v>45.32</v>
      </c>
      <c r="EJ25" s="48">
        <v>6.6779999999999999</v>
      </c>
      <c r="EK25" s="49">
        <v>62.843000000000004</v>
      </c>
      <c r="EL25" s="48">
        <v>2.2999999999999998</v>
      </c>
      <c r="EM25" s="48">
        <v>1.85</v>
      </c>
      <c r="EN25" s="48">
        <v>1.2</v>
      </c>
      <c r="EO25" s="48">
        <v>1.2</v>
      </c>
      <c r="EP25" s="48">
        <v>-103.886</v>
      </c>
      <c r="EQ25" s="48">
        <v>-2.9950000000000001</v>
      </c>
      <c r="ER25" s="48">
        <v>98.762</v>
      </c>
      <c r="ES25" s="48">
        <v>1.4670000000000001</v>
      </c>
      <c r="ET25" s="48">
        <v>1.63</v>
      </c>
      <c r="EU25" s="48">
        <v>1.4330000000000001</v>
      </c>
      <c r="EV25" s="48">
        <v>7.556</v>
      </c>
      <c r="EW25" s="48">
        <v>2.77</v>
      </c>
      <c r="EX25" s="49">
        <v>74.22</v>
      </c>
      <c r="EY25" s="48">
        <v>4.1000000000000002E-2</v>
      </c>
      <c r="EZ25" s="48">
        <v>0</v>
      </c>
      <c r="FA25" s="49">
        <v>0</v>
      </c>
      <c r="FB25" s="48">
        <v>9.1120000000000001</v>
      </c>
      <c r="FC25" s="48">
        <v>65.772999999999996</v>
      </c>
      <c r="FD25" s="48">
        <v>61.332999999999998</v>
      </c>
      <c r="FE25" s="48">
        <v>74.186000000000007</v>
      </c>
      <c r="FF25" s="48">
        <v>72.84</v>
      </c>
      <c r="FG25" s="48">
        <v>0.92100000000000004</v>
      </c>
      <c r="FH25" s="48">
        <v>0.92200000000000004</v>
      </c>
      <c r="FI25" s="48">
        <v>0.997</v>
      </c>
      <c r="FJ25" s="48">
        <v>1.002</v>
      </c>
      <c r="FK25" s="48">
        <v>0</v>
      </c>
      <c r="FL25" s="48">
        <v>83</v>
      </c>
      <c r="FM25" s="48">
        <v>3.67</v>
      </c>
      <c r="FN25" s="48">
        <v>-0.7</v>
      </c>
      <c r="FO25" s="48">
        <v>4.83</v>
      </c>
      <c r="FP25" s="3"/>
      <c r="FQ25" s="48">
        <v>4.95</v>
      </c>
      <c r="FR25" s="48">
        <v>5.05</v>
      </c>
      <c r="FS25" s="48">
        <v>6.4489999999999998</v>
      </c>
      <c r="FT25" s="48">
        <v>1071.7</v>
      </c>
      <c r="FU25" s="48">
        <v>6.37</v>
      </c>
      <c r="FV25" s="48">
        <v>23.13</v>
      </c>
      <c r="FW25" s="48">
        <v>2962.5</v>
      </c>
      <c r="FX25" s="48">
        <v>160400</v>
      </c>
      <c r="FY25" s="48">
        <v>162500</v>
      </c>
      <c r="FZ25" s="48">
        <v>46.911000000000001</v>
      </c>
      <c r="GA25" s="48">
        <v>47.918999999999997</v>
      </c>
      <c r="GB25" s="49">
        <v>2166.6</v>
      </c>
      <c r="GC25" s="48">
        <v>2166.4</v>
      </c>
      <c r="GD25" s="48">
        <v>2206.4</v>
      </c>
      <c r="GE25" s="48">
        <v>2207.9</v>
      </c>
      <c r="GF25" s="48">
        <v>1381.9375</v>
      </c>
      <c r="GG25" s="48">
        <v>29</v>
      </c>
      <c r="GH25" s="48">
        <v>29.5</v>
      </c>
      <c r="GI25" s="48">
        <v>45.7</v>
      </c>
      <c r="GJ25" s="48">
        <v>51.3</v>
      </c>
      <c r="GK25" s="48">
        <v>99.5</v>
      </c>
      <c r="GL25" s="48">
        <v>107.6</v>
      </c>
      <c r="GM25" s="49">
        <v>0</v>
      </c>
      <c r="GN25" s="48">
        <v>25.363</v>
      </c>
      <c r="GO25" s="48">
        <v>103.886</v>
      </c>
      <c r="GP25" s="48">
        <v>0.76700000000000002</v>
      </c>
      <c r="GQ25" s="48">
        <v>1.8879999999999999</v>
      </c>
      <c r="GR25" s="48">
        <v>1.2390000000000001</v>
      </c>
      <c r="GS25" s="48">
        <v>2.0649999999999999</v>
      </c>
      <c r="GT25" s="48">
        <v>0.76700000000000002</v>
      </c>
      <c r="GU25" s="48">
        <v>1.8879999999999999</v>
      </c>
      <c r="GV25" s="49">
        <v>0</v>
      </c>
      <c r="GW25" s="48">
        <v>0</v>
      </c>
      <c r="GX25" s="48">
        <v>0</v>
      </c>
      <c r="GY25" s="48">
        <v>12.151999999999999</v>
      </c>
      <c r="GZ25" s="48">
        <v>13.644</v>
      </c>
      <c r="HA25" s="48">
        <v>15.288</v>
      </c>
      <c r="HB25" s="48">
        <v>0</v>
      </c>
      <c r="HC25" s="48">
        <v>36.124000000000002</v>
      </c>
      <c r="HD25" s="48">
        <v>82</v>
      </c>
      <c r="HE25" s="49">
        <v>0</v>
      </c>
      <c r="HF25" s="49">
        <v>0</v>
      </c>
      <c r="HG25" s="48">
        <v>71.73</v>
      </c>
      <c r="HH25" s="48">
        <v>80.22</v>
      </c>
      <c r="HI25" s="49">
        <v>0</v>
      </c>
      <c r="HJ25" s="49">
        <v>0</v>
      </c>
      <c r="HK25" s="49">
        <v>0</v>
      </c>
      <c r="HL25" s="48">
        <v>59</v>
      </c>
      <c r="HM25" s="48">
        <v>50</v>
      </c>
      <c r="HN25" s="48">
        <v>64</v>
      </c>
      <c r="HO25" s="49">
        <v>58</v>
      </c>
      <c r="HP25" s="49">
        <v>62</v>
      </c>
      <c r="HQ25" s="49">
        <v>59</v>
      </c>
      <c r="HR25" s="48">
        <v>53</v>
      </c>
      <c r="HS25" s="48">
        <v>62</v>
      </c>
      <c r="HT25" s="49">
        <v>-1.4575</v>
      </c>
      <c r="HU25" s="49">
        <v>0</v>
      </c>
      <c r="HV25" s="48">
        <v>0.374</v>
      </c>
      <c r="HW25" s="49">
        <v>35.299999999999997</v>
      </c>
      <c r="HX25" s="49">
        <v>42.68</v>
      </c>
      <c r="HY25" s="3"/>
      <c r="HZ25" s="3"/>
      <c r="IA25" s="48">
        <v>2.7069999999999999</v>
      </c>
      <c r="IB25" s="49">
        <v>103</v>
      </c>
      <c r="IC25" s="49">
        <v>21.436</v>
      </c>
      <c r="ID25" s="48">
        <v>-0.14299999999999999</v>
      </c>
      <c r="IE25" s="48">
        <v>-8.4000000000000005E-2</v>
      </c>
      <c r="IF25" s="49">
        <v>807.4</v>
      </c>
      <c r="IG25" s="49">
        <v>757.1</v>
      </c>
      <c r="IH25" s="48">
        <v>806.8</v>
      </c>
      <c r="II25" s="49">
        <v>767.6</v>
      </c>
      <c r="IJ25" s="48">
        <v>-2.3E-2</v>
      </c>
      <c r="IK25" s="48">
        <v>2.1000000000000001E-2</v>
      </c>
      <c r="IL25" s="48">
        <v>75.084999999999994</v>
      </c>
      <c r="IM25" s="48">
        <v>75.084999999999994</v>
      </c>
      <c r="IN25" s="48">
        <v>10.516999999999999</v>
      </c>
      <c r="IO25" s="49">
        <v>0.52400000000000002</v>
      </c>
      <c r="IP25" s="48">
        <v>9.07</v>
      </c>
      <c r="IQ25" s="49">
        <v>1.2999999999999999E-2</v>
      </c>
      <c r="IR25" s="49">
        <v>7.0000000000000001E-3</v>
      </c>
      <c r="IS25">
        <v>0.28000000000000003</v>
      </c>
      <c r="IT25">
        <v>0.14200000000000004</v>
      </c>
    </row>
    <row r="26" spans="1:254" x14ac:dyDescent="0.25">
      <c r="B26" s="2" t="s">
        <v>409</v>
      </c>
      <c r="C26" s="2" t="s">
        <v>45</v>
      </c>
      <c r="D26" s="57">
        <v>5.7333333333333333E-3</v>
      </c>
      <c r="E26" s="49">
        <v>495.36200000000002</v>
      </c>
      <c r="F26" s="48">
        <v>329.95</v>
      </c>
      <c r="G26" s="48">
        <v>-23.13</v>
      </c>
      <c r="H26" s="48">
        <v>25.3</v>
      </c>
      <c r="I26" s="49">
        <v>0</v>
      </c>
      <c r="J26" s="49">
        <v>73.7</v>
      </c>
      <c r="K26" s="49">
        <v>6</v>
      </c>
      <c r="L26" s="49">
        <v>6</v>
      </c>
      <c r="M26" s="49">
        <v>7</v>
      </c>
      <c r="N26" s="49">
        <v>2</v>
      </c>
      <c r="O26" s="49">
        <v>3</v>
      </c>
      <c r="P26" s="48">
        <v>0.42799999999999999</v>
      </c>
      <c r="Q26" s="48">
        <v>0.80300000000000005</v>
      </c>
      <c r="R26" s="48">
        <v>0.17</v>
      </c>
      <c r="S26" s="3"/>
      <c r="T26" s="48">
        <v>75.92</v>
      </c>
      <c r="U26" s="48">
        <v>60.814999999999998</v>
      </c>
      <c r="V26" s="49">
        <v>70</v>
      </c>
      <c r="W26" s="49">
        <v>40</v>
      </c>
      <c r="X26" s="49">
        <v>90</v>
      </c>
      <c r="Y26" s="49">
        <v>90</v>
      </c>
      <c r="Z26" s="48">
        <v>210.16</v>
      </c>
      <c r="AA26" s="48">
        <v>222.65</v>
      </c>
      <c r="AB26" s="48">
        <v>185.1</v>
      </c>
      <c r="AC26" s="48">
        <v>221.51</v>
      </c>
      <c r="AD26" s="48">
        <v>1.7370000000000001</v>
      </c>
      <c r="AE26" s="48">
        <v>1.756</v>
      </c>
      <c r="AF26" s="48">
        <v>1.738</v>
      </c>
      <c r="AG26" s="48">
        <v>1.754</v>
      </c>
      <c r="AH26" s="48">
        <v>61.14</v>
      </c>
      <c r="AI26" s="48">
        <v>52.81</v>
      </c>
      <c r="AJ26" s="48">
        <v>77.92</v>
      </c>
      <c r="AK26" s="48">
        <v>76.45</v>
      </c>
      <c r="AL26" s="48">
        <v>694.06</v>
      </c>
      <c r="AM26" s="48">
        <v>684.577</v>
      </c>
      <c r="AN26" s="49">
        <v>973.57799999999997</v>
      </c>
      <c r="AO26" s="48">
        <v>761.73800000000006</v>
      </c>
      <c r="AP26" s="48">
        <v>1.389</v>
      </c>
      <c r="AQ26" s="48">
        <v>1.865</v>
      </c>
      <c r="AR26" s="48">
        <v>42.722999999999999</v>
      </c>
      <c r="AS26" s="48">
        <v>39.052999999999997</v>
      </c>
      <c r="AT26" s="48">
        <v>83</v>
      </c>
      <c r="AU26" s="48">
        <v>117</v>
      </c>
      <c r="AV26" s="48">
        <v>2.3290000000000002</v>
      </c>
      <c r="AW26" s="48">
        <v>4.6193999999999997</v>
      </c>
      <c r="AX26" s="48">
        <v>1012.3</v>
      </c>
      <c r="AY26" s="48">
        <v>2.4900000000000002</v>
      </c>
      <c r="AZ26" s="48">
        <v>5.16</v>
      </c>
      <c r="BA26" s="48">
        <v>69.408000000000001</v>
      </c>
      <c r="BB26" s="48">
        <v>70.703999999999994</v>
      </c>
      <c r="BC26" s="48">
        <v>7659</v>
      </c>
      <c r="BD26" s="48">
        <v>88.75</v>
      </c>
      <c r="BE26" s="48">
        <v>15.335000000000001</v>
      </c>
      <c r="BF26" s="48">
        <v>13.02</v>
      </c>
      <c r="BG26" s="48">
        <v>28.29</v>
      </c>
      <c r="BH26" s="48">
        <v>24.09</v>
      </c>
      <c r="BI26" s="48">
        <v>65.037000000000006</v>
      </c>
      <c r="BJ26" s="49">
        <v>82.475999999999999</v>
      </c>
      <c r="BK26" s="48">
        <v>63.192999999999998</v>
      </c>
      <c r="BL26" s="49">
        <v>79.593999999999994</v>
      </c>
      <c r="BM26" s="49">
        <v>79.783000000000001</v>
      </c>
      <c r="BN26" s="48">
        <v>118.92</v>
      </c>
      <c r="BO26" s="48">
        <v>121.752</v>
      </c>
      <c r="BP26" s="48">
        <v>144.24799999999999</v>
      </c>
      <c r="BQ26" s="49">
        <v>148.71199999999999</v>
      </c>
      <c r="BR26" s="49">
        <v>59.981000000000002</v>
      </c>
      <c r="BS26" s="48">
        <v>24.8</v>
      </c>
      <c r="BT26" s="48">
        <v>6739.116</v>
      </c>
      <c r="BU26" s="48">
        <v>39.86</v>
      </c>
      <c r="BV26" s="48">
        <v>53.070999999999998</v>
      </c>
      <c r="BW26" s="48">
        <v>54.241999999999997</v>
      </c>
      <c r="BX26" s="49">
        <v>57.277000000000001</v>
      </c>
      <c r="BY26" s="48">
        <v>1.3580000000000001</v>
      </c>
      <c r="BZ26" s="48">
        <v>2.9039999999999999</v>
      </c>
      <c r="CA26" s="48">
        <v>3.0630000000000002</v>
      </c>
      <c r="CB26" s="48">
        <v>3.3879999999999999</v>
      </c>
      <c r="CC26" s="48">
        <v>0.89600000000000002</v>
      </c>
      <c r="CD26" s="49">
        <v>2.5550000000000002</v>
      </c>
      <c r="CE26" s="48">
        <v>1.24</v>
      </c>
      <c r="CF26" s="48">
        <v>2.11</v>
      </c>
      <c r="CG26" s="48">
        <v>13.712999999999999</v>
      </c>
      <c r="CH26" s="48">
        <v>10.504</v>
      </c>
      <c r="CI26" s="3"/>
      <c r="CJ26" s="3"/>
      <c r="CK26" s="3"/>
      <c r="CL26" s="48">
        <v>0.3</v>
      </c>
      <c r="CM26" s="48">
        <v>0</v>
      </c>
      <c r="CN26" s="49">
        <v>0</v>
      </c>
      <c r="CO26" s="49">
        <v>0</v>
      </c>
      <c r="CP26" s="48">
        <v>94.742000000000004</v>
      </c>
      <c r="CQ26" s="48">
        <v>98.176000000000002</v>
      </c>
      <c r="CR26" s="48">
        <v>115.286</v>
      </c>
      <c r="CS26" s="48">
        <v>120.45399999999999</v>
      </c>
      <c r="CT26" s="48">
        <v>0.16</v>
      </c>
      <c r="CU26" s="48">
        <v>0.6</v>
      </c>
      <c r="CV26" s="48">
        <v>1.401</v>
      </c>
      <c r="CW26" s="49">
        <v>2.8010000000000002</v>
      </c>
      <c r="CX26" s="48">
        <v>0.998</v>
      </c>
      <c r="CY26" s="48">
        <v>0.6</v>
      </c>
      <c r="CZ26" s="48">
        <v>0.80500000000000005</v>
      </c>
      <c r="DA26" s="48">
        <v>0.59599999999999997</v>
      </c>
      <c r="DB26" s="48">
        <v>0.999</v>
      </c>
      <c r="DC26" s="49">
        <v>0</v>
      </c>
      <c r="DD26" s="49">
        <v>0</v>
      </c>
      <c r="DE26" s="48">
        <v>7.6999999999999999E-2</v>
      </c>
      <c r="DF26" s="48">
        <v>7.2999999999999995E-2</v>
      </c>
      <c r="DG26" s="48">
        <v>0.10199999999999999</v>
      </c>
      <c r="DH26" s="48">
        <v>0.71799999999999997</v>
      </c>
      <c r="DI26" s="48">
        <v>0.72299999999999998</v>
      </c>
      <c r="DJ26" s="48">
        <v>1E-3</v>
      </c>
      <c r="DK26" s="48">
        <v>0.61099999999999999</v>
      </c>
      <c r="DL26" s="48">
        <v>0.40799999999999997</v>
      </c>
      <c r="DM26" s="48">
        <v>0.48799999999999999</v>
      </c>
      <c r="DN26" s="49">
        <v>0.92900000000000005</v>
      </c>
      <c r="DO26" s="48">
        <v>0.13500000000000001</v>
      </c>
      <c r="DP26" s="48">
        <v>63.162999999999997</v>
      </c>
      <c r="DQ26" s="48">
        <v>61.527000000000001</v>
      </c>
      <c r="DR26" s="48">
        <v>55.088999999999999</v>
      </c>
      <c r="DS26" s="48">
        <v>52.372</v>
      </c>
      <c r="DT26" s="48">
        <v>1.69</v>
      </c>
      <c r="DU26" s="48">
        <v>1.59</v>
      </c>
      <c r="DV26" s="48">
        <v>2.69</v>
      </c>
      <c r="DW26" s="48">
        <v>1.88</v>
      </c>
      <c r="DX26" s="48">
        <v>1.72</v>
      </c>
      <c r="DY26" s="48">
        <v>1.72</v>
      </c>
      <c r="DZ26" s="48">
        <v>2.52</v>
      </c>
      <c r="EA26" s="48">
        <v>1.91</v>
      </c>
      <c r="EB26" s="48">
        <v>39.78</v>
      </c>
      <c r="EC26" s="48">
        <v>39.56</v>
      </c>
      <c r="ED26" s="48">
        <v>33.270000000000003</v>
      </c>
      <c r="EE26" s="48">
        <v>33.4</v>
      </c>
      <c r="EF26" s="48">
        <v>56.81</v>
      </c>
      <c r="EG26" s="49">
        <v>57.13</v>
      </c>
      <c r="EH26" s="49">
        <v>61.51</v>
      </c>
      <c r="EI26" s="49">
        <v>62.79</v>
      </c>
      <c r="EJ26" s="49">
        <v>7.2069999999999999</v>
      </c>
      <c r="EK26" s="48">
        <v>61.542999999999999</v>
      </c>
      <c r="EL26" s="48">
        <v>2.2999999999999998</v>
      </c>
      <c r="EM26" s="48">
        <v>1.9</v>
      </c>
      <c r="EN26" s="49">
        <v>1.62</v>
      </c>
      <c r="EO26" s="49">
        <v>1.6</v>
      </c>
      <c r="EP26" s="48">
        <v>-118.194</v>
      </c>
      <c r="EQ26" s="49">
        <v>-1.1120000000000001</v>
      </c>
      <c r="ER26" s="48">
        <v>93.506</v>
      </c>
      <c r="ES26" s="48">
        <v>1.498</v>
      </c>
      <c r="ET26" s="48">
        <v>1.58</v>
      </c>
      <c r="EU26" s="48">
        <v>1.48</v>
      </c>
      <c r="EV26" s="48">
        <v>7.53</v>
      </c>
      <c r="EW26" s="49">
        <v>2.9369999999999998</v>
      </c>
      <c r="EX26" s="48">
        <v>39.4</v>
      </c>
      <c r="EY26" s="48">
        <v>0</v>
      </c>
      <c r="EZ26" s="48">
        <v>0.26</v>
      </c>
      <c r="FA26" s="49">
        <v>0</v>
      </c>
      <c r="FB26" s="49">
        <v>9.2799999999999994</v>
      </c>
      <c r="FC26" s="48">
        <v>65.281999999999996</v>
      </c>
      <c r="FD26" s="48">
        <v>61.34</v>
      </c>
      <c r="FE26" s="48">
        <v>74.22</v>
      </c>
      <c r="FF26" s="48">
        <v>73.019000000000005</v>
      </c>
      <c r="FG26" s="49">
        <v>1.133</v>
      </c>
      <c r="FH26" s="49">
        <v>1.1240000000000001</v>
      </c>
      <c r="FI26" s="49">
        <v>1</v>
      </c>
      <c r="FJ26" s="49">
        <v>1.0029999999999999</v>
      </c>
      <c r="FK26" s="48">
        <v>0</v>
      </c>
      <c r="FL26" s="48">
        <v>83</v>
      </c>
      <c r="FM26" s="48">
        <v>3.48</v>
      </c>
      <c r="FN26" s="48">
        <v>0.31</v>
      </c>
      <c r="FO26" s="48">
        <v>5.2</v>
      </c>
      <c r="FP26" s="48">
        <v>4.3</v>
      </c>
      <c r="FQ26" s="48">
        <v>4.5999999999999996</v>
      </c>
      <c r="FR26" s="48">
        <v>5</v>
      </c>
      <c r="FS26" s="48">
        <v>6.4145000000000003</v>
      </c>
      <c r="FT26" s="48">
        <v>1069.3</v>
      </c>
      <c r="FU26" s="48">
        <v>6.12</v>
      </c>
      <c r="FV26" s="49">
        <v>27.1</v>
      </c>
      <c r="FW26" s="48">
        <v>2860</v>
      </c>
      <c r="FX26" s="48">
        <v>160900</v>
      </c>
      <c r="FY26" s="48">
        <v>162600</v>
      </c>
      <c r="FZ26" s="48">
        <v>46.679000000000002</v>
      </c>
      <c r="GA26" s="48">
        <v>47.765000000000001</v>
      </c>
      <c r="GB26" s="48">
        <v>2141.4</v>
      </c>
      <c r="GC26" s="49">
        <v>2188.4</v>
      </c>
      <c r="GD26" s="49">
        <v>2404.5</v>
      </c>
      <c r="GE26" s="48">
        <v>2225.4</v>
      </c>
      <c r="GF26" s="48">
        <v>1391.5</v>
      </c>
      <c r="GG26" s="49">
        <v>30</v>
      </c>
      <c r="GH26" s="49">
        <v>30.4</v>
      </c>
      <c r="GI26" s="49">
        <v>50.5</v>
      </c>
      <c r="GJ26" s="49">
        <v>57.2</v>
      </c>
      <c r="GK26" s="49">
        <v>97</v>
      </c>
      <c r="GL26" s="48">
        <v>110.2</v>
      </c>
      <c r="GM26" s="49">
        <v>0</v>
      </c>
      <c r="GN26" s="48">
        <v>23.263000000000002</v>
      </c>
      <c r="GO26" s="48">
        <v>118.194</v>
      </c>
      <c r="GP26" s="49">
        <v>0</v>
      </c>
      <c r="GQ26" s="49">
        <v>5.9</v>
      </c>
      <c r="GR26" s="49">
        <v>0</v>
      </c>
      <c r="GS26" s="49">
        <v>4.484</v>
      </c>
      <c r="GT26" s="49">
        <v>0</v>
      </c>
      <c r="GU26" s="49">
        <v>6.1360000000000001</v>
      </c>
      <c r="GV26" s="49">
        <v>0</v>
      </c>
      <c r="GW26" s="48">
        <v>6.0000000000000001E-3</v>
      </c>
      <c r="GX26" s="48">
        <v>19.501999999999999</v>
      </c>
      <c r="GY26" s="49">
        <v>0</v>
      </c>
      <c r="GZ26" s="48">
        <v>12.356</v>
      </c>
      <c r="HA26" s="49">
        <v>21.07</v>
      </c>
      <c r="HB26" s="48">
        <v>0</v>
      </c>
      <c r="HC26" s="48">
        <v>33.271999999999998</v>
      </c>
      <c r="HD26" s="49">
        <v>90</v>
      </c>
      <c r="HE26" s="49">
        <v>0</v>
      </c>
      <c r="HF26" s="49">
        <v>0</v>
      </c>
      <c r="HG26" s="48">
        <v>71.62</v>
      </c>
      <c r="HH26" s="48">
        <v>79.69</v>
      </c>
      <c r="HI26" s="49">
        <v>0</v>
      </c>
      <c r="HJ26" s="49">
        <v>0</v>
      </c>
      <c r="HK26" s="49">
        <v>0</v>
      </c>
      <c r="HL26" s="48">
        <v>59</v>
      </c>
      <c r="HM26" s="48">
        <v>50</v>
      </c>
      <c r="HN26" s="49">
        <v>65</v>
      </c>
      <c r="HO26" s="49">
        <v>58</v>
      </c>
      <c r="HP26" s="49">
        <v>62</v>
      </c>
      <c r="HQ26" s="49">
        <v>59</v>
      </c>
      <c r="HR26" s="49">
        <v>55</v>
      </c>
      <c r="HS26" s="48">
        <v>60</v>
      </c>
      <c r="HT26" s="48">
        <v>-1.4384999999999999</v>
      </c>
      <c r="HU26" s="49">
        <v>0</v>
      </c>
      <c r="HV26" s="48">
        <v>0.114</v>
      </c>
      <c r="HW26" s="48">
        <v>40.64</v>
      </c>
      <c r="HX26" s="49">
        <v>42.68</v>
      </c>
      <c r="HY26" s="3"/>
      <c r="HZ26" s="3"/>
      <c r="IA26" s="48">
        <v>2.8679999999999999</v>
      </c>
      <c r="IB26" s="48">
        <v>95</v>
      </c>
      <c r="IC26" s="48">
        <v>15.797000000000001</v>
      </c>
      <c r="ID26" s="49">
        <v>-4.5999999999999999E-2</v>
      </c>
      <c r="IE26" s="49">
        <v>-2.5999999999999999E-2</v>
      </c>
      <c r="IF26" s="48">
        <v>804.6</v>
      </c>
      <c r="IG26" s="48">
        <v>560.79999999999995</v>
      </c>
      <c r="IH26" s="48">
        <v>812.3</v>
      </c>
      <c r="II26" s="48">
        <v>584.6</v>
      </c>
      <c r="IJ26" s="48">
        <v>-1.4999999999999999E-2</v>
      </c>
      <c r="IK26" s="48">
        <v>4.0000000000000001E-3</v>
      </c>
      <c r="IL26" s="49">
        <v>393.89100000000002</v>
      </c>
      <c r="IM26" s="49">
        <v>393.89100000000002</v>
      </c>
      <c r="IN26" s="49">
        <v>23.931000000000001</v>
      </c>
      <c r="IO26" s="48">
        <v>0.129</v>
      </c>
      <c r="IP26" s="48">
        <v>9.27</v>
      </c>
      <c r="IQ26" s="48">
        <v>0</v>
      </c>
      <c r="IR26" s="48">
        <v>0</v>
      </c>
      <c r="IS26">
        <v>0.28000000000000003</v>
      </c>
      <c r="IT26">
        <v>0.14200000000000004</v>
      </c>
    </row>
    <row r="27" spans="1:254" x14ac:dyDescent="0.25">
      <c r="A27" s="6" t="s">
        <v>48</v>
      </c>
      <c r="IS27">
        <v>0.28000000000000003</v>
      </c>
      <c r="IT27">
        <v>0.14200000000000004</v>
      </c>
    </row>
    <row r="28" spans="1:254" x14ac:dyDescent="0.25">
      <c r="IS28">
        <v>0.28000000000000003</v>
      </c>
      <c r="IT28">
        <v>0.14200000000000004</v>
      </c>
    </row>
    <row r="29" spans="1:254" x14ac:dyDescent="0.25">
      <c r="IS29">
        <v>0.28000000000000003</v>
      </c>
      <c r="IT29">
        <v>0.14200000000000004</v>
      </c>
    </row>
    <row r="30" spans="1:254" x14ac:dyDescent="0.25">
      <c r="B30" s="2" t="s">
        <v>409</v>
      </c>
      <c r="C30" s="2" t="s">
        <v>41</v>
      </c>
      <c r="D30" s="57">
        <v>4.3629629629629635E-3</v>
      </c>
      <c r="E30" s="49">
        <v>376.96100000000001</v>
      </c>
      <c r="F30" s="48">
        <v>329.19</v>
      </c>
      <c r="G30" s="48">
        <v>5.73</v>
      </c>
      <c r="H30" s="48">
        <v>24.9</v>
      </c>
      <c r="I30" s="49">
        <v>0.42</v>
      </c>
      <c r="J30" s="49">
        <v>153.4</v>
      </c>
      <c r="K30" s="49">
        <v>6</v>
      </c>
      <c r="L30" s="49">
        <v>6</v>
      </c>
      <c r="M30" s="49">
        <v>7</v>
      </c>
      <c r="N30" s="48">
        <v>2</v>
      </c>
      <c r="O30" s="49">
        <v>3</v>
      </c>
      <c r="P30" s="49">
        <v>0.92100000000000004</v>
      </c>
      <c r="Q30" s="49">
        <v>1.605</v>
      </c>
      <c r="R30" s="49">
        <v>0.91700000000000004</v>
      </c>
      <c r="S30" s="48">
        <v>0.65300000000000002</v>
      </c>
      <c r="T30" s="48">
        <v>76.14</v>
      </c>
      <c r="U30" s="49">
        <v>60.688000000000002</v>
      </c>
      <c r="V30" s="49">
        <v>70</v>
      </c>
      <c r="W30" s="49">
        <v>40</v>
      </c>
      <c r="X30" s="49">
        <v>80</v>
      </c>
      <c r="Y30" s="49">
        <v>90</v>
      </c>
      <c r="Z30" s="48">
        <v>241.73</v>
      </c>
      <c r="AA30" s="48">
        <v>247.09</v>
      </c>
      <c r="AB30" s="48">
        <v>193.97</v>
      </c>
      <c r="AC30" s="48">
        <v>236.91</v>
      </c>
      <c r="AD30" s="49">
        <v>1.9810000000000001</v>
      </c>
      <c r="AE30" s="49">
        <v>2.085</v>
      </c>
      <c r="AF30" s="49">
        <v>1.992</v>
      </c>
      <c r="AG30" s="49">
        <v>2.0659999999999998</v>
      </c>
      <c r="AH30" s="48">
        <v>76.36</v>
      </c>
      <c r="AI30" s="49">
        <v>71.739999999999995</v>
      </c>
      <c r="AJ30" s="48">
        <v>82.88</v>
      </c>
      <c r="AK30" s="48">
        <v>79.64</v>
      </c>
      <c r="AL30" s="48">
        <v>657.02800000000002</v>
      </c>
      <c r="AM30" s="48">
        <v>678.52300000000002</v>
      </c>
      <c r="AN30" s="48">
        <v>821.54499999999996</v>
      </c>
      <c r="AO30" s="48">
        <v>802.91099999999994</v>
      </c>
      <c r="AP30" s="49">
        <v>1.4339999999999999</v>
      </c>
      <c r="AQ30" s="49">
        <v>1.9119999999999999</v>
      </c>
      <c r="AR30" s="49">
        <v>42.494999999999997</v>
      </c>
      <c r="AS30" s="48">
        <v>37.665999999999997</v>
      </c>
      <c r="AT30" s="48">
        <v>82</v>
      </c>
      <c r="AU30" s="48">
        <v>100</v>
      </c>
      <c r="AV30" s="48">
        <v>1.8109999999999999</v>
      </c>
      <c r="AW30" s="49">
        <v>4.8564999999999996</v>
      </c>
      <c r="AX30" s="48">
        <v>1014.2</v>
      </c>
      <c r="AY30" s="49">
        <v>2.54</v>
      </c>
      <c r="AZ30" s="49">
        <v>4.46</v>
      </c>
      <c r="BA30" s="49">
        <v>66.8</v>
      </c>
      <c r="BB30" s="49">
        <v>67.5</v>
      </c>
      <c r="BC30" s="48">
        <v>7632</v>
      </c>
      <c r="BD30" s="48">
        <v>88</v>
      </c>
      <c r="BE30" s="48">
        <v>15.35</v>
      </c>
      <c r="BF30" s="48">
        <v>12.68</v>
      </c>
      <c r="BG30" s="48">
        <v>29.01</v>
      </c>
      <c r="BH30" s="48">
        <v>28.42</v>
      </c>
      <c r="BI30" s="49">
        <v>66.158000000000001</v>
      </c>
      <c r="BJ30" s="48">
        <v>79.459000000000003</v>
      </c>
      <c r="BK30" s="49">
        <v>64.751000000000005</v>
      </c>
      <c r="BL30" s="49">
        <v>77.349999999999994</v>
      </c>
      <c r="BM30" s="48">
        <v>77.313999999999993</v>
      </c>
      <c r="BN30" s="48">
        <v>80.391999999999996</v>
      </c>
      <c r="BO30" s="48">
        <v>80.087999999999994</v>
      </c>
      <c r="BP30" s="48">
        <v>96.936000000000007</v>
      </c>
      <c r="BQ30" s="48">
        <v>100.84</v>
      </c>
      <c r="BR30" s="48">
        <v>57.597999999999999</v>
      </c>
      <c r="BS30" s="48">
        <v>24.4</v>
      </c>
      <c r="BT30" s="48">
        <v>7168.4139999999998</v>
      </c>
      <c r="BU30" s="48">
        <v>46.981000000000002</v>
      </c>
      <c r="BV30" s="49">
        <v>52.865000000000002</v>
      </c>
      <c r="BW30" s="49">
        <v>53.101999999999997</v>
      </c>
      <c r="BX30" s="48">
        <v>54.655000000000001</v>
      </c>
      <c r="BY30" s="49">
        <v>1.623</v>
      </c>
      <c r="BZ30" s="48">
        <v>3.0209999999999999</v>
      </c>
      <c r="CA30" s="48">
        <v>3.4980000000000002</v>
      </c>
      <c r="CB30" s="48">
        <v>3.714</v>
      </c>
      <c r="CC30" s="48">
        <v>1.177</v>
      </c>
      <c r="CD30" s="48">
        <v>2.3439999999999999</v>
      </c>
      <c r="CE30" s="49">
        <v>1.397</v>
      </c>
      <c r="CF30" s="48">
        <v>2.1179999999999999</v>
      </c>
      <c r="CG30" s="48">
        <v>13.57</v>
      </c>
      <c r="CH30" s="49">
        <v>9.9160000000000004</v>
      </c>
      <c r="CI30" s="49">
        <v>4.7690000000000001</v>
      </c>
      <c r="CJ30" s="48">
        <v>3.544</v>
      </c>
      <c r="CK30" s="48">
        <v>1.29</v>
      </c>
      <c r="CL30" s="48">
        <v>0</v>
      </c>
      <c r="CM30" s="48">
        <v>0.1</v>
      </c>
      <c r="CN30" s="49">
        <v>0</v>
      </c>
      <c r="CO30" s="49">
        <v>0</v>
      </c>
      <c r="CP30" s="48">
        <v>60.435000000000002</v>
      </c>
      <c r="CQ30" s="48">
        <v>61.542999999999999</v>
      </c>
      <c r="CR30" s="48">
        <v>71.962999999999994</v>
      </c>
      <c r="CS30" s="48">
        <v>73.867000000000004</v>
      </c>
      <c r="CT30" s="49">
        <v>0.34</v>
      </c>
      <c r="CU30" s="49">
        <v>1.099</v>
      </c>
      <c r="CV30" s="48">
        <v>1.599</v>
      </c>
      <c r="CW30" s="49">
        <v>1.202</v>
      </c>
      <c r="CX30" s="48">
        <v>1.4</v>
      </c>
      <c r="CY30" s="48">
        <v>0.2</v>
      </c>
      <c r="CZ30" s="49">
        <v>1.3009999999999999</v>
      </c>
      <c r="DA30" s="48">
        <v>0.70099999999999996</v>
      </c>
      <c r="DB30" s="48">
        <v>1.798</v>
      </c>
      <c r="DC30" s="49">
        <v>0</v>
      </c>
      <c r="DD30" s="49">
        <v>0</v>
      </c>
      <c r="DE30" s="49">
        <v>0.32800000000000001</v>
      </c>
      <c r="DF30" s="49">
        <v>0.11</v>
      </c>
      <c r="DG30" s="48">
        <v>0.33700000000000002</v>
      </c>
      <c r="DH30" s="48">
        <v>1.889</v>
      </c>
      <c r="DI30" s="49">
        <v>1.357</v>
      </c>
      <c r="DJ30" s="49">
        <v>0.312</v>
      </c>
      <c r="DK30" s="49">
        <v>0.98699999999999999</v>
      </c>
      <c r="DL30" s="49">
        <v>0.41799999999999998</v>
      </c>
      <c r="DM30" s="48">
        <v>0.47699999999999998</v>
      </c>
      <c r="DN30" s="48">
        <v>0.45700000000000002</v>
      </c>
      <c r="DO30" s="48">
        <v>0.35899999999999999</v>
      </c>
      <c r="DP30" s="48">
        <v>65.486000000000004</v>
      </c>
      <c r="DQ30" s="48">
        <v>59.42</v>
      </c>
      <c r="DR30" s="48">
        <v>53.856999999999999</v>
      </c>
      <c r="DS30" s="48">
        <v>49.819000000000003</v>
      </c>
      <c r="DT30" s="48">
        <v>3.31</v>
      </c>
      <c r="DU30" s="48">
        <v>3.47</v>
      </c>
      <c r="DV30" s="48">
        <v>5.98</v>
      </c>
      <c r="DW30" s="48">
        <v>4.91</v>
      </c>
      <c r="DX30" s="48">
        <v>3.51</v>
      </c>
      <c r="DY30" s="48">
        <v>3.4</v>
      </c>
      <c r="DZ30" s="48">
        <v>5.61</v>
      </c>
      <c r="EA30" s="48">
        <v>4.74</v>
      </c>
      <c r="EB30" s="48">
        <v>27.12</v>
      </c>
      <c r="EC30" s="48">
        <v>26.31</v>
      </c>
      <c r="ED30" s="48">
        <v>22.82</v>
      </c>
      <c r="EE30" s="48">
        <v>24.69</v>
      </c>
      <c r="EF30" s="49">
        <v>66.06</v>
      </c>
      <c r="EG30" s="49">
        <v>66.819999999999993</v>
      </c>
      <c r="EH30" s="49">
        <v>65.58</v>
      </c>
      <c r="EI30" s="49">
        <v>65.66</v>
      </c>
      <c r="EJ30" s="48">
        <v>6.0510000000000002</v>
      </c>
      <c r="EK30" s="48">
        <v>61.331000000000003</v>
      </c>
      <c r="EL30" s="48">
        <v>2.2999999999999998</v>
      </c>
      <c r="EM30" s="49">
        <v>1.8</v>
      </c>
      <c r="EN30" s="48">
        <v>1.19</v>
      </c>
      <c r="EO30" s="49">
        <v>1.2</v>
      </c>
      <c r="EP30" s="48">
        <v>-96.001999999999995</v>
      </c>
      <c r="EQ30" s="49">
        <v>-1.177</v>
      </c>
      <c r="ER30" s="48">
        <v>93.506</v>
      </c>
      <c r="ES30" s="48">
        <v>1.423</v>
      </c>
      <c r="ET30" s="48">
        <v>1.472</v>
      </c>
      <c r="EU30" s="48">
        <v>1.3859999999999999</v>
      </c>
      <c r="EV30" s="49">
        <v>7.9329999999999998</v>
      </c>
      <c r="EW30" s="48">
        <v>3.5670000000000002</v>
      </c>
      <c r="EX30" s="48">
        <v>-250.82</v>
      </c>
      <c r="EY30" s="49">
        <v>0.98</v>
      </c>
      <c r="EZ30" s="48">
        <v>0</v>
      </c>
      <c r="FA30" s="49">
        <v>0</v>
      </c>
      <c r="FB30" s="48">
        <v>8.08</v>
      </c>
      <c r="FC30" s="49">
        <v>86.897000000000006</v>
      </c>
      <c r="FD30" s="49">
        <v>86.981999999999999</v>
      </c>
      <c r="FE30" s="49">
        <v>85.97</v>
      </c>
      <c r="FF30" s="49">
        <v>83.757000000000005</v>
      </c>
      <c r="FG30" s="48">
        <v>0.93500000000000005</v>
      </c>
      <c r="FH30" s="49">
        <v>0.93500000000000005</v>
      </c>
      <c r="FI30" s="49">
        <v>1.0029999999999999</v>
      </c>
      <c r="FJ30" s="49">
        <v>1.0049999999999999</v>
      </c>
      <c r="FK30" s="49">
        <v>0.30299999999999999</v>
      </c>
      <c r="FL30" s="48">
        <v>82</v>
      </c>
      <c r="FM30" s="48">
        <v>3.8</v>
      </c>
      <c r="FN30" s="49">
        <v>-0.22</v>
      </c>
      <c r="FO30" s="48">
        <v>4.34</v>
      </c>
      <c r="FP30" s="48">
        <v>4.5</v>
      </c>
      <c r="FQ30" s="49">
        <v>0.45</v>
      </c>
      <c r="FR30" s="48">
        <v>5.0999999999999996</v>
      </c>
      <c r="FS30" s="48">
        <v>6.4335000000000004</v>
      </c>
      <c r="FT30" s="48">
        <v>1071.4000000000001</v>
      </c>
      <c r="FU30" s="48">
        <v>6.51</v>
      </c>
      <c r="FV30" s="48">
        <v>5.73</v>
      </c>
      <c r="FW30" s="49">
        <v>3204</v>
      </c>
      <c r="FX30" s="48">
        <v>159900</v>
      </c>
      <c r="FY30" s="48">
        <v>160700</v>
      </c>
      <c r="FZ30" s="49">
        <v>47.633000000000003</v>
      </c>
      <c r="GA30" s="49">
        <v>48.204000000000001</v>
      </c>
      <c r="GB30" s="48">
        <v>2131.5</v>
      </c>
      <c r="GC30" s="48">
        <v>2136.3000000000002</v>
      </c>
      <c r="GD30" s="48">
        <v>2155.4</v>
      </c>
      <c r="GE30" s="48">
        <v>2155.6</v>
      </c>
      <c r="GF30" s="48">
        <v>1394.2655999999999</v>
      </c>
      <c r="GG30" s="49">
        <v>32</v>
      </c>
      <c r="GH30" s="49">
        <v>31.7</v>
      </c>
      <c r="GI30" s="49">
        <v>63</v>
      </c>
      <c r="GJ30" s="49">
        <v>68.099999999999994</v>
      </c>
      <c r="GK30" s="49">
        <v>95.5</v>
      </c>
      <c r="GL30" s="48">
        <v>109.9</v>
      </c>
      <c r="GM30" s="49">
        <v>0</v>
      </c>
      <c r="GN30" s="49">
        <v>24.936</v>
      </c>
      <c r="GO30" s="48">
        <v>96.001999999999995</v>
      </c>
      <c r="GP30" s="49">
        <v>0</v>
      </c>
      <c r="GQ30" s="49">
        <v>3.9529999999999998</v>
      </c>
      <c r="GR30" s="49">
        <v>0</v>
      </c>
      <c r="GS30" s="49">
        <v>4.72</v>
      </c>
      <c r="GT30" s="49">
        <v>0</v>
      </c>
      <c r="GU30" s="49">
        <v>3.8940000000000001</v>
      </c>
      <c r="GV30" s="49">
        <v>0</v>
      </c>
      <c r="GW30" s="49">
        <v>1.0999999999999999E-2</v>
      </c>
      <c r="GX30" s="49">
        <v>19.501999999999999</v>
      </c>
      <c r="GY30" s="49">
        <v>0</v>
      </c>
      <c r="GZ30" s="48">
        <v>12.454000000000001</v>
      </c>
      <c r="HA30" s="49">
        <v>19.600000000000001</v>
      </c>
      <c r="HB30" s="49">
        <v>1</v>
      </c>
      <c r="HC30" s="49">
        <v>38.941000000000003</v>
      </c>
      <c r="HD30" s="49">
        <v>86</v>
      </c>
      <c r="HE30" s="49">
        <v>0</v>
      </c>
      <c r="HF30" s="49">
        <v>0</v>
      </c>
      <c r="HG30" s="49">
        <v>88.04</v>
      </c>
      <c r="HH30" s="49">
        <v>77.650000000000006</v>
      </c>
      <c r="HI30" s="49">
        <v>0</v>
      </c>
      <c r="HJ30" s="49">
        <v>0</v>
      </c>
      <c r="HK30" s="49">
        <v>0</v>
      </c>
      <c r="HL30" s="49">
        <v>62</v>
      </c>
      <c r="HM30" s="49">
        <v>51</v>
      </c>
      <c r="HN30" s="48">
        <v>64</v>
      </c>
      <c r="HO30" s="48">
        <v>56</v>
      </c>
      <c r="HP30" s="48">
        <v>59</v>
      </c>
      <c r="HQ30" s="48">
        <v>57</v>
      </c>
      <c r="HR30" s="49">
        <v>55</v>
      </c>
      <c r="HS30" s="48">
        <v>58</v>
      </c>
      <c r="HT30" s="48">
        <v>-1.4444999999999999</v>
      </c>
      <c r="HU30" s="49">
        <v>0</v>
      </c>
      <c r="HV30" s="48">
        <v>0.497</v>
      </c>
      <c r="HW30" s="49">
        <v>36.85</v>
      </c>
      <c r="HX30" s="49">
        <v>42.22</v>
      </c>
      <c r="HY30" s="3"/>
      <c r="HZ30" s="3"/>
      <c r="IA30" s="48">
        <v>2.589</v>
      </c>
      <c r="IB30" s="48">
        <v>96</v>
      </c>
      <c r="IC30" s="48">
        <v>16.544</v>
      </c>
      <c r="ID30" s="49">
        <v>-0.34799999999999998</v>
      </c>
      <c r="IE30" s="48">
        <v>-0.193</v>
      </c>
      <c r="IF30" s="48">
        <v>801.3</v>
      </c>
      <c r="IG30" s="48">
        <v>668</v>
      </c>
      <c r="IH30" s="48">
        <v>809</v>
      </c>
      <c r="II30" s="48">
        <v>674.8</v>
      </c>
      <c r="IJ30" s="49">
        <v>-3.2000000000000001E-2</v>
      </c>
      <c r="IK30" s="48">
        <v>4.4999999999999998E-2</v>
      </c>
      <c r="IL30" s="49">
        <v>234.11799999999999</v>
      </c>
      <c r="IM30" s="49">
        <v>233.958</v>
      </c>
      <c r="IN30" s="48">
        <v>8.5009999999999994</v>
      </c>
      <c r="IO30" s="48">
        <v>0.249</v>
      </c>
      <c r="IP30" s="49">
        <v>9.16</v>
      </c>
      <c r="IQ30" s="49">
        <v>1.4999999999999999E-2</v>
      </c>
      <c r="IR30" s="48">
        <v>1E-3</v>
      </c>
      <c r="IS30">
        <v>0.28000000000000003</v>
      </c>
      <c r="IT30">
        <v>0.14200000000000004</v>
      </c>
    </row>
    <row r="31" spans="1:254" x14ac:dyDescent="0.25">
      <c r="B31" s="2" t="s">
        <v>409</v>
      </c>
      <c r="C31" s="2" t="s">
        <v>42</v>
      </c>
      <c r="D31" s="57">
        <v>2.4775462962962963E-3</v>
      </c>
      <c r="E31" s="48">
        <v>214.1</v>
      </c>
      <c r="F31" s="48">
        <v>333</v>
      </c>
      <c r="G31" s="48">
        <v>6.03</v>
      </c>
      <c r="H31" s="48">
        <v>25.4</v>
      </c>
      <c r="I31" s="48">
        <v>0</v>
      </c>
      <c r="J31" s="48">
        <v>12.9</v>
      </c>
      <c r="K31" s="49">
        <v>6</v>
      </c>
      <c r="L31" s="49">
        <v>6</v>
      </c>
      <c r="M31" s="49">
        <v>7</v>
      </c>
      <c r="N31" s="48">
        <v>2</v>
      </c>
      <c r="O31" s="49">
        <v>3</v>
      </c>
      <c r="P31" s="48">
        <v>0.754</v>
      </c>
      <c r="Q31" s="48">
        <v>1.337</v>
      </c>
      <c r="R31" s="48">
        <v>0.61699999999999999</v>
      </c>
      <c r="S31" s="49">
        <v>0.71099999999999997</v>
      </c>
      <c r="T31" s="48">
        <v>84.45</v>
      </c>
      <c r="U31" s="48">
        <v>60.088000000000001</v>
      </c>
      <c r="V31" s="48">
        <v>225</v>
      </c>
      <c r="W31" s="48">
        <v>245</v>
      </c>
      <c r="X31" s="48">
        <v>185</v>
      </c>
      <c r="Y31" s="48">
        <v>225</v>
      </c>
      <c r="Z31" s="49">
        <v>377.59</v>
      </c>
      <c r="AA31" s="49">
        <v>397.02</v>
      </c>
      <c r="AB31" s="49">
        <v>312.33999999999997</v>
      </c>
      <c r="AC31" s="49">
        <v>381.34</v>
      </c>
      <c r="AD31" s="48">
        <v>1.8069999999999999</v>
      </c>
      <c r="AE31" s="48">
        <v>1.8740000000000001</v>
      </c>
      <c r="AF31" s="48">
        <v>1.8460000000000001</v>
      </c>
      <c r="AG31" s="48">
        <v>1.9159999999999999</v>
      </c>
      <c r="AH31" s="48">
        <v>75.739999999999995</v>
      </c>
      <c r="AI31" s="48">
        <v>70.14</v>
      </c>
      <c r="AJ31" s="48">
        <v>103.83</v>
      </c>
      <c r="AK31" s="48">
        <v>103.79</v>
      </c>
      <c r="AL31" s="49">
        <v>702.18299999999999</v>
      </c>
      <c r="AM31" s="48">
        <v>678.93600000000004</v>
      </c>
      <c r="AN31" s="49">
        <v>937.13099999999997</v>
      </c>
      <c r="AO31" s="48">
        <v>845.59199999999998</v>
      </c>
      <c r="AP31" s="48">
        <v>1.4279999999999999</v>
      </c>
      <c r="AQ31" s="48">
        <v>1.9039999999999999</v>
      </c>
      <c r="AR31" s="48">
        <v>40.259</v>
      </c>
      <c r="AS31" s="48">
        <v>36.529000000000003</v>
      </c>
      <c r="AT31" s="49">
        <v>83</v>
      </c>
      <c r="AU31" s="48">
        <v>112</v>
      </c>
      <c r="AV31" s="48">
        <v>1.3839999999999999</v>
      </c>
      <c r="AW31" s="48">
        <v>4.7845000000000004</v>
      </c>
      <c r="AX31" s="48">
        <v>1015.9</v>
      </c>
      <c r="AY31" s="48">
        <v>2.4500000000000002</v>
      </c>
      <c r="AZ31" s="48">
        <v>4.87</v>
      </c>
      <c r="BA31" s="48">
        <v>69.813999999999993</v>
      </c>
      <c r="BB31" s="48">
        <v>69.096999999999994</v>
      </c>
      <c r="BC31" s="48">
        <v>7734</v>
      </c>
      <c r="BD31" s="48">
        <v>88.25</v>
      </c>
      <c r="BE31" s="49">
        <v>16.684999999999999</v>
      </c>
      <c r="BF31" s="48">
        <v>11.715</v>
      </c>
      <c r="BG31" s="48">
        <v>29.09</v>
      </c>
      <c r="BH31" s="48">
        <v>28.46</v>
      </c>
      <c r="BI31" s="3"/>
      <c r="BJ31" s="3"/>
      <c r="BK31" s="3"/>
      <c r="BL31" s="3"/>
      <c r="BM31" s="3"/>
      <c r="BN31" s="48">
        <v>95.671999999999997</v>
      </c>
      <c r="BO31" s="48">
        <v>95.896000000000001</v>
      </c>
      <c r="BP31" s="48">
        <v>124.84</v>
      </c>
      <c r="BQ31" s="48">
        <v>129.08000000000001</v>
      </c>
      <c r="BR31" s="3"/>
      <c r="BS31" s="48">
        <v>25.1</v>
      </c>
      <c r="BT31" s="48">
        <v>7328.8860000000004</v>
      </c>
      <c r="BU31" s="49">
        <v>49.433</v>
      </c>
      <c r="BV31" s="48">
        <v>52.183</v>
      </c>
      <c r="BW31" s="48">
        <v>52.107999999999997</v>
      </c>
      <c r="BX31" s="49">
        <v>55.768000000000001</v>
      </c>
      <c r="BY31" s="48">
        <v>1.399</v>
      </c>
      <c r="BZ31" s="48">
        <v>3.0209999999999999</v>
      </c>
      <c r="CA31" s="48">
        <v>3.8879999999999999</v>
      </c>
      <c r="CB31" s="49">
        <v>4.0949999999999998</v>
      </c>
      <c r="CC31" s="49">
        <v>1.3380000000000001</v>
      </c>
      <c r="CD31" s="49">
        <v>2.4300000000000002</v>
      </c>
      <c r="CE31" s="48">
        <v>1.371</v>
      </c>
      <c r="CF31" s="49">
        <v>2.25</v>
      </c>
      <c r="CG31" s="48">
        <v>13.733000000000001</v>
      </c>
      <c r="CH31" s="48">
        <v>13.6</v>
      </c>
      <c r="CI31" s="48">
        <v>4.5410000000000004</v>
      </c>
      <c r="CJ31" s="49">
        <v>3.7280000000000002</v>
      </c>
      <c r="CK31" s="49">
        <v>1.659</v>
      </c>
      <c r="CL31" s="48">
        <v>0</v>
      </c>
      <c r="CM31" s="48">
        <v>0.1</v>
      </c>
      <c r="CN31" s="49">
        <v>0</v>
      </c>
      <c r="CO31" s="49">
        <v>0</v>
      </c>
      <c r="CP31" s="48">
        <v>86.918999999999997</v>
      </c>
      <c r="CQ31" s="48">
        <v>88.278999999999996</v>
      </c>
      <c r="CR31" s="48">
        <v>110.631</v>
      </c>
      <c r="CS31" s="48">
        <v>116.056</v>
      </c>
      <c r="CT31" s="48">
        <v>0.28599999999999998</v>
      </c>
      <c r="CU31" s="49">
        <v>1.099</v>
      </c>
      <c r="CV31" s="48">
        <v>1.2</v>
      </c>
      <c r="CW31" s="48">
        <v>1.2010000000000001</v>
      </c>
      <c r="CX31" s="48">
        <v>1.4</v>
      </c>
      <c r="CY31" s="48">
        <v>0.499</v>
      </c>
      <c r="CZ31" s="48">
        <v>1.0980000000000001</v>
      </c>
      <c r="DA31" s="48">
        <v>0.4</v>
      </c>
      <c r="DB31" s="49">
        <v>2.2010000000000001</v>
      </c>
      <c r="DC31" s="49">
        <v>0</v>
      </c>
      <c r="DD31" s="49">
        <v>0</v>
      </c>
      <c r="DE31" s="48">
        <v>0.26</v>
      </c>
      <c r="DF31" s="48">
        <v>7.9000000000000001E-2</v>
      </c>
      <c r="DG31" s="49">
        <v>0.81</v>
      </c>
      <c r="DH31" s="49">
        <v>2.0390000000000001</v>
      </c>
      <c r="DI31" s="49">
        <v>1.357</v>
      </c>
      <c r="DJ31" s="48">
        <v>0.249</v>
      </c>
      <c r="DK31" s="48">
        <v>0.84099999999999997</v>
      </c>
      <c r="DL31" s="48">
        <v>0.41499999999999998</v>
      </c>
      <c r="DM31" s="49">
        <v>0.51100000000000001</v>
      </c>
      <c r="DN31" s="49">
        <v>0.65500000000000003</v>
      </c>
      <c r="DO31" s="49">
        <v>0.433</v>
      </c>
      <c r="DP31" s="48">
        <v>64.882999999999996</v>
      </c>
      <c r="DQ31" s="48">
        <v>59.253</v>
      </c>
      <c r="DR31" s="48">
        <v>54.563000000000002</v>
      </c>
      <c r="DS31" s="48">
        <v>50.368000000000002</v>
      </c>
      <c r="DT31" s="48">
        <v>6.53</v>
      </c>
      <c r="DU31" s="48">
        <v>6.34</v>
      </c>
      <c r="DV31" s="48">
        <v>11.92</v>
      </c>
      <c r="DW31" s="48">
        <v>9.3699999999999992</v>
      </c>
      <c r="DX31" s="48">
        <v>7.04</v>
      </c>
      <c r="DY31" s="48">
        <v>6.64</v>
      </c>
      <c r="DZ31" s="48">
        <v>11.37</v>
      </c>
      <c r="EA31" s="48">
        <v>8.99</v>
      </c>
      <c r="EB31" s="49">
        <v>42.71</v>
      </c>
      <c r="EC31" s="49">
        <v>42.31</v>
      </c>
      <c r="ED31" s="49">
        <v>34.54</v>
      </c>
      <c r="EE31" s="49">
        <v>37.79</v>
      </c>
      <c r="EF31" s="48">
        <v>43.72</v>
      </c>
      <c r="EG31" s="48">
        <v>44.7</v>
      </c>
      <c r="EH31" s="48">
        <v>42.17</v>
      </c>
      <c r="EI31" s="48">
        <v>43.86</v>
      </c>
      <c r="EJ31" s="48">
        <v>6.6420000000000003</v>
      </c>
      <c r="EK31" s="48">
        <v>62.902999999999999</v>
      </c>
      <c r="EL31" s="48">
        <v>2.25</v>
      </c>
      <c r="EM31" s="48">
        <v>1.9</v>
      </c>
      <c r="EN31" s="48">
        <v>1.17</v>
      </c>
      <c r="EO31" s="48">
        <v>1.18</v>
      </c>
      <c r="EP31" s="48">
        <v>-97.754000000000005</v>
      </c>
      <c r="EQ31" s="48">
        <v>-2.38</v>
      </c>
      <c r="ER31" s="48">
        <v>95.841999999999999</v>
      </c>
      <c r="ES31" s="49">
        <v>1.5209999999999999</v>
      </c>
      <c r="ET31" s="48">
        <v>1.61</v>
      </c>
      <c r="EU31" s="49">
        <v>1.4670000000000001</v>
      </c>
      <c r="EV31" s="48">
        <v>7.9279999999999999</v>
      </c>
      <c r="EW31" s="49">
        <v>3.6539999999999999</v>
      </c>
      <c r="EX31" s="48">
        <v>73.66</v>
      </c>
      <c r="EY31" s="48">
        <v>0</v>
      </c>
      <c r="EZ31" s="48">
        <v>0</v>
      </c>
      <c r="FA31" s="49">
        <v>0</v>
      </c>
      <c r="FB31" s="48">
        <v>8.9469999999999992</v>
      </c>
      <c r="FC31" s="48">
        <v>72.39</v>
      </c>
      <c r="FD31" s="48">
        <v>69.539000000000001</v>
      </c>
      <c r="FE31" s="48">
        <v>80.549000000000007</v>
      </c>
      <c r="FF31" s="48">
        <v>78.122</v>
      </c>
      <c r="FG31" s="48">
        <v>0.91300000000000003</v>
      </c>
      <c r="FH31" s="48">
        <v>0.91300000000000003</v>
      </c>
      <c r="FI31" s="48">
        <v>0.995</v>
      </c>
      <c r="FJ31" s="48">
        <v>1</v>
      </c>
      <c r="FK31" s="48">
        <v>0</v>
      </c>
      <c r="FL31" s="49">
        <v>83</v>
      </c>
      <c r="FM31" s="48">
        <v>3.92</v>
      </c>
      <c r="FN31" s="48">
        <v>1.33</v>
      </c>
      <c r="FO31" s="48">
        <v>4.9800000000000004</v>
      </c>
      <c r="FP31" s="3"/>
      <c r="FQ31" s="48">
        <v>4.55</v>
      </c>
      <c r="FR31" s="48">
        <v>5</v>
      </c>
      <c r="FS31" s="49">
        <v>6.6040000000000001</v>
      </c>
      <c r="FT31" s="48">
        <v>1075.8</v>
      </c>
      <c r="FU31" s="48">
        <v>6.09</v>
      </c>
      <c r="FV31" s="48">
        <v>11.76</v>
      </c>
      <c r="FW31" s="48">
        <v>3014</v>
      </c>
      <c r="FX31" s="49">
        <v>163600</v>
      </c>
      <c r="FY31" s="48">
        <v>163600</v>
      </c>
      <c r="FZ31" s="48">
        <v>47.302</v>
      </c>
      <c r="GA31" s="48">
        <v>47.9</v>
      </c>
      <c r="GB31" s="48">
        <v>2166.1</v>
      </c>
      <c r="GC31" s="49">
        <v>2167.5</v>
      </c>
      <c r="GD31" s="48">
        <v>2295.4</v>
      </c>
      <c r="GE31" s="48">
        <v>2219.1999999999998</v>
      </c>
      <c r="GF31" s="48">
        <v>1329.7344000000001</v>
      </c>
      <c r="GG31" s="48">
        <v>29</v>
      </c>
      <c r="GH31" s="48">
        <v>29.3</v>
      </c>
      <c r="GI31" s="48">
        <v>48</v>
      </c>
      <c r="GJ31" s="48">
        <v>53.6</v>
      </c>
      <c r="GK31" s="48">
        <v>99.5</v>
      </c>
      <c r="GL31" s="48">
        <v>109.8</v>
      </c>
      <c r="GM31" s="49">
        <v>0</v>
      </c>
      <c r="GN31" s="48">
        <v>23.864000000000001</v>
      </c>
      <c r="GO31" s="48">
        <v>97.754000000000005</v>
      </c>
      <c r="GP31" s="48">
        <v>1.0029999999999999</v>
      </c>
      <c r="GQ31" s="48">
        <v>1.8879999999999999</v>
      </c>
      <c r="GR31" s="48">
        <v>1.298</v>
      </c>
      <c r="GS31" s="48">
        <v>2.0059999999999998</v>
      </c>
      <c r="GT31" s="48">
        <v>0.82599999999999996</v>
      </c>
      <c r="GU31" s="48">
        <v>1.829</v>
      </c>
      <c r="GV31" s="49">
        <v>0</v>
      </c>
      <c r="GW31" s="48">
        <v>0</v>
      </c>
      <c r="GX31" s="48">
        <v>0</v>
      </c>
      <c r="GY31" s="48">
        <v>11.956</v>
      </c>
      <c r="GZ31" s="49">
        <v>13.557</v>
      </c>
      <c r="HA31" s="48">
        <v>15.778</v>
      </c>
      <c r="HB31" s="48">
        <v>0</v>
      </c>
      <c r="HC31" s="48">
        <v>36.207000000000001</v>
      </c>
      <c r="HD31" s="48">
        <v>78</v>
      </c>
      <c r="HE31" s="49">
        <v>0</v>
      </c>
      <c r="HF31" s="49">
        <v>0</v>
      </c>
      <c r="HG31" s="48">
        <v>72.260000000000005</v>
      </c>
      <c r="HH31" s="48">
        <v>77.13</v>
      </c>
      <c r="HI31" s="49">
        <v>0</v>
      </c>
      <c r="HJ31" s="49">
        <v>0</v>
      </c>
      <c r="HK31" s="49">
        <v>0</v>
      </c>
      <c r="HL31" s="48">
        <v>55</v>
      </c>
      <c r="HM31" s="49">
        <v>51</v>
      </c>
      <c r="HN31" s="48">
        <v>64</v>
      </c>
      <c r="HO31" s="48">
        <v>57</v>
      </c>
      <c r="HP31" s="48">
        <v>60</v>
      </c>
      <c r="HQ31" s="49">
        <v>59</v>
      </c>
      <c r="HR31" s="48">
        <v>54</v>
      </c>
      <c r="HS31" s="48">
        <v>62</v>
      </c>
      <c r="HT31" s="48">
        <v>-1.454</v>
      </c>
      <c r="HU31" s="49">
        <v>0</v>
      </c>
      <c r="HV31" s="48">
        <v>1.206</v>
      </c>
      <c r="HW31" s="49">
        <v>36.85</v>
      </c>
      <c r="HX31" s="49">
        <v>42.22</v>
      </c>
      <c r="HY31" s="49">
        <v>51.09</v>
      </c>
      <c r="HZ31" s="49">
        <v>51.09</v>
      </c>
      <c r="IA31" s="48">
        <v>2.7890000000000001</v>
      </c>
      <c r="IB31" s="48">
        <v>103</v>
      </c>
      <c r="IC31" s="48">
        <v>22.102</v>
      </c>
      <c r="ID31" s="48">
        <v>-0.50700000000000001</v>
      </c>
      <c r="IE31" s="48">
        <v>-0.26600000000000001</v>
      </c>
      <c r="IF31" s="48">
        <v>805.5</v>
      </c>
      <c r="IG31" s="49">
        <v>764.5</v>
      </c>
      <c r="IH31" s="48">
        <v>817.1</v>
      </c>
      <c r="II31" s="49">
        <v>775.6</v>
      </c>
      <c r="IJ31" s="48">
        <v>-0.06</v>
      </c>
      <c r="IK31" s="48">
        <v>4.9000000000000002E-2</v>
      </c>
      <c r="IL31" s="48">
        <v>72.873999999999995</v>
      </c>
      <c r="IM31" s="48">
        <v>72.873999999999995</v>
      </c>
      <c r="IN31" s="48">
        <v>11.125</v>
      </c>
      <c r="IO31" s="48">
        <v>0.442</v>
      </c>
      <c r="IP31" s="48">
        <v>8.84</v>
      </c>
      <c r="IQ31" s="48">
        <v>1.2E-2</v>
      </c>
      <c r="IR31" s="48">
        <v>0</v>
      </c>
      <c r="IS31">
        <v>0.29200000000000004</v>
      </c>
      <c r="IT31">
        <v>0.14200000000000004</v>
      </c>
    </row>
    <row r="32" spans="1:254" x14ac:dyDescent="0.25">
      <c r="B32" s="2" t="s">
        <v>409</v>
      </c>
      <c r="C32" s="58" t="s">
        <v>43</v>
      </c>
      <c r="D32" s="59">
        <v>2.4431712962962962E-3</v>
      </c>
      <c r="E32" s="48">
        <v>211.13</v>
      </c>
      <c r="F32" s="48">
        <v>330.24</v>
      </c>
      <c r="G32" s="49">
        <v>6.04</v>
      </c>
      <c r="H32" s="48">
        <v>25.7</v>
      </c>
      <c r="I32" s="48">
        <v>0</v>
      </c>
      <c r="J32" s="48">
        <v>13.5</v>
      </c>
      <c r="K32" s="49">
        <v>6</v>
      </c>
      <c r="L32" s="49">
        <v>6</v>
      </c>
      <c r="M32" s="49">
        <v>7</v>
      </c>
      <c r="N32" s="48">
        <v>2</v>
      </c>
      <c r="O32" s="49">
        <v>3</v>
      </c>
      <c r="P32" s="48">
        <v>0.57799999999999996</v>
      </c>
      <c r="Q32" s="48">
        <v>1.1910000000000001</v>
      </c>
      <c r="R32" s="48">
        <v>0.434</v>
      </c>
      <c r="S32" s="48">
        <v>0.373</v>
      </c>
      <c r="T32" s="49">
        <v>91.27</v>
      </c>
      <c r="U32" s="48">
        <v>60.052999999999997</v>
      </c>
      <c r="V32" s="48">
        <v>223.34</v>
      </c>
      <c r="W32" s="48">
        <v>243.34</v>
      </c>
      <c r="X32" s="48">
        <v>187.5</v>
      </c>
      <c r="Y32" s="48">
        <v>230</v>
      </c>
      <c r="Z32" s="48">
        <v>372.54</v>
      </c>
      <c r="AA32" s="48">
        <v>390.41</v>
      </c>
      <c r="AB32" s="48">
        <v>303.69</v>
      </c>
      <c r="AC32" s="48">
        <v>375.01</v>
      </c>
      <c r="AD32" s="48">
        <v>1.8</v>
      </c>
      <c r="AE32" s="48">
        <v>1.8560000000000001</v>
      </c>
      <c r="AF32" s="48">
        <v>1.877</v>
      </c>
      <c r="AG32" s="48">
        <v>1.944</v>
      </c>
      <c r="AH32" s="48">
        <v>75.88</v>
      </c>
      <c r="AI32" s="48">
        <v>69.739999999999995</v>
      </c>
      <c r="AJ32" s="48">
        <v>109.39</v>
      </c>
      <c r="AK32" s="48">
        <v>108.93</v>
      </c>
      <c r="AL32" s="48">
        <v>674.50400000000002</v>
      </c>
      <c r="AM32" s="49">
        <v>698.51099999999997</v>
      </c>
      <c r="AN32" s="48">
        <v>894.61500000000001</v>
      </c>
      <c r="AO32" s="49">
        <v>912.87699999999995</v>
      </c>
      <c r="AP32" s="48">
        <v>1.421</v>
      </c>
      <c r="AQ32" s="48">
        <v>1.8839999999999999</v>
      </c>
      <c r="AR32" s="48">
        <v>40.74</v>
      </c>
      <c r="AS32" s="48">
        <v>39.274000000000001</v>
      </c>
      <c r="AT32" s="49">
        <v>83</v>
      </c>
      <c r="AU32" s="48">
        <v>117</v>
      </c>
      <c r="AV32" s="49">
        <v>1.331</v>
      </c>
      <c r="AW32" s="48">
        <v>4.7579000000000002</v>
      </c>
      <c r="AX32" s="49">
        <v>1017</v>
      </c>
      <c r="AY32" s="48">
        <v>2.5</v>
      </c>
      <c r="AZ32" s="48">
        <v>5.07</v>
      </c>
      <c r="BA32" s="48">
        <v>128.19999999999999</v>
      </c>
      <c r="BB32" s="48">
        <v>127</v>
      </c>
      <c r="BC32" s="49">
        <v>7809</v>
      </c>
      <c r="BD32" s="49">
        <v>89.5</v>
      </c>
      <c r="BE32" s="48">
        <v>15.41</v>
      </c>
      <c r="BF32" s="49">
        <v>15.705</v>
      </c>
      <c r="BG32" s="49">
        <v>29.33</v>
      </c>
      <c r="BH32" s="48">
        <v>28.63</v>
      </c>
      <c r="BI32" s="3"/>
      <c r="BJ32" s="3"/>
      <c r="BK32" s="3"/>
      <c r="BL32" s="3"/>
      <c r="BM32" s="3"/>
      <c r="BN32" s="48">
        <v>97.24</v>
      </c>
      <c r="BO32" s="48">
        <v>97.784000000000006</v>
      </c>
      <c r="BP32" s="49">
        <v>128.93600000000001</v>
      </c>
      <c r="BQ32" s="49">
        <v>133.672</v>
      </c>
      <c r="BR32" s="3"/>
      <c r="BS32" s="48">
        <v>25.4</v>
      </c>
      <c r="BT32" s="48">
        <v>7366.5659999999998</v>
      </c>
      <c r="BU32" s="48">
        <v>48.503999999999998</v>
      </c>
      <c r="BV32" s="48">
        <v>50.57</v>
      </c>
      <c r="BW32" s="48">
        <v>52.442999999999998</v>
      </c>
      <c r="BX32" s="48">
        <v>53.673999999999999</v>
      </c>
      <c r="BY32" s="48">
        <v>1.48</v>
      </c>
      <c r="BZ32" s="49">
        <v>3.3410000000000002</v>
      </c>
      <c r="CA32" s="49">
        <v>4.1760000000000002</v>
      </c>
      <c r="CB32" s="48">
        <v>3.597</v>
      </c>
      <c r="CC32" s="48">
        <v>1.222</v>
      </c>
      <c r="CD32" s="48">
        <v>2.4249999999999998</v>
      </c>
      <c r="CE32" s="48">
        <v>1.3580000000000001</v>
      </c>
      <c r="CF32" s="48">
        <v>2.0680000000000001</v>
      </c>
      <c r="CG32" s="48">
        <v>13.727</v>
      </c>
      <c r="CH32" s="48">
        <v>13.542999999999999</v>
      </c>
      <c r="CI32" s="48">
        <v>4.3419999999999996</v>
      </c>
      <c r="CJ32" s="48">
        <v>3.407</v>
      </c>
      <c r="CK32" s="48">
        <v>1.5529999999999999</v>
      </c>
      <c r="CL32" s="48">
        <v>0.1</v>
      </c>
      <c r="CM32" s="49">
        <v>0.9</v>
      </c>
      <c r="CN32" s="49">
        <v>0</v>
      </c>
      <c r="CO32" s="49">
        <v>0</v>
      </c>
      <c r="CP32" s="48">
        <v>92.492999999999995</v>
      </c>
      <c r="CQ32" s="48">
        <v>93.641000000000005</v>
      </c>
      <c r="CR32" s="49">
        <v>121.28</v>
      </c>
      <c r="CS32" s="49">
        <v>127.18</v>
      </c>
      <c r="CT32" s="48">
        <v>0.33600000000000002</v>
      </c>
      <c r="CU32" s="48">
        <v>0.79900000000000004</v>
      </c>
      <c r="CV32" s="48">
        <v>1.5009999999999999</v>
      </c>
      <c r="CW32" s="48">
        <v>1.2010000000000001</v>
      </c>
      <c r="CX32" s="49">
        <v>2</v>
      </c>
      <c r="CY32" s="49">
        <v>1.5980000000000001</v>
      </c>
      <c r="CZ32" s="48">
        <v>1.296</v>
      </c>
      <c r="DA32" s="49">
        <v>1.3959999999999999</v>
      </c>
      <c r="DB32" s="48">
        <v>1.7989999999999999</v>
      </c>
      <c r="DC32" s="49">
        <v>0</v>
      </c>
      <c r="DD32" s="49">
        <v>0</v>
      </c>
      <c r="DE32" s="48">
        <v>0.20300000000000001</v>
      </c>
      <c r="DF32" s="48">
        <v>7.4999999999999997E-2</v>
      </c>
      <c r="DG32" s="48">
        <v>0.76800000000000002</v>
      </c>
      <c r="DH32" s="48">
        <v>1.784</v>
      </c>
      <c r="DI32" s="48">
        <v>0.99199999999999999</v>
      </c>
      <c r="DJ32" s="48">
        <v>0.217</v>
      </c>
      <c r="DK32" s="48">
        <v>0.96499999999999997</v>
      </c>
      <c r="DL32" s="48">
        <v>0.41699999999999998</v>
      </c>
      <c r="DM32" s="48">
        <v>0.16900000000000001</v>
      </c>
      <c r="DN32" s="48">
        <v>-2.3170000000000002</v>
      </c>
      <c r="DO32" s="48">
        <v>0.32600000000000001</v>
      </c>
      <c r="DP32" s="49">
        <v>67.796000000000006</v>
      </c>
      <c r="DQ32" s="48">
        <v>58.35</v>
      </c>
      <c r="DR32" s="49">
        <v>54.826000000000001</v>
      </c>
      <c r="DS32" s="49">
        <v>50.595999999999997</v>
      </c>
      <c r="DT32" s="49">
        <v>6.76</v>
      </c>
      <c r="DU32" s="49">
        <v>7.06</v>
      </c>
      <c r="DV32" s="49">
        <v>12.41</v>
      </c>
      <c r="DW32" s="49">
        <v>9.9700000000000006</v>
      </c>
      <c r="DX32" s="49">
        <v>7.14</v>
      </c>
      <c r="DY32" s="49">
        <v>7.19</v>
      </c>
      <c r="DZ32" s="49">
        <v>12</v>
      </c>
      <c r="EA32" s="49">
        <v>9.8699999999999992</v>
      </c>
      <c r="EB32" s="48">
        <v>42.1</v>
      </c>
      <c r="EC32" s="48">
        <v>40.700000000000003</v>
      </c>
      <c r="ED32" s="48">
        <v>34.29</v>
      </c>
      <c r="EE32" s="48">
        <v>36.92</v>
      </c>
      <c r="EF32" s="48">
        <v>44</v>
      </c>
      <c r="EG32" s="48">
        <v>45.06</v>
      </c>
      <c r="EH32" s="48">
        <v>41.29</v>
      </c>
      <c r="EI32" s="48">
        <v>43.25</v>
      </c>
      <c r="EJ32" s="48">
        <v>7.0289999999999999</v>
      </c>
      <c r="EK32" s="49">
        <v>62.969000000000001</v>
      </c>
      <c r="EL32" s="48">
        <v>2.2999999999999998</v>
      </c>
      <c r="EM32" s="48">
        <v>1.85</v>
      </c>
      <c r="EN32" s="48">
        <v>1.18</v>
      </c>
      <c r="EO32" s="48">
        <v>1.19</v>
      </c>
      <c r="EP32" s="48">
        <v>-101.842</v>
      </c>
      <c r="EQ32" s="48">
        <v>-2.3140000000000001</v>
      </c>
      <c r="ER32" s="49">
        <v>114.238</v>
      </c>
      <c r="ES32" s="48">
        <v>1.4690000000000001</v>
      </c>
      <c r="ET32" s="49">
        <v>1.6140000000000001</v>
      </c>
      <c r="EU32" s="48">
        <v>1.417</v>
      </c>
      <c r="EV32" s="48">
        <v>7.8940000000000001</v>
      </c>
      <c r="EW32" s="48">
        <v>3.5720000000000001</v>
      </c>
      <c r="EX32" s="49">
        <v>74.28</v>
      </c>
      <c r="EY32" s="48">
        <v>0</v>
      </c>
      <c r="EZ32" s="48">
        <v>0</v>
      </c>
      <c r="FA32" s="49">
        <v>0</v>
      </c>
      <c r="FB32" s="48">
        <v>8.9510000000000005</v>
      </c>
      <c r="FC32" s="48">
        <v>70.614999999999995</v>
      </c>
      <c r="FD32" s="48">
        <v>65.813999999999993</v>
      </c>
      <c r="FE32" s="48">
        <v>83.036000000000001</v>
      </c>
      <c r="FF32" s="48">
        <v>80.228999999999999</v>
      </c>
      <c r="FG32" s="48">
        <v>0.91600000000000004</v>
      </c>
      <c r="FH32" s="48">
        <v>0.91700000000000004</v>
      </c>
      <c r="FI32" s="48">
        <v>0.99399999999999999</v>
      </c>
      <c r="FJ32" s="48">
        <v>0.999</v>
      </c>
      <c r="FK32" s="48">
        <v>0</v>
      </c>
      <c r="FL32" s="49">
        <v>83</v>
      </c>
      <c r="FM32" s="48">
        <v>3.98</v>
      </c>
      <c r="FN32" s="48">
        <v>2.58</v>
      </c>
      <c r="FO32" s="49">
        <v>4.29</v>
      </c>
      <c r="FP32" s="3"/>
      <c r="FQ32" s="48">
        <v>4.55</v>
      </c>
      <c r="FR32" s="48">
        <v>5.05</v>
      </c>
      <c r="FS32" s="48">
        <v>6.4995000000000003</v>
      </c>
      <c r="FT32" s="49">
        <v>1077.4000000000001</v>
      </c>
      <c r="FU32" s="49">
        <v>6.53</v>
      </c>
      <c r="FV32" s="48">
        <v>17.8</v>
      </c>
      <c r="FW32" s="48">
        <v>2990.5</v>
      </c>
      <c r="FX32" s="48">
        <v>161800</v>
      </c>
      <c r="FY32" s="48">
        <v>162200</v>
      </c>
      <c r="FZ32" s="48">
        <v>46.904000000000003</v>
      </c>
      <c r="GA32" s="48">
        <v>47.741999999999997</v>
      </c>
      <c r="GB32" s="48">
        <v>2218.3000000000002</v>
      </c>
      <c r="GC32" s="48">
        <v>2146.1999999999998</v>
      </c>
      <c r="GD32" s="48">
        <v>2265.3000000000002</v>
      </c>
      <c r="GE32" s="49">
        <v>2266.1999999999998</v>
      </c>
      <c r="GF32" s="49">
        <v>1528.5313000000001</v>
      </c>
      <c r="GG32" s="48">
        <v>30</v>
      </c>
      <c r="GH32" s="48">
        <v>29.8</v>
      </c>
      <c r="GI32" s="48">
        <v>45.8</v>
      </c>
      <c r="GJ32" s="48">
        <v>50.6</v>
      </c>
      <c r="GK32" s="48">
        <v>99.5</v>
      </c>
      <c r="GL32" s="49">
        <v>110.7</v>
      </c>
      <c r="GM32" s="49">
        <v>0</v>
      </c>
      <c r="GN32" s="48">
        <v>24.25</v>
      </c>
      <c r="GO32" s="49">
        <v>114.238</v>
      </c>
      <c r="GP32" s="48">
        <v>0.47199999999999998</v>
      </c>
      <c r="GQ32" s="48">
        <v>1.8879999999999999</v>
      </c>
      <c r="GR32" s="48">
        <v>1.2390000000000001</v>
      </c>
      <c r="GS32" s="48">
        <v>1.9470000000000001</v>
      </c>
      <c r="GT32" s="48">
        <v>0.70799999999999996</v>
      </c>
      <c r="GU32" s="48">
        <v>1.8879999999999999</v>
      </c>
      <c r="GV32" s="49">
        <v>0</v>
      </c>
      <c r="GW32" s="48">
        <v>0</v>
      </c>
      <c r="GX32" s="48">
        <v>0</v>
      </c>
      <c r="GY32" s="48">
        <v>11.76</v>
      </c>
      <c r="GZ32" s="48">
        <v>13.548</v>
      </c>
      <c r="HA32" s="48">
        <v>14.896000000000001</v>
      </c>
      <c r="HB32" s="48">
        <v>0</v>
      </c>
      <c r="HC32" s="48">
        <v>36.398000000000003</v>
      </c>
      <c r="HD32" s="48">
        <v>82</v>
      </c>
      <c r="HE32" s="49">
        <v>0</v>
      </c>
      <c r="HF32" s="49">
        <v>0</v>
      </c>
      <c r="HG32" s="48">
        <v>67.400000000000006</v>
      </c>
      <c r="HH32" s="48">
        <v>76.739999999999995</v>
      </c>
      <c r="HI32" s="49">
        <v>0</v>
      </c>
      <c r="HJ32" s="49">
        <v>0</v>
      </c>
      <c r="HK32" s="49">
        <v>0</v>
      </c>
      <c r="HL32" s="48">
        <v>56</v>
      </c>
      <c r="HM32" s="48">
        <v>50</v>
      </c>
      <c r="HN32" s="48">
        <v>64</v>
      </c>
      <c r="HO32" s="49">
        <v>58</v>
      </c>
      <c r="HP32" s="48">
        <v>61</v>
      </c>
      <c r="HQ32" s="49">
        <v>59</v>
      </c>
      <c r="HR32" s="48">
        <v>54</v>
      </c>
      <c r="HS32" s="48">
        <v>62</v>
      </c>
      <c r="HT32" s="49">
        <v>-1.476</v>
      </c>
      <c r="HU32" s="49">
        <v>0</v>
      </c>
      <c r="HV32" s="49">
        <v>1.3320000000000001</v>
      </c>
      <c r="HW32" s="48">
        <v>37.61</v>
      </c>
      <c r="HX32" s="48">
        <v>44.39</v>
      </c>
      <c r="HY32" s="48">
        <v>50.68</v>
      </c>
      <c r="HZ32" s="48">
        <v>50.68</v>
      </c>
      <c r="IA32" s="49">
        <v>2.859</v>
      </c>
      <c r="IB32" s="49">
        <v>104</v>
      </c>
      <c r="IC32" s="49">
        <v>22.375</v>
      </c>
      <c r="ID32" s="48">
        <v>-0.45100000000000001</v>
      </c>
      <c r="IE32" s="48">
        <v>-0.23</v>
      </c>
      <c r="IF32" s="49">
        <v>807.6</v>
      </c>
      <c r="IG32" s="48">
        <v>760.4</v>
      </c>
      <c r="IH32" s="48">
        <v>814.1</v>
      </c>
      <c r="II32" s="48">
        <v>771.8</v>
      </c>
      <c r="IJ32" s="48">
        <v>-9.9000000000000005E-2</v>
      </c>
      <c r="IK32" s="49">
        <v>6.3E-2</v>
      </c>
      <c r="IL32" s="48">
        <v>72.069999999999993</v>
      </c>
      <c r="IM32" s="48">
        <v>72.069999999999993</v>
      </c>
      <c r="IN32" s="48">
        <v>11.542</v>
      </c>
      <c r="IO32" s="49">
        <v>0.53100000000000003</v>
      </c>
      <c r="IP32" s="48">
        <v>8.9499999999999993</v>
      </c>
      <c r="IQ32" s="48">
        <v>0.01</v>
      </c>
      <c r="IR32" s="49">
        <v>7.0000000000000001E-3</v>
      </c>
      <c r="IS32">
        <v>0.30200000000000005</v>
      </c>
      <c r="IT32">
        <v>0.14900000000000005</v>
      </c>
    </row>
    <row r="33" spans="2:254" x14ac:dyDescent="0.25">
      <c r="B33" s="2" t="s">
        <v>409</v>
      </c>
      <c r="C33" s="2" t="s">
        <v>44</v>
      </c>
      <c r="D33" s="57">
        <v>2.8603009259259259E-3</v>
      </c>
      <c r="E33" s="48">
        <v>247.13499999999999</v>
      </c>
      <c r="F33" s="49">
        <v>334.35</v>
      </c>
      <c r="G33" s="48">
        <v>5.76</v>
      </c>
      <c r="H33" s="49">
        <v>26</v>
      </c>
      <c r="I33" s="48">
        <v>0</v>
      </c>
      <c r="J33" s="48">
        <v>19.7</v>
      </c>
      <c r="K33" s="49">
        <v>6</v>
      </c>
      <c r="L33" s="49">
        <v>6</v>
      </c>
      <c r="M33" s="49">
        <v>7</v>
      </c>
      <c r="N33" s="49">
        <v>3</v>
      </c>
      <c r="O33" s="49">
        <v>3</v>
      </c>
      <c r="P33" s="48">
        <v>0.70899999999999996</v>
      </c>
      <c r="Q33" s="48">
        <v>1.448</v>
      </c>
      <c r="R33" s="48">
        <v>0.503</v>
      </c>
      <c r="S33" s="48">
        <v>0.48399999999999999</v>
      </c>
      <c r="T33" s="48">
        <v>83.06</v>
      </c>
      <c r="U33" s="48">
        <v>60.338000000000001</v>
      </c>
      <c r="V33" s="48">
        <v>231.66</v>
      </c>
      <c r="W33" s="48">
        <v>251.66</v>
      </c>
      <c r="X33" s="48">
        <v>175</v>
      </c>
      <c r="Y33" s="48">
        <v>221.66</v>
      </c>
      <c r="Z33" s="48">
        <v>361.01</v>
      </c>
      <c r="AA33" s="48">
        <v>376.94</v>
      </c>
      <c r="AB33" s="48">
        <v>270.36</v>
      </c>
      <c r="AC33" s="48">
        <v>338.84</v>
      </c>
      <c r="AD33" s="48">
        <v>1.7949999999999999</v>
      </c>
      <c r="AE33" s="48">
        <v>1.8580000000000001</v>
      </c>
      <c r="AF33" s="48">
        <v>1.889</v>
      </c>
      <c r="AG33" s="48">
        <v>1.9650000000000001</v>
      </c>
      <c r="AH33" s="49">
        <v>76.56</v>
      </c>
      <c r="AI33" s="48">
        <v>70.22</v>
      </c>
      <c r="AJ33" s="49">
        <v>110.17</v>
      </c>
      <c r="AK33" s="49">
        <v>111.08</v>
      </c>
      <c r="AL33" s="48">
        <v>666.33299999999997</v>
      </c>
      <c r="AM33" s="48">
        <v>675.40899999999999</v>
      </c>
      <c r="AN33" s="48">
        <v>866.96100000000001</v>
      </c>
      <c r="AO33" s="48">
        <v>847.84299999999996</v>
      </c>
      <c r="AP33" s="48">
        <v>1.41</v>
      </c>
      <c r="AQ33" s="48">
        <v>1.88</v>
      </c>
      <c r="AR33" s="48">
        <v>41.423999999999999</v>
      </c>
      <c r="AS33" s="49">
        <v>40.418999999999997</v>
      </c>
      <c r="AT33" s="49">
        <v>83</v>
      </c>
      <c r="AU33" s="49">
        <v>119</v>
      </c>
      <c r="AV33" s="48">
        <v>1.361</v>
      </c>
      <c r="AW33" s="48">
        <v>4.5216000000000003</v>
      </c>
      <c r="AX33" s="48">
        <v>1014.8</v>
      </c>
      <c r="AY33" s="48">
        <v>2.4700000000000002</v>
      </c>
      <c r="AZ33" s="48">
        <v>5.0599999999999996</v>
      </c>
      <c r="BA33" s="48">
        <v>95.513999999999996</v>
      </c>
      <c r="BB33" s="48">
        <v>99.313999999999993</v>
      </c>
      <c r="BC33" s="48">
        <v>7771</v>
      </c>
      <c r="BD33" s="49">
        <v>89.5</v>
      </c>
      <c r="BE33" s="48">
        <v>14.78</v>
      </c>
      <c r="BF33" s="48">
        <v>13.535</v>
      </c>
      <c r="BG33" s="48">
        <v>28.14</v>
      </c>
      <c r="BH33" s="49">
        <v>31.23</v>
      </c>
      <c r="BI33" s="48">
        <v>65.36</v>
      </c>
      <c r="BJ33" s="49">
        <v>79.491</v>
      </c>
      <c r="BK33" s="48">
        <v>63.866</v>
      </c>
      <c r="BL33" s="48">
        <v>76.787000000000006</v>
      </c>
      <c r="BM33" s="49">
        <v>77.677000000000007</v>
      </c>
      <c r="BN33" s="49">
        <v>109.176</v>
      </c>
      <c r="BO33" s="49">
        <v>109.08</v>
      </c>
      <c r="BP33" s="48">
        <v>125.8</v>
      </c>
      <c r="BQ33" s="48">
        <v>130.68</v>
      </c>
      <c r="BR33" s="49">
        <v>60.183</v>
      </c>
      <c r="BS33" s="49">
        <v>25.7</v>
      </c>
      <c r="BT33" s="49">
        <v>7391.5640000000003</v>
      </c>
      <c r="BU33" s="48">
        <v>48.085999999999999</v>
      </c>
      <c r="BV33" s="48">
        <v>52.14</v>
      </c>
      <c r="BW33" s="48">
        <v>51.101999999999997</v>
      </c>
      <c r="BX33" s="48">
        <v>53.19</v>
      </c>
      <c r="BY33" s="48">
        <v>1.601</v>
      </c>
      <c r="BZ33" s="48">
        <v>3.2890000000000001</v>
      </c>
      <c r="CA33" s="48">
        <v>3.0539999999999998</v>
      </c>
      <c r="CB33" s="48">
        <v>3.335</v>
      </c>
      <c r="CC33" s="48">
        <v>1.329</v>
      </c>
      <c r="CD33" s="48">
        <v>2.36</v>
      </c>
      <c r="CE33" s="48">
        <v>1.2769999999999999</v>
      </c>
      <c r="CF33" s="48">
        <v>2.0659999999999998</v>
      </c>
      <c r="CG33" s="49">
        <v>13.754</v>
      </c>
      <c r="CH33" s="48">
        <v>13.433</v>
      </c>
      <c r="CI33" s="3"/>
      <c r="CJ33" s="3"/>
      <c r="CK33" s="3"/>
      <c r="CL33" s="49">
        <v>0.2</v>
      </c>
      <c r="CM33" s="48">
        <v>0.4</v>
      </c>
      <c r="CN33" s="49">
        <v>0</v>
      </c>
      <c r="CO33" s="49">
        <v>0</v>
      </c>
      <c r="CP33" s="49">
        <v>94.141999999999996</v>
      </c>
      <c r="CQ33" s="49">
        <v>94.671999999999997</v>
      </c>
      <c r="CR33" s="48">
        <v>118.43</v>
      </c>
      <c r="CS33" s="48">
        <v>124.753</v>
      </c>
      <c r="CT33" s="48">
        <v>0.28499999999999998</v>
      </c>
      <c r="CU33" s="48">
        <v>1.0980000000000001</v>
      </c>
      <c r="CV33" s="49">
        <v>2.1</v>
      </c>
      <c r="CW33" s="48">
        <v>0.9</v>
      </c>
      <c r="CX33" s="48">
        <v>1.702</v>
      </c>
      <c r="CY33" s="48">
        <v>0.89800000000000002</v>
      </c>
      <c r="CZ33" s="48">
        <v>1.202</v>
      </c>
      <c r="DA33" s="48">
        <v>0.69899999999999995</v>
      </c>
      <c r="DB33" s="48">
        <v>1.1970000000000001</v>
      </c>
      <c r="DC33" s="49">
        <v>0</v>
      </c>
      <c r="DD33" s="49">
        <v>0</v>
      </c>
      <c r="DE33" s="48">
        <v>0.186</v>
      </c>
      <c r="DF33" s="48">
        <v>8.5999999999999993E-2</v>
      </c>
      <c r="DG33" s="48">
        <v>0.29199999999999998</v>
      </c>
      <c r="DH33" s="48">
        <v>1.52</v>
      </c>
      <c r="DI33" s="48">
        <v>0.88600000000000001</v>
      </c>
      <c r="DJ33" s="48">
        <v>1.9E-2</v>
      </c>
      <c r="DK33" s="48">
        <v>0.74199999999999999</v>
      </c>
      <c r="DL33" s="48">
        <v>0.41599999999999998</v>
      </c>
      <c r="DM33" s="48">
        <v>6.0999999999999999E-2</v>
      </c>
      <c r="DN33" s="48">
        <v>-11.182</v>
      </c>
      <c r="DO33" s="48">
        <v>0.30199999999999999</v>
      </c>
      <c r="DP33" s="48">
        <v>66.903999999999996</v>
      </c>
      <c r="DQ33" s="49">
        <v>61.429000000000002</v>
      </c>
      <c r="DR33" s="48">
        <v>53.887999999999998</v>
      </c>
      <c r="DS33" s="48">
        <v>50.424999999999997</v>
      </c>
      <c r="DT33" s="48">
        <v>5.85</v>
      </c>
      <c r="DU33" s="48">
        <v>5.94</v>
      </c>
      <c r="DV33" s="48">
        <v>10.7</v>
      </c>
      <c r="DW33" s="48">
        <v>8.69</v>
      </c>
      <c r="DX33" s="48">
        <v>6.09</v>
      </c>
      <c r="DY33" s="48">
        <v>6.17</v>
      </c>
      <c r="DZ33" s="48">
        <v>10.28</v>
      </c>
      <c r="EA33" s="48">
        <v>8.43</v>
      </c>
      <c r="EB33" s="48">
        <v>41.76</v>
      </c>
      <c r="EC33" s="48">
        <v>41.09</v>
      </c>
      <c r="ED33" s="48">
        <v>33.82</v>
      </c>
      <c r="EE33" s="48">
        <v>36.39</v>
      </c>
      <c r="EF33" s="48">
        <v>46.29</v>
      </c>
      <c r="EG33" s="48">
        <v>46.79</v>
      </c>
      <c r="EH33" s="48">
        <v>45.19</v>
      </c>
      <c r="EI33" s="48">
        <v>46.49</v>
      </c>
      <c r="EJ33" s="49">
        <v>7.1669999999999998</v>
      </c>
      <c r="EK33" s="48">
        <v>62.567999999999998</v>
      </c>
      <c r="EL33" s="49">
        <v>2.35</v>
      </c>
      <c r="EM33" s="48">
        <v>1.85</v>
      </c>
      <c r="EN33" s="49">
        <v>1.23</v>
      </c>
      <c r="EO33" s="49">
        <v>1.2</v>
      </c>
      <c r="EP33" s="49">
        <v>-103.886</v>
      </c>
      <c r="EQ33" s="48">
        <v>-2.2410000000000001</v>
      </c>
      <c r="ER33" s="48">
        <v>84.162000000000006</v>
      </c>
      <c r="ES33" s="48">
        <v>1.4410000000000001</v>
      </c>
      <c r="ET33" s="48">
        <v>1.5740000000000001</v>
      </c>
      <c r="EU33" s="48">
        <v>1.393</v>
      </c>
      <c r="EV33" s="48">
        <v>7.6280000000000001</v>
      </c>
      <c r="EW33" s="48">
        <v>3.4239999999999999</v>
      </c>
      <c r="EX33" s="48">
        <v>69.28</v>
      </c>
      <c r="EY33" s="48">
        <v>0.18</v>
      </c>
      <c r="EZ33" s="49">
        <v>1.7909999999999999</v>
      </c>
      <c r="FA33" s="49">
        <v>0</v>
      </c>
      <c r="FB33" s="49">
        <v>9.0459999999999994</v>
      </c>
      <c r="FC33" s="48">
        <v>70.378</v>
      </c>
      <c r="FD33" s="48">
        <v>65.165999999999997</v>
      </c>
      <c r="FE33" s="48">
        <v>84.025000000000006</v>
      </c>
      <c r="FF33" s="48">
        <v>81.611999999999995</v>
      </c>
      <c r="FG33" s="49">
        <v>0.97099999999999997</v>
      </c>
      <c r="FH33" s="48">
        <v>0.92400000000000004</v>
      </c>
      <c r="FI33" s="48">
        <v>0.995</v>
      </c>
      <c r="FJ33" s="48">
        <v>0.999</v>
      </c>
      <c r="FK33" s="48">
        <v>0</v>
      </c>
      <c r="FL33" s="49">
        <v>83</v>
      </c>
      <c r="FM33" s="49">
        <v>3.99</v>
      </c>
      <c r="FN33" s="48">
        <v>2.21</v>
      </c>
      <c r="FO33" s="48">
        <v>4.8099999999999996</v>
      </c>
      <c r="FP33" s="49">
        <v>3.7</v>
      </c>
      <c r="FQ33" s="48">
        <v>4.5</v>
      </c>
      <c r="FR33" s="49">
        <v>4.95</v>
      </c>
      <c r="FS33" s="48">
        <v>6.5774999999999997</v>
      </c>
      <c r="FT33" s="48">
        <v>1074</v>
      </c>
      <c r="FU33" s="48">
        <v>5.99</v>
      </c>
      <c r="FV33" s="49">
        <v>23.56</v>
      </c>
      <c r="FW33" s="48">
        <v>3058</v>
      </c>
      <c r="FX33" s="48">
        <v>163500</v>
      </c>
      <c r="FY33" s="49">
        <v>164700</v>
      </c>
      <c r="FZ33" s="48">
        <v>47.238999999999997</v>
      </c>
      <c r="GA33" s="48">
        <v>47.627000000000002</v>
      </c>
      <c r="GB33" s="49">
        <v>2301.1</v>
      </c>
      <c r="GC33" s="48">
        <v>2136.6</v>
      </c>
      <c r="GD33" s="49">
        <v>2358.3000000000002</v>
      </c>
      <c r="GE33" s="48">
        <v>2224.9</v>
      </c>
      <c r="GF33" s="48">
        <v>1268.5</v>
      </c>
      <c r="GG33" s="48">
        <v>30</v>
      </c>
      <c r="GH33" s="48">
        <v>30.4</v>
      </c>
      <c r="GI33" s="48">
        <v>45.9</v>
      </c>
      <c r="GJ33" s="48">
        <v>51.2</v>
      </c>
      <c r="GK33" s="48">
        <v>99.5</v>
      </c>
      <c r="GL33" s="48">
        <v>109.3</v>
      </c>
      <c r="GM33" s="49">
        <v>0</v>
      </c>
      <c r="GN33" s="48">
        <v>23.401</v>
      </c>
      <c r="GO33" s="48">
        <v>103.886</v>
      </c>
      <c r="GP33" s="49">
        <v>0</v>
      </c>
      <c r="GQ33" s="48">
        <v>1.8879999999999999</v>
      </c>
      <c r="GR33" s="49">
        <v>0</v>
      </c>
      <c r="GS33" s="48">
        <v>1.9470000000000001</v>
      </c>
      <c r="GT33" s="49">
        <v>0</v>
      </c>
      <c r="GU33" s="48">
        <v>1.8879999999999999</v>
      </c>
      <c r="GV33" s="49">
        <v>0</v>
      </c>
      <c r="GW33" s="48">
        <v>0</v>
      </c>
      <c r="GX33" s="48">
        <v>0</v>
      </c>
      <c r="GY33" s="49">
        <v>0</v>
      </c>
      <c r="GZ33" s="48">
        <v>13.253</v>
      </c>
      <c r="HA33" s="48">
        <v>14.896000000000001</v>
      </c>
      <c r="HB33" s="48">
        <v>0</v>
      </c>
      <c r="HC33" s="48">
        <v>34.704000000000001</v>
      </c>
      <c r="HD33" s="49">
        <v>86</v>
      </c>
      <c r="HE33" s="49">
        <v>0</v>
      </c>
      <c r="HF33" s="49">
        <v>0</v>
      </c>
      <c r="HG33" s="48">
        <v>66.900000000000006</v>
      </c>
      <c r="HH33" s="48">
        <v>76.47</v>
      </c>
      <c r="HI33" s="49">
        <v>0</v>
      </c>
      <c r="HJ33" s="49">
        <v>0</v>
      </c>
      <c r="HK33" s="49">
        <v>0</v>
      </c>
      <c r="HL33" s="48">
        <v>57</v>
      </c>
      <c r="HM33" s="48">
        <v>50</v>
      </c>
      <c r="HN33" s="49">
        <v>65</v>
      </c>
      <c r="HO33" s="49">
        <v>58</v>
      </c>
      <c r="HP33" s="49">
        <v>62</v>
      </c>
      <c r="HQ33" s="49">
        <v>59</v>
      </c>
      <c r="HR33" s="48">
        <v>54</v>
      </c>
      <c r="HS33" s="49">
        <v>70</v>
      </c>
      <c r="HT33" s="48">
        <v>-1.4630000000000001</v>
      </c>
      <c r="HU33" s="49">
        <v>0</v>
      </c>
      <c r="HV33" s="48">
        <v>1.091</v>
      </c>
      <c r="HW33" s="48">
        <v>44.42</v>
      </c>
      <c r="HX33" s="48">
        <v>44.39</v>
      </c>
      <c r="HY33" s="3"/>
      <c r="HZ33" s="3"/>
      <c r="IA33" s="48">
        <v>2.7469999999999999</v>
      </c>
      <c r="IB33" s="48">
        <v>103</v>
      </c>
      <c r="IC33" s="48">
        <v>22.172999999999998</v>
      </c>
      <c r="ID33" s="48">
        <v>-0.373</v>
      </c>
      <c r="IE33" s="49">
        <v>-0.191</v>
      </c>
      <c r="IF33" s="48">
        <v>807.5</v>
      </c>
      <c r="IG33" s="48">
        <v>741.4</v>
      </c>
      <c r="IH33" s="49">
        <v>822</v>
      </c>
      <c r="II33" s="48">
        <v>755</v>
      </c>
      <c r="IJ33" s="48">
        <v>-4.5999999999999999E-2</v>
      </c>
      <c r="IK33" s="48">
        <v>1.2999999999999999E-2</v>
      </c>
      <c r="IL33" s="48">
        <v>88.605999999999995</v>
      </c>
      <c r="IM33" s="48">
        <v>88.605999999999995</v>
      </c>
      <c r="IN33" s="49">
        <v>13.603999999999999</v>
      </c>
      <c r="IO33" s="48">
        <v>0.26500000000000001</v>
      </c>
      <c r="IP33" s="48">
        <v>9.1300000000000008</v>
      </c>
      <c r="IQ33" s="48">
        <v>0</v>
      </c>
      <c r="IR33" s="48">
        <v>0</v>
      </c>
      <c r="IS33">
        <v>0.30200000000000005</v>
      </c>
      <c r="IT33">
        <v>0.14900000000000005</v>
      </c>
    </row>
    <row r="34" spans="2:254" x14ac:dyDescent="0.25">
      <c r="IS34">
        <v>0.30200000000000005</v>
      </c>
      <c r="IT34">
        <v>0.14900000000000005</v>
      </c>
    </row>
    <row r="35" spans="2:254" x14ac:dyDescent="0.25">
      <c r="IS35">
        <v>0.30200000000000005</v>
      </c>
      <c r="IT35">
        <v>0.14900000000000005</v>
      </c>
    </row>
    <row r="36" spans="2:254" x14ac:dyDescent="0.25">
      <c r="IS36">
        <v>0.30200000000000005</v>
      </c>
      <c r="IT36">
        <v>0.14900000000000005</v>
      </c>
    </row>
    <row r="37" spans="2:254" x14ac:dyDescent="0.25">
      <c r="B37" s="2" t="s">
        <v>409</v>
      </c>
      <c r="C37" s="2" t="s">
        <v>41</v>
      </c>
      <c r="D37" s="57">
        <v>3.3234953703703708E-3</v>
      </c>
      <c r="E37" s="49">
        <v>287.154</v>
      </c>
      <c r="F37" s="48">
        <v>327.02999999999997</v>
      </c>
      <c r="G37" s="48">
        <v>5.82</v>
      </c>
      <c r="H37" s="48">
        <v>26</v>
      </c>
      <c r="I37" s="49">
        <v>0</v>
      </c>
      <c r="J37" s="49">
        <v>64</v>
      </c>
      <c r="K37" s="48">
        <v>6</v>
      </c>
      <c r="L37" s="49">
        <v>6</v>
      </c>
      <c r="M37" s="49">
        <v>7</v>
      </c>
      <c r="N37" s="49">
        <v>3</v>
      </c>
      <c r="O37" s="49">
        <v>3</v>
      </c>
      <c r="P37" s="49">
        <v>0.84199999999999997</v>
      </c>
      <c r="Q37" s="49">
        <v>1.355</v>
      </c>
      <c r="R37" s="49">
        <v>1.069</v>
      </c>
      <c r="S37" s="48">
        <v>0.65100000000000002</v>
      </c>
      <c r="T37" s="48">
        <v>65.28</v>
      </c>
      <c r="U37" s="49">
        <v>61.334000000000003</v>
      </c>
      <c r="V37" s="49">
        <v>203.34</v>
      </c>
      <c r="W37" s="49">
        <v>213.34</v>
      </c>
      <c r="X37" s="49">
        <v>127.5</v>
      </c>
      <c r="Y37" s="49">
        <v>155</v>
      </c>
      <c r="Z37" s="48">
        <v>340.11</v>
      </c>
      <c r="AA37" s="48">
        <v>352.89</v>
      </c>
      <c r="AB37" s="48">
        <v>213.73</v>
      </c>
      <c r="AC37" s="48">
        <v>273.85000000000002</v>
      </c>
      <c r="AD37" s="48">
        <v>1.756</v>
      </c>
      <c r="AE37" s="48">
        <v>1.792</v>
      </c>
      <c r="AF37" s="48">
        <v>1.7529999999999999</v>
      </c>
      <c r="AG37" s="48">
        <v>1.786</v>
      </c>
      <c r="AH37" s="48">
        <v>66.75</v>
      </c>
      <c r="AI37" s="48">
        <v>61.22</v>
      </c>
      <c r="AJ37" s="48">
        <v>92.71</v>
      </c>
      <c r="AK37" s="48">
        <v>93.85</v>
      </c>
      <c r="AL37" s="48">
        <v>637.64300000000003</v>
      </c>
      <c r="AM37" s="48">
        <v>638.34500000000003</v>
      </c>
      <c r="AN37" s="48">
        <v>828.05700000000002</v>
      </c>
      <c r="AO37" s="48">
        <v>814.99699999999996</v>
      </c>
      <c r="AP37" s="49">
        <v>1.363</v>
      </c>
      <c r="AQ37" s="48">
        <v>1.81</v>
      </c>
      <c r="AR37" s="48">
        <v>42.613</v>
      </c>
      <c r="AS37" s="48">
        <v>37.720999999999997</v>
      </c>
      <c r="AT37" s="49">
        <v>84</v>
      </c>
      <c r="AU37" s="48">
        <v>116</v>
      </c>
      <c r="AV37" s="48">
        <v>1.5385</v>
      </c>
      <c r="AW37" s="48">
        <v>4.3726000000000003</v>
      </c>
      <c r="AX37" s="49">
        <v>1016.7</v>
      </c>
      <c r="AY37" s="49">
        <v>2.89</v>
      </c>
      <c r="AZ37" s="48">
        <v>4.82</v>
      </c>
      <c r="BA37" s="49">
        <v>65.106999999999999</v>
      </c>
      <c r="BB37" s="49">
        <v>66.900000000000006</v>
      </c>
      <c r="BC37" s="48">
        <v>7795</v>
      </c>
      <c r="BD37" s="48">
        <v>89</v>
      </c>
      <c r="BE37" s="48">
        <v>15.36</v>
      </c>
      <c r="BF37" s="48">
        <v>14.375</v>
      </c>
      <c r="BG37" s="48">
        <v>27.5</v>
      </c>
      <c r="BH37" s="48">
        <v>28.63</v>
      </c>
      <c r="BI37" s="48">
        <v>65.331000000000003</v>
      </c>
      <c r="BJ37" s="48">
        <v>79.213999999999999</v>
      </c>
      <c r="BK37" s="48">
        <v>63.863</v>
      </c>
      <c r="BL37" s="48">
        <v>77.247</v>
      </c>
      <c r="BM37" s="48">
        <v>76.742000000000004</v>
      </c>
      <c r="BN37" s="49">
        <v>128.66399999999999</v>
      </c>
      <c r="BO37" s="49">
        <v>127.16</v>
      </c>
      <c r="BP37" s="48">
        <v>127.032</v>
      </c>
      <c r="BQ37" s="48">
        <v>130.68</v>
      </c>
      <c r="BR37" s="48">
        <v>57.912999999999997</v>
      </c>
      <c r="BS37" s="48">
        <v>25.7</v>
      </c>
      <c r="BT37" s="48">
        <v>7300.2309999999998</v>
      </c>
      <c r="BU37" s="49">
        <v>51.393999999999998</v>
      </c>
      <c r="BV37" s="49">
        <v>51.39</v>
      </c>
      <c r="BW37" s="49">
        <v>54.497999999999998</v>
      </c>
      <c r="BX37" s="49">
        <v>54.552999999999997</v>
      </c>
      <c r="BY37" s="49">
        <v>1.609</v>
      </c>
      <c r="BZ37" s="48">
        <v>2.9660000000000002</v>
      </c>
      <c r="CA37" s="49">
        <v>3.5990000000000002</v>
      </c>
      <c r="CB37" s="48">
        <v>4.1550000000000002</v>
      </c>
      <c r="CC37" s="48">
        <v>0.83</v>
      </c>
      <c r="CD37" s="49">
        <v>2.298</v>
      </c>
      <c r="CE37" s="48">
        <v>1.254</v>
      </c>
      <c r="CF37" s="48">
        <v>1.9950000000000001</v>
      </c>
      <c r="CG37" s="48">
        <v>13.593999999999999</v>
      </c>
      <c r="CH37" s="49">
        <v>10.19</v>
      </c>
      <c r="CI37" s="49">
        <v>5.4059999999999997</v>
      </c>
      <c r="CJ37" s="48">
        <v>3.3319999999999999</v>
      </c>
      <c r="CK37" s="48">
        <v>1.355</v>
      </c>
      <c r="CL37" s="49">
        <v>0.2</v>
      </c>
      <c r="CM37" s="48">
        <v>0.5</v>
      </c>
      <c r="CN37" s="48">
        <v>0</v>
      </c>
      <c r="CO37" s="48">
        <v>0</v>
      </c>
      <c r="CP37" s="49">
        <v>105.846</v>
      </c>
      <c r="CQ37" s="49">
        <v>105.628</v>
      </c>
      <c r="CR37" s="48">
        <v>107.294</v>
      </c>
      <c r="CS37" s="48">
        <v>111.90600000000001</v>
      </c>
      <c r="CT37" s="49">
        <v>0.49299999999999999</v>
      </c>
      <c r="CU37" s="48">
        <v>1.1990000000000001</v>
      </c>
      <c r="CV37" s="48">
        <v>1.6990000000000001</v>
      </c>
      <c r="CW37" s="49">
        <v>1.7</v>
      </c>
      <c r="CX37" s="49">
        <v>2.097</v>
      </c>
      <c r="CY37" s="49">
        <v>1.298</v>
      </c>
      <c r="CZ37" s="48">
        <v>1.202</v>
      </c>
      <c r="DA37" s="49">
        <v>1.101</v>
      </c>
      <c r="DB37" s="49">
        <v>2.1989999999999998</v>
      </c>
      <c r="DC37" s="49">
        <v>8.0000000000000002E-3</v>
      </c>
      <c r="DD37" s="49">
        <v>0</v>
      </c>
      <c r="DE37" s="48">
        <v>0.23599999999999999</v>
      </c>
      <c r="DF37" s="48">
        <v>0.13400000000000001</v>
      </c>
      <c r="DG37" s="48">
        <v>0.38500000000000001</v>
      </c>
      <c r="DH37" s="48">
        <v>2.4180000000000001</v>
      </c>
      <c r="DI37" s="48">
        <v>1.216</v>
      </c>
      <c r="DJ37" s="48">
        <v>0.221</v>
      </c>
      <c r="DK37" s="48">
        <v>0.93200000000000005</v>
      </c>
      <c r="DL37" s="49">
        <v>0.40799999999999997</v>
      </c>
      <c r="DM37" s="48">
        <v>0.91300000000000003</v>
      </c>
      <c r="DN37" s="48">
        <v>0.47899999999999998</v>
      </c>
      <c r="DO37" s="49">
        <v>0.47199999999999998</v>
      </c>
      <c r="DP37" s="48">
        <v>65.909000000000006</v>
      </c>
      <c r="DQ37" s="49">
        <v>60.524999999999999</v>
      </c>
      <c r="DR37" s="49">
        <v>55.527000000000001</v>
      </c>
      <c r="DS37" s="49">
        <v>51.17</v>
      </c>
      <c r="DT37" s="48">
        <v>4.34</v>
      </c>
      <c r="DU37" s="48">
        <v>4.4400000000000004</v>
      </c>
      <c r="DV37" s="48">
        <v>8.26</v>
      </c>
      <c r="DW37" s="48">
        <v>6.59</v>
      </c>
      <c r="DX37" s="48">
        <v>4.51</v>
      </c>
      <c r="DY37" s="48">
        <v>4.3899999999999997</v>
      </c>
      <c r="DZ37" s="48">
        <v>7.82</v>
      </c>
      <c r="EA37" s="48">
        <v>6.22</v>
      </c>
      <c r="EB37" s="48">
        <v>35.51</v>
      </c>
      <c r="EC37" s="48">
        <v>35.380000000000003</v>
      </c>
      <c r="ED37" s="48">
        <v>28.8</v>
      </c>
      <c r="EE37" s="48">
        <v>31.74</v>
      </c>
      <c r="EF37" s="49">
        <v>55.64</v>
      </c>
      <c r="EG37" s="49">
        <v>55.79</v>
      </c>
      <c r="EH37" s="49">
        <v>55.12</v>
      </c>
      <c r="EI37" s="49">
        <v>55.46</v>
      </c>
      <c r="EJ37" s="48">
        <v>7.0149999999999997</v>
      </c>
      <c r="EK37" s="48">
        <v>62.448</v>
      </c>
      <c r="EL37" s="49">
        <v>2.65</v>
      </c>
      <c r="EM37" s="49">
        <v>1.9</v>
      </c>
      <c r="EN37" s="48">
        <v>1.19</v>
      </c>
      <c r="EO37" s="49">
        <v>1.2</v>
      </c>
      <c r="EP37" s="48">
        <v>-86.95</v>
      </c>
      <c r="EQ37" s="49">
        <v>-1.359</v>
      </c>
      <c r="ER37" s="48">
        <v>101.974</v>
      </c>
      <c r="ES37" s="48">
        <v>1.1479999999999999</v>
      </c>
      <c r="ET37" s="48">
        <v>1.2629999999999999</v>
      </c>
      <c r="EU37" s="48">
        <v>1.1080000000000001</v>
      </c>
      <c r="EV37" s="48">
        <v>7.5860000000000003</v>
      </c>
      <c r="EW37" s="48">
        <v>3.4049999999999998</v>
      </c>
      <c r="EX37" s="48">
        <v>-215.48</v>
      </c>
      <c r="EY37" s="49">
        <v>0.10100000000000001</v>
      </c>
      <c r="EZ37" s="48">
        <v>0</v>
      </c>
      <c r="FA37" s="49">
        <v>0</v>
      </c>
      <c r="FB37" s="48">
        <v>8.02</v>
      </c>
      <c r="FC37" s="48">
        <v>67.948999999999998</v>
      </c>
      <c r="FD37" s="48">
        <v>63.55</v>
      </c>
      <c r="FE37" s="48">
        <v>76.501000000000005</v>
      </c>
      <c r="FF37" s="48">
        <v>75.245999999999995</v>
      </c>
      <c r="FG37" s="48">
        <v>1</v>
      </c>
      <c r="FH37" s="49">
        <v>1.012</v>
      </c>
      <c r="FI37" s="49">
        <v>1</v>
      </c>
      <c r="FJ37" s="49">
        <v>1.004</v>
      </c>
      <c r="FK37" s="49">
        <v>0.20200000000000001</v>
      </c>
      <c r="FL37" s="49">
        <v>84</v>
      </c>
      <c r="FM37" s="49">
        <v>3.92</v>
      </c>
      <c r="FN37" s="48">
        <v>1.63</v>
      </c>
      <c r="FO37" s="48">
        <v>4.82</v>
      </c>
      <c r="FP37" s="49">
        <v>0.45</v>
      </c>
      <c r="FQ37" s="48">
        <v>4.75</v>
      </c>
      <c r="FR37" s="49">
        <v>4.95</v>
      </c>
      <c r="FS37" s="49">
        <v>6.4684999999999997</v>
      </c>
      <c r="FT37" s="49">
        <v>1071.2</v>
      </c>
      <c r="FU37" s="48">
        <v>6.02</v>
      </c>
      <c r="FV37" s="48">
        <v>29.38</v>
      </c>
      <c r="FW37" s="48">
        <v>2904.5</v>
      </c>
      <c r="FX37" s="48">
        <v>161400</v>
      </c>
      <c r="FY37" s="48">
        <v>162500</v>
      </c>
      <c r="FZ37" s="49">
        <v>47.887</v>
      </c>
      <c r="GA37" s="49">
        <v>48.317</v>
      </c>
      <c r="GB37" s="49">
        <v>2181.1</v>
      </c>
      <c r="GC37" s="48">
        <v>2141.8000000000002</v>
      </c>
      <c r="GD37" s="48">
        <v>2186</v>
      </c>
      <c r="GE37" s="48">
        <v>2186.3000000000002</v>
      </c>
      <c r="GF37" s="49">
        <v>1474.2813000000001</v>
      </c>
      <c r="GG37" s="48">
        <v>31</v>
      </c>
      <c r="GH37" s="48">
        <v>31.2</v>
      </c>
      <c r="GI37" s="49">
        <v>49.7</v>
      </c>
      <c r="GJ37" s="49">
        <v>55.3</v>
      </c>
      <c r="GK37" s="49">
        <v>98</v>
      </c>
      <c r="GL37" s="48">
        <v>110.8</v>
      </c>
      <c r="GM37" s="49">
        <v>0</v>
      </c>
      <c r="GN37" s="48">
        <v>24.363</v>
      </c>
      <c r="GO37" s="48">
        <v>101.974</v>
      </c>
      <c r="GP37" s="49">
        <v>0</v>
      </c>
      <c r="GQ37" s="49">
        <v>3.2450000000000001</v>
      </c>
      <c r="GR37" s="49">
        <v>0</v>
      </c>
      <c r="GS37" s="49">
        <v>3.363</v>
      </c>
      <c r="GT37" s="49">
        <v>0</v>
      </c>
      <c r="GU37" s="49">
        <v>4.484</v>
      </c>
      <c r="GV37" s="49">
        <v>0</v>
      </c>
      <c r="GW37" s="49">
        <v>0.01</v>
      </c>
      <c r="GX37" s="49">
        <v>21.56</v>
      </c>
      <c r="GY37" s="49">
        <v>0</v>
      </c>
      <c r="GZ37" s="48">
        <v>10.728999999999999</v>
      </c>
      <c r="HA37" s="49">
        <v>21.265999999999998</v>
      </c>
      <c r="HB37" s="49">
        <v>1</v>
      </c>
      <c r="HC37" s="48">
        <v>33.119999999999997</v>
      </c>
      <c r="HD37" s="49">
        <v>90</v>
      </c>
      <c r="HE37" s="49">
        <v>0</v>
      </c>
      <c r="HF37" s="49">
        <v>0</v>
      </c>
      <c r="HG37" s="49">
        <v>77.78</v>
      </c>
      <c r="HH37" s="49">
        <v>100</v>
      </c>
      <c r="HI37" s="49">
        <v>0</v>
      </c>
      <c r="HJ37" s="49">
        <v>0</v>
      </c>
      <c r="HK37" s="49">
        <v>0</v>
      </c>
      <c r="HL37" s="49">
        <v>61</v>
      </c>
      <c r="HM37" s="49">
        <v>51</v>
      </c>
      <c r="HN37" s="49">
        <v>65</v>
      </c>
      <c r="HO37" s="49">
        <v>58</v>
      </c>
      <c r="HP37" s="48">
        <v>61</v>
      </c>
      <c r="HQ37" s="49">
        <v>59</v>
      </c>
      <c r="HR37" s="49">
        <v>54</v>
      </c>
      <c r="HS37" s="49">
        <v>64</v>
      </c>
      <c r="HT37" s="48">
        <v>-1.4730000000000001</v>
      </c>
      <c r="HU37" s="49">
        <v>0</v>
      </c>
      <c r="HV37" s="48">
        <v>0.66600000000000004</v>
      </c>
      <c r="HW37" s="48">
        <v>41.22</v>
      </c>
      <c r="HX37" s="48">
        <v>42.01</v>
      </c>
      <c r="HY37" s="3"/>
      <c r="HZ37" s="3"/>
      <c r="IA37" s="48">
        <v>2.8220000000000001</v>
      </c>
      <c r="IB37" s="48">
        <v>100</v>
      </c>
      <c r="IC37" s="48">
        <v>19.143000000000001</v>
      </c>
      <c r="ID37" s="49">
        <v>-0.19700000000000001</v>
      </c>
      <c r="IE37" s="49">
        <v>-0.10100000000000001</v>
      </c>
      <c r="IF37" s="48">
        <v>802.3</v>
      </c>
      <c r="IG37" s="48">
        <v>678.1</v>
      </c>
      <c r="IH37" s="48">
        <v>810.1</v>
      </c>
      <c r="II37" s="48">
        <v>694.9</v>
      </c>
      <c r="IJ37" s="49">
        <v>-8.0000000000000002E-3</v>
      </c>
      <c r="IK37" s="49">
        <v>2.1000000000000001E-2</v>
      </c>
      <c r="IL37" s="49">
        <v>141.631</v>
      </c>
      <c r="IM37" s="49">
        <v>141.631</v>
      </c>
      <c r="IN37" s="49">
        <v>17.189</v>
      </c>
      <c r="IO37" s="48">
        <v>0.22800000000000001</v>
      </c>
      <c r="IP37" s="49">
        <v>9.2899999999999991</v>
      </c>
      <c r="IQ37" s="48">
        <v>3.0000000000000001E-3</v>
      </c>
      <c r="IR37" s="49">
        <v>4.0000000000000001E-3</v>
      </c>
      <c r="IS37">
        <v>0.30200000000000005</v>
      </c>
      <c r="IT37">
        <v>0.14900000000000005</v>
      </c>
    </row>
    <row r="38" spans="2:254" x14ac:dyDescent="0.25">
      <c r="B38" s="2" t="s">
        <v>409</v>
      </c>
      <c r="C38" s="58" t="s">
        <v>42</v>
      </c>
      <c r="D38" s="59">
        <v>2.4440972222222221E-3</v>
      </c>
      <c r="E38" s="48">
        <v>211.17</v>
      </c>
      <c r="F38" s="48">
        <v>330.92</v>
      </c>
      <c r="G38" s="49">
        <v>6.09</v>
      </c>
      <c r="H38" s="49">
        <v>26.1</v>
      </c>
      <c r="I38" s="49">
        <v>0</v>
      </c>
      <c r="J38" s="48">
        <v>11</v>
      </c>
      <c r="K38" s="49">
        <v>7</v>
      </c>
      <c r="L38" s="49">
        <v>6</v>
      </c>
      <c r="M38" s="49">
        <v>7</v>
      </c>
      <c r="N38" s="49">
        <v>3</v>
      </c>
      <c r="O38" s="49">
        <v>3</v>
      </c>
      <c r="P38" s="48">
        <v>0.76200000000000001</v>
      </c>
      <c r="Q38" s="48">
        <v>1.28</v>
      </c>
      <c r="R38" s="48">
        <v>0.79200000000000004</v>
      </c>
      <c r="S38" s="49">
        <v>0.79</v>
      </c>
      <c r="T38" s="49">
        <v>78.73</v>
      </c>
      <c r="U38" s="48">
        <v>60.177</v>
      </c>
      <c r="V38" s="48">
        <v>240</v>
      </c>
      <c r="W38" s="48">
        <v>263.33999999999997</v>
      </c>
      <c r="X38" s="48">
        <v>172.5</v>
      </c>
      <c r="Y38" s="48">
        <v>213.34</v>
      </c>
      <c r="Z38" s="49">
        <v>384.97</v>
      </c>
      <c r="AA38" s="49">
        <v>403.85</v>
      </c>
      <c r="AB38" s="49">
        <v>296.8</v>
      </c>
      <c r="AC38" s="49">
        <v>362.16</v>
      </c>
      <c r="AD38" s="48">
        <v>1.7809999999999999</v>
      </c>
      <c r="AE38" s="48">
        <v>1.7969999999999999</v>
      </c>
      <c r="AF38" s="48">
        <v>1.804</v>
      </c>
      <c r="AG38" s="48">
        <v>1.8149999999999999</v>
      </c>
      <c r="AH38" s="48">
        <v>75.2</v>
      </c>
      <c r="AI38" s="48">
        <v>69.06</v>
      </c>
      <c r="AJ38" s="48">
        <v>104.14</v>
      </c>
      <c r="AK38" s="48">
        <v>104.42</v>
      </c>
      <c r="AL38" s="49">
        <v>705.846</v>
      </c>
      <c r="AM38" s="49">
        <v>715.86699999999996</v>
      </c>
      <c r="AN38" s="49">
        <v>947.755</v>
      </c>
      <c r="AO38" s="49">
        <v>888.95399999999995</v>
      </c>
      <c r="AP38" s="48">
        <v>1.3520000000000001</v>
      </c>
      <c r="AQ38" s="49">
        <v>1.8280000000000001</v>
      </c>
      <c r="AR38" s="48">
        <v>40.567</v>
      </c>
      <c r="AS38" s="48">
        <v>36.206000000000003</v>
      </c>
      <c r="AT38" s="48">
        <v>83</v>
      </c>
      <c r="AU38" s="48">
        <v>120</v>
      </c>
      <c r="AV38" s="49">
        <v>1.244</v>
      </c>
      <c r="AW38" s="49">
        <v>4.7260999999999997</v>
      </c>
      <c r="AX38" s="48">
        <v>1015.2</v>
      </c>
      <c r="AY38" s="48">
        <v>2.5099999999999998</v>
      </c>
      <c r="AZ38" s="49">
        <v>4.66</v>
      </c>
      <c r="BA38" s="48">
        <v>113.934</v>
      </c>
      <c r="BB38" s="48">
        <v>113.82599999999999</v>
      </c>
      <c r="BC38" s="49">
        <v>8250</v>
      </c>
      <c r="BD38" s="48">
        <v>88.75</v>
      </c>
      <c r="BE38" s="49">
        <v>17.329999999999998</v>
      </c>
      <c r="BF38" s="48">
        <v>14.234999999999999</v>
      </c>
      <c r="BG38" s="49">
        <v>30.2</v>
      </c>
      <c r="BH38" s="49">
        <v>29.99</v>
      </c>
      <c r="BI38" s="3"/>
      <c r="BJ38" s="3"/>
      <c r="BK38" s="3"/>
      <c r="BL38" s="3"/>
      <c r="BM38" s="3"/>
      <c r="BN38" s="48">
        <v>100.47199999999999</v>
      </c>
      <c r="BO38" s="48">
        <v>99.128</v>
      </c>
      <c r="BP38" s="48">
        <v>123.11199999999999</v>
      </c>
      <c r="BQ38" s="48">
        <v>125.57599999999999</v>
      </c>
      <c r="BR38" s="3"/>
      <c r="BS38" s="48">
        <v>25.8</v>
      </c>
      <c r="BT38" s="48">
        <v>7267.8249999999998</v>
      </c>
      <c r="BU38" s="48">
        <v>47.854999999999997</v>
      </c>
      <c r="BV38" s="48">
        <v>51.006</v>
      </c>
      <c r="BW38" s="48">
        <v>51.082999999999998</v>
      </c>
      <c r="BX38" s="48">
        <v>52.53</v>
      </c>
      <c r="BY38" s="48">
        <v>1.3580000000000001</v>
      </c>
      <c r="BZ38" s="49">
        <v>3.6640000000000001</v>
      </c>
      <c r="CA38" s="48">
        <v>3.4089999999999998</v>
      </c>
      <c r="CB38" s="49">
        <v>4.1769999999999996</v>
      </c>
      <c r="CC38" s="48">
        <v>0.88900000000000001</v>
      </c>
      <c r="CD38" s="48">
        <v>2.13</v>
      </c>
      <c r="CE38" s="49">
        <v>1.2829999999999999</v>
      </c>
      <c r="CF38" s="49">
        <v>2.0499999999999998</v>
      </c>
      <c r="CG38" s="48">
        <v>13.726000000000001</v>
      </c>
      <c r="CH38" s="48">
        <v>13.541</v>
      </c>
      <c r="CI38" s="48">
        <v>4.1749999999999998</v>
      </c>
      <c r="CJ38" s="49">
        <v>3.472</v>
      </c>
      <c r="CK38" s="49">
        <v>1.73</v>
      </c>
      <c r="CL38" s="48">
        <v>0.1</v>
      </c>
      <c r="CM38" s="48">
        <v>0.7</v>
      </c>
      <c r="CN38" s="48">
        <v>0</v>
      </c>
      <c r="CO38" s="48">
        <v>0</v>
      </c>
      <c r="CP38" s="48">
        <v>95.4</v>
      </c>
      <c r="CQ38" s="48">
        <v>95.899000000000001</v>
      </c>
      <c r="CR38" s="48">
        <v>110.965</v>
      </c>
      <c r="CS38" s="48">
        <v>116.298</v>
      </c>
      <c r="CT38" s="48">
        <v>0.29799999999999999</v>
      </c>
      <c r="CU38" s="48">
        <v>1.1000000000000001</v>
      </c>
      <c r="CV38" s="48">
        <v>1.4</v>
      </c>
      <c r="CW38" s="48">
        <v>0.70099999999999996</v>
      </c>
      <c r="CX38" s="48">
        <v>1.099</v>
      </c>
      <c r="CY38" s="48">
        <v>0.30099999999999999</v>
      </c>
      <c r="CZ38" s="49">
        <v>1.204</v>
      </c>
      <c r="DA38" s="48">
        <v>0.499</v>
      </c>
      <c r="DB38" s="48">
        <v>1.2989999999999999</v>
      </c>
      <c r="DC38" s="48">
        <v>0</v>
      </c>
      <c r="DD38" s="49">
        <v>0</v>
      </c>
      <c r="DE38" s="49">
        <v>0.312</v>
      </c>
      <c r="DF38" s="49">
        <v>0.16500000000000001</v>
      </c>
      <c r="DG38" s="49">
        <v>1.0469999999999999</v>
      </c>
      <c r="DH38" s="49">
        <v>2.4630000000000001</v>
      </c>
      <c r="DI38" s="49">
        <v>1.252</v>
      </c>
      <c r="DJ38" s="49">
        <v>0.32800000000000001</v>
      </c>
      <c r="DK38" s="48">
        <v>0.96499999999999997</v>
      </c>
      <c r="DL38" s="48">
        <v>0.40600000000000003</v>
      </c>
      <c r="DM38" s="49">
        <v>0.95899999999999996</v>
      </c>
      <c r="DN38" s="48">
        <v>0.42799999999999999</v>
      </c>
      <c r="DO38" s="48">
        <v>-0.9</v>
      </c>
      <c r="DP38" s="49">
        <v>65.912000000000006</v>
      </c>
      <c r="DQ38" s="48">
        <v>58.831000000000003</v>
      </c>
      <c r="DR38" s="48">
        <v>53.976999999999997</v>
      </c>
      <c r="DS38" s="48">
        <v>49.771000000000001</v>
      </c>
      <c r="DT38" s="49">
        <v>6.62</v>
      </c>
      <c r="DU38" s="49">
        <v>6.59</v>
      </c>
      <c r="DV38" s="49">
        <v>12.82</v>
      </c>
      <c r="DW38" s="49">
        <v>9.75</v>
      </c>
      <c r="DX38" s="49">
        <v>7.16</v>
      </c>
      <c r="DY38" s="49">
        <v>6.9</v>
      </c>
      <c r="DZ38" s="49">
        <v>12.31</v>
      </c>
      <c r="EA38" s="49">
        <v>9.8800000000000008</v>
      </c>
      <c r="EB38" s="49">
        <v>42.46</v>
      </c>
      <c r="EC38" s="49">
        <v>41.78</v>
      </c>
      <c r="ED38" s="48">
        <v>33.619999999999997</v>
      </c>
      <c r="EE38" s="49">
        <v>37.130000000000003</v>
      </c>
      <c r="EF38" s="48">
        <v>43.76</v>
      </c>
      <c r="EG38" s="48">
        <v>44.73</v>
      </c>
      <c r="EH38" s="48">
        <v>41.25</v>
      </c>
      <c r="EI38" s="48">
        <v>43.24</v>
      </c>
      <c r="EJ38" s="48">
        <v>7.476</v>
      </c>
      <c r="EK38" s="49">
        <v>62.978000000000002</v>
      </c>
      <c r="EL38" s="48">
        <v>2.2999999999999998</v>
      </c>
      <c r="EM38" s="49">
        <v>1.9</v>
      </c>
      <c r="EN38" s="48">
        <v>1.18</v>
      </c>
      <c r="EO38" s="48">
        <v>1.19</v>
      </c>
      <c r="EP38" s="48">
        <v>-106.514</v>
      </c>
      <c r="EQ38" s="48">
        <v>-2.484</v>
      </c>
      <c r="ER38" s="49">
        <v>113.946</v>
      </c>
      <c r="ES38" s="49">
        <v>1.401</v>
      </c>
      <c r="ET38" s="49">
        <v>1.5980000000000001</v>
      </c>
      <c r="EU38" s="49">
        <v>1.381</v>
      </c>
      <c r="EV38" s="49">
        <v>7.6379999999999999</v>
      </c>
      <c r="EW38" s="48">
        <v>3.54</v>
      </c>
      <c r="EX38" s="49">
        <v>75.239999999999995</v>
      </c>
      <c r="EY38" s="48">
        <v>0</v>
      </c>
      <c r="EZ38" s="49">
        <v>2.7E-2</v>
      </c>
      <c r="FA38" s="49">
        <v>0</v>
      </c>
      <c r="FB38" s="48">
        <v>8.9960000000000004</v>
      </c>
      <c r="FC38" s="48">
        <v>68.394999999999996</v>
      </c>
      <c r="FD38" s="48">
        <v>63.332000000000001</v>
      </c>
      <c r="FE38" s="48">
        <v>76.537000000000006</v>
      </c>
      <c r="FF38" s="48">
        <v>74.695999999999998</v>
      </c>
      <c r="FG38" s="48">
        <v>0.91700000000000004</v>
      </c>
      <c r="FH38" s="48">
        <v>0.91800000000000004</v>
      </c>
      <c r="FI38" s="48">
        <v>0.997</v>
      </c>
      <c r="FJ38" s="48">
        <v>1.0029999999999999</v>
      </c>
      <c r="FK38" s="48">
        <v>0</v>
      </c>
      <c r="FL38" s="48">
        <v>83</v>
      </c>
      <c r="FM38" s="48">
        <v>3.78</v>
      </c>
      <c r="FN38" s="48">
        <v>1.29</v>
      </c>
      <c r="FO38" s="49">
        <v>4.79</v>
      </c>
      <c r="FP38" s="3"/>
      <c r="FQ38" s="48">
        <v>4.6500000000000004</v>
      </c>
      <c r="FR38" s="48">
        <v>5</v>
      </c>
      <c r="FS38" s="48">
        <v>6.4005000000000001</v>
      </c>
      <c r="FT38" s="48">
        <v>1067.5</v>
      </c>
      <c r="FU38" s="48">
        <v>6.03</v>
      </c>
      <c r="FV38" s="48">
        <v>35.47</v>
      </c>
      <c r="FW38" s="48">
        <v>2911.5</v>
      </c>
      <c r="FX38" s="49">
        <v>164800</v>
      </c>
      <c r="FY38" s="49">
        <v>166100</v>
      </c>
      <c r="FZ38" s="48">
        <v>46.765999999999998</v>
      </c>
      <c r="GA38" s="48">
        <v>47.186999999999998</v>
      </c>
      <c r="GB38" s="48">
        <v>2154.3000000000002</v>
      </c>
      <c r="GC38" s="49">
        <v>2154.1</v>
      </c>
      <c r="GD38" s="48">
        <v>2172.1</v>
      </c>
      <c r="GE38" s="48">
        <v>2173.5</v>
      </c>
      <c r="GF38" s="48">
        <v>1289.0313000000001</v>
      </c>
      <c r="GG38" s="48">
        <v>32</v>
      </c>
      <c r="GH38" s="48">
        <v>31.8</v>
      </c>
      <c r="GI38" s="48">
        <v>46.9</v>
      </c>
      <c r="GJ38" s="48">
        <v>52.1</v>
      </c>
      <c r="GK38" s="48">
        <v>99.5</v>
      </c>
      <c r="GL38" s="48">
        <v>107.6</v>
      </c>
      <c r="GM38" s="49">
        <v>0</v>
      </c>
      <c r="GN38" s="48">
        <v>25.050999999999998</v>
      </c>
      <c r="GO38" s="49">
        <v>113.946</v>
      </c>
      <c r="GP38" s="48">
        <v>0.47199999999999998</v>
      </c>
      <c r="GQ38" s="48">
        <v>1.829</v>
      </c>
      <c r="GR38" s="48">
        <v>0.76700000000000002</v>
      </c>
      <c r="GS38" s="48">
        <v>2.0059999999999998</v>
      </c>
      <c r="GT38" s="48">
        <v>0.53100000000000003</v>
      </c>
      <c r="GU38" s="48">
        <v>1.829</v>
      </c>
      <c r="GV38" s="49">
        <v>0</v>
      </c>
      <c r="GW38" s="48">
        <v>0</v>
      </c>
      <c r="GX38" s="48">
        <v>0</v>
      </c>
      <c r="GY38" s="48">
        <v>11.76</v>
      </c>
      <c r="GZ38" s="49">
        <v>13.579000000000001</v>
      </c>
      <c r="HA38" s="48">
        <v>14.994</v>
      </c>
      <c r="HB38" s="48">
        <v>0</v>
      </c>
      <c r="HC38" s="49">
        <v>36.558</v>
      </c>
      <c r="HD38" s="48">
        <v>82</v>
      </c>
      <c r="HE38" s="49">
        <v>0</v>
      </c>
      <c r="HF38" s="49">
        <v>0</v>
      </c>
      <c r="HG38" s="48">
        <v>66.8</v>
      </c>
      <c r="HH38" s="48">
        <v>78.010000000000005</v>
      </c>
      <c r="HI38" s="49">
        <v>0</v>
      </c>
      <c r="HJ38" s="49">
        <v>0</v>
      </c>
      <c r="HK38" s="49">
        <v>0</v>
      </c>
      <c r="HL38" s="48">
        <v>58</v>
      </c>
      <c r="HM38" s="49">
        <v>51</v>
      </c>
      <c r="HN38" s="49">
        <v>65</v>
      </c>
      <c r="HO38" s="49">
        <v>58</v>
      </c>
      <c r="HP38" s="49">
        <v>62</v>
      </c>
      <c r="HQ38" s="49">
        <v>59</v>
      </c>
      <c r="HR38" s="49">
        <v>54</v>
      </c>
      <c r="HS38" s="48">
        <v>62</v>
      </c>
      <c r="HT38" s="48">
        <v>-1.5115000000000001</v>
      </c>
      <c r="HU38" s="49">
        <v>0</v>
      </c>
      <c r="HV38" s="49">
        <v>0.97899999999999998</v>
      </c>
      <c r="HW38" s="49">
        <v>40.409999999999997</v>
      </c>
      <c r="HX38" s="49">
        <v>40.15</v>
      </c>
      <c r="HY38" s="49">
        <v>50.74</v>
      </c>
      <c r="HZ38" s="49">
        <v>50.74</v>
      </c>
      <c r="IA38" s="48">
        <v>2.9350000000000001</v>
      </c>
      <c r="IB38" s="49">
        <v>104</v>
      </c>
      <c r="IC38" s="49">
        <v>22.454000000000001</v>
      </c>
      <c r="ID38" s="48">
        <v>-0.26500000000000001</v>
      </c>
      <c r="IE38" s="48">
        <v>-0.14499999999999999</v>
      </c>
      <c r="IF38" s="48">
        <v>805.1</v>
      </c>
      <c r="IG38" s="49">
        <v>758.1</v>
      </c>
      <c r="IH38" s="49">
        <v>811.1</v>
      </c>
      <c r="II38" s="49">
        <v>769.3</v>
      </c>
      <c r="IJ38" s="48">
        <v>-6.0999999999999999E-2</v>
      </c>
      <c r="IK38" s="48">
        <v>-1.7999999999999999E-2</v>
      </c>
      <c r="IL38" s="48">
        <v>66.807000000000002</v>
      </c>
      <c r="IM38" s="48">
        <v>66.807000000000002</v>
      </c>
      <c r="IN38" s="48">
        <v>11.423999999999999</v>
      </c>
      <c r="IO38" s="49">
        <v>0.33</v>
      </c>
      <c r="IP38" s="48">
        <v>9.19</v>
      </c>
      <c r="IQ38" s="49">
        <v>8.0000000000000002E-3</v>
      </c>
      <c r="IR38" s="49">
        <v>4.0000000000000001E-3</v>
      </c>
      <c r="IS38">
        <v>0.31000000000000005</v>
      </c>
      <c r="IT38">
        <v>0.15300000000000005</v>
      </c>
    </row>
    <row r="39" spans="2:254" x14ac:dyDescent="0.25">
      <c r="B39" s="2" t="s">
        <v>409</v>
      </c>
      <c r="C39" s="2" t="s">
        <v>43</v>
      </c>
      <c r="D39" s="57">
        <v>2.9267361111111113E-3</v>
      </c>
      <c r="E39" s="48">
        <v>252.86600000000001</v>
      </c>
      <c r="F39" s="49">
        <v>333.12</v>
      </c>
      <c r="G39" s="48">
        <v>5.99</v>
      </c>
      <c r="H39" s="49">
        <v>26.1</v>
      </c>
      <c r="I39" s="49">
        <v>0</v>
      </c>
      <c r="J39" s="48">
        <v>27.7</v>
      </c>
      <c r="K39" s="49">
        <v>7</v>
      </c>
      <c r="L39" s="49">
        <v>6</v>
      </c>
      <c r="M39" s="49">
        <v>7</v>
      </c>
      <c r="N39" s="49">
        <v>3</v>
      </c>
      <c r="O39" s="49">
        <v>3</v>
      </c>
      <c r="P39" s="48">
        <v>0.72899999999999998</v>
      </c>
      <c r="Q39" s="48">
        <v>1.2290000000000001</v>
      </c>
      <c r="R39" s="48">
        <v>0.78600000000000003</v>
      </c>
      <c r="S39" s="48">
        <v>0.59699999999999998</v>
      </c>
      <c r="T39" s="48">
        <v>75.36</v>
      </c>
      <c r="U39" s="48">
        <v>60.167000000000002</v>
      </c>
      <c r="V39" s="48">
        <v>250</v>
      </c>
      <c r="W39" s="48">
        <v>270</v>
      </c>
      <c r="X39" s="48">
        <v>187.5</v>
      </c>
      <c r="Y39" s="48">
        <v>225</v>
      </c>
      <c r="Z39" s="48">
        <v>380.78</v>
      </c>
      <c r="AA39" s="48">
        <v>398.6</v>
      </c>
      <c r="AB39" s="48">
        <v>286.33999999999997</v>
      </c>
      <c r="AC39" s="48">
        <v>344.41</v>
      </c>
      <c r="AD39" s="49">
        <v>1.7969999999999999</v>
      </c>
      <c r="AE39" s="49">
        <v>1.821</v>
      </c>
      <c r="AF39" s="49">
        <v>1.8440000000000001</v>
      </c>
      <c r="AG39" s="49">
        <v>1.857</v>
      </c>
      <c r="AH39" s="49">
        <v>77.430000000000007</v>
      </c>
      <c r="AI39" s="49">
        <v>71.86</v>
      </c>
      <c r="AJ39" s="49">
        <v>108.16</v>
      </c>
      <c r="AK39" s="49">
        <v>109.15</v>
      </c>
      <c r="AL39" s="48">
        <v>677.971</v>
      </c>
      <c r="AM39" s="48">
        <v>665.11500000000001</v>
      </c>
      <c r="AN39" s="48">
        <v>870.96</v>
      </c>
      <c r="AO39" s="48">
        <v>883.62</v>
      </c>
      <c r="AP39" s="48">
        <v>1.335</v>
      </c>
      <c r="AQ39" s="48">
        <v>1.8089999999999999</v>
      </c>
      <c r="AR39" s="49">
        <v>43.127000000000002</v>
      </c>
      <c r="AS39" s="49">
        <v>38.177999999999997</v>
      </c>
      <c r="AT39" s="48">
        <v>83</v>
      </c>
      <c r="AU39" s="49">
        <v>122</v>
      </c>
      <c r="AV39" s="48">
        <v>1.331</v>
      </c>
      <c r="AW39" s="48">
        <v>4.5163000000000002</v>
      </c>
      <c r="AX39" s="48">
        <v>1014.9</v>
      </c>
      <c r="AY39" s="48">
        <v>2.48</v>
      </c>
      <c r="AZ39" s="48">
        <v>5.08</v>
      </c>
      <c r="BA39" s="48">
        <v>69.3</v>
      </c>
      <c r="BB39" s="48">
        <v>69.307000000000002</v>
      </c>
      <c r="BC39" s="48">
        <v>8076</v>
      </c>
      <c r="BD39" s="49">
        <v>90</v>
      </c>
      <c r="BE39" s="48">
        <v>16.535</v>
      </c>
      <c r="BF39" s="49">
        <v>14.885</v>
      </c>
      <c r="BG39" s="48">
        <v>28.56</v>
      </c>
      <c r="BH39" s="48">
        <v>29.6</v>
      </c>
      <c r="BI39" s="49">
        <v>65.474999999999994</v>
      </c>
      <c r="BJ39" s="49">
        <v>80.010999999999996</v>
      </c>
      <c r="BK39" s="49">
        <v>63.938000000000002</v>
      </c>
      <c r="BL39" s="49">
        <v>77.293999999999997</v>
      </c>
      <c r="BM39" s="49">
        <v>78.08</v>
      </c>
      <c r="BN39" s="48">
        <v>115.91200000000001</v>
      </c>
      <c r="BO39" s="48">
        <v>120.47199999999999</v>
      </c>
      <c r="BP39" s="49">
        <v>134.55199999999999</v>
      </c>
      <c r="BQ39" s="49">
        <v>135</v>
      </c>
      <c r="BR39" s="49">
        <v>60.195999999999998</v>
      </c>
      <c r="BS39" s="49">
        <v>25.9</v>
      </c>
      <c r="BT39" s="49">
        <v>7327.4849999999997</v>
      </c>
      <c r="BU39" s="48">
        <v>48.040999999999997</v>
      </c>
      <c r="BV39" s="48">
        <v>50.121000000000002</v>
      </c>
      <c r="BW39" s="48">
        <v>52.182000000000002</v>
      </c>
      <c r="BX39" s="48">
        <v>53.563000000000002</v>
      </c>
      <c r="BY39" s="48">
        <v>1.389</v>
      </c>
      <c r="BZ39" s="48">
        <v>3.12</v>
      </c>
      <c r="CA39" s="48">
        <v>3.157</v>
      </c>
      <c r="CB39" s="48">
        <v>3.6259999999999999</v>
      </c>
      <c r="CC39" s="49">
        <v>1.123</v>
      </c>
      <c r="CD39" s="48">
        <v>2.2389999999999999</v>
      </c>
      <c r="CE39" s="48">
        <v>1.2010000000000001</v>
      </c>
      <c r="CF39" s="48">
        <v>1.9910000000000001</v>
      </c>
      <c r="CG39" s="49">
        <v>13.738</v>
      </c>
      <c r="CH39" s="48">
        <v>13.22</v>
      </c>
      <c r="CI39" s="3"/>
      <c r="CJ39" s="3"/>
      <c r="CK39" s="3"/>
      <c r="CL39" s="48">
        <v>0</v>
      </c>
      <c r="CM39" s="49">
        <v>0.8</v>
      </c>
      <c r="CN39" s="49">
        <v>0.1</v>
      </c>
      <c r="CO39" s="49">
        <v>0.1</v>
      </c>
      <c r="CP39" s="48">
        <v>97.188000000000002</v>
      </c>
      <c r="CQ39" s="48">
        <v>98.480999999999995</v>
      </c>
      <c r="CR39" s="49">
        <v>119.557</v>
      </c>
      <c r="CS39" s="49">
        <v>122.593</v>
      </c>
      <c r="CT39" s="48">
        <v>0.38200000000000001</v>
      </c>
      <c r="CU39" s="49">
        <v>1.3029999999999999</v>
      </c>
      <c r="CV39" s="49">
        <v>1.7050000000000001</v>
      </c>
      <c r="CW39" s="48">
        <v>1.099</v>
      </c>
      <c r="CX39" s="48">
        <v>0.79900000000000004</v>
      </c>
      <c r="CY39" s="48">
        <v>0.498</v>
      </c>
      <c r="CZ39" s="48">
        <v>1.0009999999999999</v>
      </c>
      <c r="DA39" s="48">
        <v>0.60099999999999998</v>
      </c>
      <c r="DB39" s="48">
        <v>1.599</v>
      </c>
      <c r="DC39" s="48">
        <v>0</v>
      </c>
      <c r="DD39" s="49">
        <v>0</v>
      </c>
      <c r="DE39" s="48">
        <v>0.246</v>
      </c>
      <c r="DF39" s="48">
        <v>0.13200000000000001</v>
      </c>
      <c r="DG39" s="48">
        <v>0.41599999999999998</v>
      </c>
      <c r="DH39" s="48">
        <v>1.9379999999999999</v>
      </c>
      <c r="DI39" s="48">
        <v>0.94</v>
      </c>
      <c r="DJ39" s="48">
        <v>0.127</v>
      </c>
      <c r="DK39" s="49">
        <v>1.1020000000000001</v>
      </c>
      <c r="DL39" s="48">
        <v>0.40699999999999997</v>
      </c>
      <c r="DM39" s="48">
        <v>5.7000000000000002E-2</v>
      </c>
      <c r="DN39" s="49">
        <v>0.48</v>
      </c>
      <c r="DO39" s="48">
        <v>0.40300000000000002</v>
      </c>
      <c r="DP39" s="48">
        <v>64.971999999999994</v>
      </c>
      <c r="DQ39" s="48">
        <v>56.716999999999999</v>
      </c>
      <c r="DR39" s="48">
        <v>52.737000000000002</v>
      </c>
      <c r="DS39" s="48">
        <v>50.621000000000002</v>
      </c>
      <c r="DT39" s="48">
        <v>5.65</v>
      </c>
      <c r="DU39" s="48">
        <v>5.51</v>
      </c>
      <c r="DV39" s="48">
        <v>10.48</v>
      </c>
      <c r="DW39" s="48">
        <v>8.18</v>
      </c>
      <c r="DX39" s="48">
        <v>5.93</v>
      </c>
      <c r="DY39" s="48">
        <v>5.69</v>
      </c>
      <c r="DZ39" s="48">
        <v>10.19</v>
      </c>
      <c r="EA39" s="48">
        <v>8.16</v>
      </c>
      <c r="EB39" s="48">
        <v>41.43</v>
      </c>
      <c r="EC39" s="48">
        <v>40.43</v>
      </c>
      <c r="ED39" s="49">
        <v>33.83</v>
      </c>
      <c r="EE39" s="48">
        <v>35.17</v>
      </c>
      <c r="EF39" s="48">
        <v>46.99</v>
      </c>
      <c r="EG39" s="48">
        <v>48.37</v>
      </c>
      <c r="EH39" s="48">
        <v>45.5</v>
      </c>
      <c r="EI39" s="48">
        <v>48.49</v>
      </c>
      <c r="EJ39" s="49">
        <v>7.6150000000000002</v>
      </c>
      <c r="EK39" s="48">
        <v>62.896000000000001</v>
      </c>
      <c r="EL39" s="48">
        <v>2.4</v>
      </c>
      <c r="EM39" s="49">
        <v>1.9</v>
      </c>
      <c r="EN39" s="49">
        <v>1.25</v>
      </c>
      <c r="EO39" s="49">
        <v>1.2</v>
      </c>
      <c r="EP39" s="49">
        <v>-112.646</v>
      </c>
      <c r="EQ39" s="48">
        <v>-2.0139999999999998</v>
      </c>
      <c r="ER39" s="48">
        <v>101.39</v>
      </c>
      <c r="ES39" s="48">
        <v>1.329</v>
      </c>
      <c r="ET39" s="48">
        <v>1.496</v>
      </c>
      <c r="EU39" s="48">
        <v>1.3129999999999999</v>
      </c>
      <c r="EV39" s="48">
        <v>7.4930000000000003</v>
      </c>
      <c r="EW39" s="49">
        <v>3.5640000000000001</v>
      </c>
      <c r="EX39" s="48">
        <v>72.739999999999995</v>
      </c>
      <c r="EY39" s="48">
        <v>0</v>
      </c>
      <c r="EZ39" s="48">
        <v>0</v>
      </c>
      <c r="FA39" s="49">
        <v>0</v>
      </c>
      <c r="FB39" s="49">
        <v>9.0790000000000006</v>
      </c>
      <c r="FC39" s="49">
        <v>70.614000000000004</v>
      </c>
      <c r="FD39" s="49">
        <v>65.525000000000006</v>
      </c>
      <c r="FE39" s="49">
        <v>81.846999999999994</v>
      </c>
      <c r="FF39" s="49">
        <v>79.366</v>
      </c>
      <c r="FG39" s="49">
        <v>1.06</v>
      </c>
      <c r="FH39" s="48">
        <v>0.98099999999999998</v>
      </c>
      <c r="FI39" s="48">
        <v>0.997</v>
      </c>
      <c r="FJ39" s="48">
        <v>1.002</v>
      </c>
      <c r="FK39" s="48">
        <v>0</v>
      </c>
      <c r="FL39" s="48">
        <v>83</v>
      </c>
      <c r="FM39" s="48">
        <v>3.78</v>
      </c>
      <c r="FN39" s="49">
        <v>0.78</v>
      </c>
      <c r="FO39" s="48">
        <v>5.09</v>
      </c>
      <c r="FP39" s="48">
        <v>3.9</v>
      </c>
      <c r="FQ39" s="49">
        <v>4.5</v>
      </c>
      <c r="FR39" s="48">
        <v>5.05</v>
      </c>
      <c r="FS39" s="48">
        <v>6.4390000000000001</v>
      </c>
      <c r="FT39" s="48">
        <v>1069.7</v>
      </c>
      <c r="FU39" s="49">
        <v>6.3</v>
      </c>
      <c r="FV39" s="49">
        <v>41.46</v>
      </c>
      <c r="FW39" s="49">
        <v>2953.5</v>
      </c>
      <c r="FX39" s="48">
        <v>163400</v>
      </c>
      <c r="FY39" s="48">
        <v>164900</v>
      </c>
      <c r="FZ39" s="48">
        <v>46.707000000000001</v>
      </c>
      <c r="GA39" s="48">
        <v>47.112000000000002</v>
      </c>
      <c r="GB39" s="48">
        <v>2146.8000000000002</v>
      </c>
      <c r="GC39" s="48">
        <v>2151.9</v>
      </c>
      <c r="GD39" s="49">
        <v>2384.5</v>
      </c>
      <c r="GE39" s="49">
        <v>2201.8000000000002</v>
      </c>
      <c r="GF39" s="48">
        <v>1385.0625</v>
      </c>
      <c r="GG39" s="49">
        <v>33</v>
      </c>
      <c r="GH39" s="49">
        <v>32.5</v>
      </c>
      <c r="GI39" s="48">
        <v>46.4</v>
      </c>
      <c r="GJ39" s="48">
        <v>51.2</v>
      </c>
      <c r="GK39" s="48">
        <v>99</v>
      </c>
      <c r="GL39" s="49">
        <v>112</v>
      </c>
      <c r="GM39" s="49">
        <v>0</v>
      </c>
      <c r="GN39" s="49">
        <v>26.012</v>
      </c>
      <c r="GO39" s="48">
        <v>112.646</v>
      </c>
      <c r="GP39" s="49">
        <v>0</v>
      </c>
      <c r="GQ39" s="48">
        <v>1.8879999999999999</v>
      </c>
      <c r="GR39" s="49">
        <v>0</v>
      </c>
      <c r="GS39" s="48">
        <v>2.0059999999999998</v>
      </c>
      <c r="GT39" s="49">
        <v>0</v>
      </c>
      <c r="GU39" s="48">
        <v>1.829</v>
      </c>
      <c r="GV39" s="49">
        <v>0</v>
      </c>
      <c r="GW39" s="48">
        <v>0</v>
      </c>
      <c r="GX39" s="48">
        <v>0</v>
      </c>
      <c r="GY39" s="49">
        <v>0</v>
      </c>
      <c r="GZ39" s="48">
        <v>12.813000000000001</v>
      </c>
      <c r="HA39" s="48">
        <v>16.170000000000002</v>
      </c>
      <c r="HB39" s="48">
        <v>0</v>
      </c>
      <c r="HC39" s="48">
        <v>34.106999999999999</v>
      </c>
      <c r="HD39" s="48">
        <v>82</v>
      </c>
      <c r="HE39" s="49">
        <v>0</v>
      </c>
      <c r="HF39" s="49">
        <v>0</v>
      </c>
      <c r="HG39" s="48">
        <v>66.91</v>
      </c>
      <c r="HH39" s="48">
        <v>78.27</v>
      </c>
      <c r="HI39" s="49">
        <v>0</v>
      </c>
      <c r="HJ39" s="49">
        <v>0</v>
      </c>
      <c r="HK39" s="49">
        <v>0</v>
      </c>
      <c r="HL39" s="48">
        <v>58</v>
      </c>
      <c r="HM39" s="49">
        <v>51</v>
      </c>
      <c r="HN39" s="49">
        <v>65</v>
      </c>
      <c r="HO39" s="49">
        <v>58</v>
      </c>
      <c r="HP39" s="49">
        <v>62</v>
      </c>
      <c r="HQ39" s="49">
        <v>59</v>
      </c>
      <c r="HR39" s="49">
        <v>54</v>
      </c>
      <c r="HS39" s="49">
        <v>64</v>
      </c>
      <c r="HT39" s="49">
        <v>-1.5149999999999999</v>
      </c>
      <c r="HU39" s="49">
        <v>0</v>
      </c>
      <c r="HV39" s="48">
        <v>0.61399999999999999</v>
      </c>
      <c r="HW39" s="49">
        <v>40.409999999999997</v>
      </c>
      <c r="HX39" s="49">
        <v>40.15</v>
      </c>
      <c r="HY39" s="3"/>
      <c r="HZ39" s="3"/>
      <c r="IA39" s="49">
        <v>2.9969999999999999</v>
      </c>
      <c r="IB39" s="48">
        <v>103</v>
      </c>
      <c r="IC39" s="48">
        <v>22.143999999999998</v>
      </c>
      <c r="ID39" s="48">
        <v>-0.29799999999999999</v>
      </c>
      <c r="IE39" s="48">
        <v>-0.16200000000000001</v>
      </c>
      <c r="IF39" s="49">
        <v>808.7</v>
      </c>
      <c r="IG39" s="48">
        <v>736.4</v>
      </c>
      <c r="IH39" s="49">
        <v>811.1</v>
      </c>
      <c r="II39" s="48">
        <v>749.6</v>
      </c>
      <c r="IJ39" s="48">
        <v>-6.9000000000000006E-2</v>
      </c>
      <c r="IK39" s="48">
        <v>-1.7000000000000001E-2</v>
      </c>
      <c r="IL39" s="48">
        <v>87.584000000000003</v>
      </c>
      <c r="IM39" s="48">
        <v>87.584000000000003</v>
      </c>
      <c r="IN39" s="48">
        <v>13.590999999999999</v>
      </c>
      <c r="IO39" s="48">
        <v>0.26</v>
      </c>
      <c r="IP39" s="48">
        <v>9.07</v>
      </c>
      <c r="IQ39" s="48">
        <v>0</v>
      </c>
      <c r="IR39" s="48">
        <v>0</v>
      </c>
      <c r="IS39">
        <v>0.31000000000000005</v>
      </c>
      <c r="IT39">
        <v>0.15300000000000005</v>
      </c>
    </row>
    <row r="40" spans="2:254" x14ac:dyDescent="0.25">
      <c r="IS40">
        <v>0.31000000000000005</v>
      </c>
      <c r="IT40">
        <v>0.15300000000000005</v>
      </c>
    </row>
    <row r="41" spans="2:254" x14ac:dyDescent="0.25">
      <c r="IS41">
        <v>0.31000000000000005</v>
      </c>
      <c r="IT41">
        <v>0.15300000000000005</v>
      </c>
    </row>
    <row r="42" spans="2:254" x14ac:dyDescent="0.25">
      <c r="IS42">
        <v>0.31000000000000005</v>
      </c>
      <c r="IT42">
        <v>0.15300000000000005</v>
      </c>
    </row>
    <row r="43" spans="2:254" x14ac:dyDescent="0.25">
      <c r="B43" s="2" t="s">
        <v>409</v>
      </c>
      <c r="C43" s="2" t="s">
        <v>41</v>
      </c>
      <c r="D43" s="2" t="s">
        <v>419</v>
      </c>
      <c r="E43" s="48">
        <v>291.16500000000002</v>
      </c>
      <c r="F43" s="48">
        <v>329.48</v>
      </c>
      <c r="G43" s="48">
        <v>5.84</v>
      </c>
      <c r="H43" s="48">
        <v>25.9</v>
      </c>
      <c r="I43" s="49">
        <v>0</v>
      </c>
      <c r="J43" s="48">
        <v>30.3</v>
      </c>
      <c r="K43" s="49">
        <v>7</v>
      </c>
      <c r="L43" s="49">
        <v>6</v>
      </c>
      <c r="M43" s="49">
        <v>7</v>
      </c>
      <c r="N43" s="49">
        <v>3</v>
      </c>
      <c r="O43" s="49">
        <v>3</v>
      </c>
      <c r="P43" s="48">
        <v>0.78300000000000003</v>
      </c>
      <c r="Q43" s="48">
        <v>1.0740000000000001</v>
      </c>
      <c r="R43" s="48">
        <v>0.879</v>
      </c>
      <c r="S43" s="48">
        <v>0.76600000000000001</v>
      </c>
      <c r="T43" s="48">
        <v>59.96</v>
      </c>
      <c r="U43" s="49">
        <v>60.444000000000003</v>
      </c>
      <c r="V43" s="48">
        <v>170</v>
      </c>
      <c r="W43" s="48">
        <v>187.5</v>
      </c>
      <c r="X43" s="48">
        <v>130</v>
      </c>
      <c r="Y43" s="48">
        <v>152.5</v>
      </c>
      <c r="Z43" s="48">
        <v>327.14</v>
      </c>
      <c r="AA43" s="48">
        <v>338.9</v>
      </c>
      <c r="AB43" s="48">
        <v>226.18</v>
      </c>
      <c r="AC43" s="48">
        <v>283.89999999999998</v>
      </c>
      <c r="AD43" s="48">
        <v>1.754</v>
      </c>
      <c r="AE43" s="48">
        <v>1.7929999999999999</v>
      </c>
      <c r="AF43" s="48">
        <v>1.7529999999999999</v>
      </c>
      <c r="AG43" s="48">
        <v>1.7789999999999999</v>
      </c>
      <c r="AH43" s="48">
        <v>67.12</v>
      </c>
      <c r="AI43" s="48">
        <v>62.46</v>
      </c>
      <c r="AJ43" s="48">
        <v>91.41</v>
      </c>
      <c r="AK43" s="48">
        <v>93.94</v>
      </c>
      <c r="AL43" s="48">
        <v>639.18799999999999</v>
      </c>
      <c r="AM43" s="48">
        <v>651.673</v>
      </c>
      <c r="AN43" s="48">
        <v>815.05600000000004</v>
      </c>
      <c r="AO43" s="48">
        <v>833.13699999999994</v>
      </c>
      <c r="AP43" s="49">
        <v>1.3620000000000001</v>
      </c>
      <c r="AQ43" s="48">
        <v>1.8029999999999999</v>
      </c>
      <c r="AR43" s="48">
        <v>41.061999999999998</v>
      </c>
      <c r="AS43" s="48">
        <v>37.262</v>
      </c>
      <c r="AT43" s="49">
        <v>85</v>
      </c>
      <c r="AU43" s="48">
        <v>118</v>
      </c>
      <c r="AV43" s="48">
        <v>1.4365000000000001</v>
      </c>
      <c r="AW43" s="48">
        <v>4.3083</v>
      </c>
      <c r="AX43" s="49">
        <v>1018</v>
      </c>
      <c r="AY43" s="49">
        <v>2.95</v>
      </c>
      <c r="AZ43" s="48">
        <v>4.79</v>
      </c>
      <c r="BA43" s="49">
        <v>65.5</v>
      </c>
      <c r="BB43" s="49">
        <v>66.400000000000006</v>
      </c>
      <c r="BC43" s="48">
        <v>7736</v>
      </c>
      <c r="BD43" s="49">
        <v>89.75</v>
      </c>
      <c r="BE43" s="48">
        <v>15.78</v>
      </c>
      <c r="BF43" s="49">
        <v>14.65</v>
      </c>
      <c r="BG43" s="48">
        <v>28.16</v>
      </c>
      <c r="BH43" s="49">
        <v>32.049999999999997</v>
      </c>
      <c r="BI43" s="48">
        <v>65.602000000000004</v>
      </c>
      <c r="BJ43" s="48">
        <v>79.552000000000007</v>
      </c>
      <c r="BK43" s="48">
        <v>64.126999999999995</v>
      </c>
      <c r="BL43" s="48">
        <v>77.350999999999999</v>
      </c>
      <c r="BM43" s="48">
        <v>77.293000000000006</v>
      </c>
      <c r="BN43" s="49">
        <v>131.99199999999999</v>
      </c>
      <c r="BO43" s="49">
        <v>139.19200000000001</v>
      </c>
      <c r="BP43" s="49">
        <v>134.584</v>
      </c>
      <c r="BQ43" s="49">
        <v>135.17599999999999</v>
      </c>
      <c r="BR43" s="48">
        <v>58.173000000000002</v>
      </c>
      <c r="BS43" s="48">
        <v>25.6</v>
      </c>
      <c r="BT43" s="48">
        <v>7359.6840000000002</v>
      </c>
      <c r="BU43" s="49">
        <v>52.62</v>
      </c>
      <c r="BV43" s="48">
        <v>51.691000000000003</v>
      </c>
      <c r="BW43" s="49">
        <v>53.719000000000001</v>
      </c>
      <c r="BX43" s="49">
        <v>54.162999999999997</v>
      </c>
      <c r="BY43" s="49">
        <v>1.516</v>
      </c>
      <c r="BZ43" s="48">
        <v>2.629</v>
      </c>
      <c r="CA43" s="48">
        <v>3.3410000000000002</v>
      </c>
      <c r="CB43" s="48">
        <v>3.202</v>
      </c>
      <c r="CC43" s="49">
        <v>1.0049999999999999</v>
      </c>
      <c r="CD43" s="48">
        <v>2.0739999999999998</v>
      </c>
      <c r="CE43" s="49">
        <v>1.1970000000000001</v>
      </c>
      <c r="CF43" s="49">
        <v>1.9930000000000001</v>
      </c>
      <c r="CG43" s="48">
        <v>13.532</v>
      </c>
      <c r="CH43" s="49">
        <v>10.131</v>
      </c>
      <c r="CI43" s="48">
        <v>5.6210000000000004</v>
      </c>
      <c r="CJ43" s="48">
        <v>3.3879999999999999</v>
      </c>
      <c r="CK43" s="48">
        <v>1.4359999999999999</v>
      </c>
      <c r="CL43" s="48">
        <v>0</v>
      </c>
      <c r="CM43" s="48">
        <v>0.2</v>
      </c>
      <c r="CN43" s="49">
        <v>0</v>
      </c>
      <c r="CO43" s="49">
        <v>0</v>
      </c>
      <c r="CP43" s="49">
        <v>105.282</v>
      </c>
      <c r="CQ43" s="49">
        <v>108.79900000000001</v>
      </c>
      <c r="CR43" s="49">
        <v>113.35</v>
      </c>
      <c r="CS43" s="49">
        <v>116.307</v>
      </c>
      <c r="CT43" s="48">
        <v>0.32400000000000001</v>
      </c>
      <c r="CU43" s="48">
        <v>0.79900000000000004</v>
      </c>
      <c r="CV43" s="48">
        <v>0.30199999999999999</v>
      </c>
      <c r="CW43" s="48">
        <v>1.202</v>
      </c>
      <c r="CX43" s="48">
        <v>1.1990000000000001</v>
      </c>
      <c r="CY43" s="48">
        <v>0.5</v>
      </c>
      <c r="CZ43" s="49">
        <v>1.897</v>
      </c>
      <c r="DA43" s="48">
        <v>0.80200000000000005</v>
      </c>
      <c r="DB43" s="48">
        <v>1.399</v>
      </c>
      <c r="DC43" s="49">
        <v>6.0000000000000001E-3</v>
      </c>
      <c r="DD43" s="49">
        <v>0</v>
      </c>
      <c r="DE43" s="48">
        <v>0.23100000000000001</v>
      </c>
      <c r="DF43" s="48">
        <v>0.152</v>
      </c>
      <c r="DG43" s="48">
        <v>0.189</v>
      </c>
      <c r="DH43" s="48">
        <v>1.8380000000000001</v>
      </c>
      <c r="DI43" s="48">
        <v>1.113</v>
      </c>
      <c r="DJ43" s="48">
        <v>0.26400000000000001</v>
      </c>
      <c r="DK43" s="48">
        <v>0.91200000000000003</v>
      </c>
      <c r="DL43" s="48">
        <v>0.39500000000000002</v>
      </c>
      <c r="DM43" s="48">
        <v>0.504</v>
      </c>
      <c r="DN43" s="48">
        <v>0.438</v>
      </c>
      <c r="DO43" s="48">
        <v>0.35899999999999999</v>
      </c>
      <c r="DP43" s="48">
        <v>65.254000000000005</v>
      </c>
      <c r="DQ43" s="48">
        <v>58.994999999999997</v>
      </c>
      <c r="DR43" s="48">
        <v>54.752000000000002</v>
      </c>
      <c r="DS43" s="48">
        <v>49.886000000000003</v>
      </c>
      <c r="DT43" s="48">
        <v>4.2300000000000004</v>
      </c>
      <c r="DU43" s="48">
        <v>4.72</v>
      </c>
      <c r="DV43" s="48">
        <v>8.2799999999999994</v>
      </c>
      <c r="DW43" s="48">
        <v>6.68</v>
      </c>
      <c r="DX43" s="48">
        <v>4.5</v>
      </c>
      <c r="DY43" s="48">
        <v>4.6500000000000004</v>
      </c>
      <c r="DZ43" s="48">
        <v>7.85</v>
      </c>
      <c r="EA43" s="48">
        <v>6.45</v>
      </c>
      <c r="EB43" s="48">
        <v>34.44</v>
      </c>
      <c r="EC43" s="48">
        <v>33.159999999999997</v>
      </c>
      <c r="ED43" s="48">
        <v>29.23</v>
      </c>
      <c r="EE43" s="48">
        <v>30.82</v>
      </c>
      <c r="EF43" s="49">
        <v>56.83</v>
      </c>
      <c r="EG43" s="49">
        <v>57.47</v>
      </c>
      <c r="EH43" s="48">
        <v>54.64</v>
      </c>
      <c r="EI43" s="48">
        <v>56.04</v>
      </c>
      <c r="EJ43" s="48">
        <v>7.202</v>
      </c>
      <c r="EK43" s="48">
        <v>62.445999999999998</v>
      </c>
      <c r="EL43" s="49">
        <v>2.75</v>
      </c>
      <c r="EM43" s="49">
        <v>1.9</v>
      </c>
      <c r="EN43" s="48">
        <v>1.17</v>
      </c>
      <c r="EO43" s="48">
        <v>1.18</v>
      </c>
      <c r="EP43" s="48">
        <v>-99.213999999999999</v>
      </c>
      <c r="EQ43" s="48">
        <v>-0.91500000000000004</v>
      </c>
      <c r="ER43" s="49">
        <v>115.69799999999999</v>
      </c>
      <c r="ES43" s="48">
        <v>1.097</v>
      </c>
      <c r="ET43" s="48">
        <v>1.232</v>
      </c>
      <c r="EU43" s="48">
        <v>1.089</v>
      </c>
      <c r="EV43" s="49">
        <v>7.7560000000000002</v>
      </c>
      <c r="EW43" s="48">
        <v>3.4569999999999999</v>
      </c>
      <c r="EX43" s="48">
        <v>-148.04</v>
      </c>
      <c r="EY43" s="49">
        <v>0.38</v>
      </c>
      <c r="EZ43" s="49">
        <v>0</v>
      </c>
      <c r="FA43" s="49">
        <v>0</v>
      </c>
      <c r="FB43" s="48">
        <v>7.8460000000000001</v>
      </c>
      <c r="FC43" s="48">
        <v>68.575999999999993</v>
      </c>
      <c r="FD43" s="49">
        <v>64.734999999999999</v>
      </c>
      <c r="FE43" s="48">
        <v>76.375</v>
      </c>
      <c r="FF43" s="48">
        <v>75.260999999999996</v>
      </c>
      <c r="FG43" s="48">
        <v>0.96899999999999997</v>
      </c>
      <c r="FH43" s="49">
        <v>0.97199999999999998</v>
      </c>
      <c r="FI43" s="48">
        <v>1.002</v>
      </c>
      <c r="FJ43" s="48">
        <v>1.006</v>
      </c>
      <c r="FK43" s="49">
        <v>0.10299999999999999</v>
      </c>
      <c r="FL43" s="49">
        <v>86</v>
      </c>
      <c r="FM43" s="48">
        <v>3.82</v>
      </c>
      <c r="FN43" s="48">
        <v>1.07</v>
      </c>
      <c r="FO43" s="48">
        <v>4.75</v>
      </c>
      <c r="FP43" s="49">
        <v>0.8</v>
      </c>
      <c r="FQ43" s="48">
        <v>4.6500000000000004</v>
      </c>
      <c r="FR43" s="49">
        <v>4.9000000000000004</v>
      </c>
      <c r="FS43" s="48">
        <v>6.5724999999999998</v>
      </c>
      <c r="FT43" s="48">
        <v>1066.8</v>
      </c>
      <c r="FU43" s="48">
        <v>5.58</v>
      </c>
      <c r="FV43" s="48">
        <v>47.3</v>
      </c>
      <c r="FW43" s="48">
        <v>3088.5</v>
      </c>
      <c r="FX43" s="48">
        <v>163400</v>
      </c>
      <c r="FY43" s="48">
        <v>164300</v>
      </c>
      <c r="FZ43" s="49">
        <v>47.831000000000003</v>
      </c>
      <c r="GA43" s="49">
        <v>48.027999999999999</v>
      </c>
      <c r="GB43" s="48">
        <v>2143.4</v>
      </c>
      <c r="GC43" s="48">
        <v>2145.8000000000002</v>
      </c>
      <c r="GD43" s="48">
        <v>2174.5</v>
      </c>
      <c r="GE43" s="48">
        <v>2203.1999999999998</v>
      </c>
      <c r="GF43" s="48">
        <v>1219.0938000000001</v>
      </c>
      <c r="GG43" s="48">
        <v>33</v>
      </c>
      <c r="GH43" s="48">
        <v>33.4</v>
      </c>
      <c r="GI43" s="49">
        <v>50.5</v>
      </c>
      <c r="GJ43" s="48">
        <v>55.7</v>
      </c>
      <c r="GK43" s="49">
        <v>97</v>
      </c>
      <c r="GL43" s="49">
        <v>111.1</v>
      </c>
      <c r="GM43" s="49">
        <v>0</v>
      </c>
      <c r="GN43" s="49">
        <v>25.738</v>
      </c>
      <c r="GO43" s="48">
        <v>115.69799999999999</v>
      </c>
      <c r="GP43" s="49">
        <v>0</v>
      </c>
      <c r="GQ43" s="49">
        <v>4.1890000000000001</v>
      </c>
      <c r="GR43" s="49">
        <v>0</v>
      </c>
      <c r="GS43" s="49">
        <v>3.4220000000000002</v>
      </c>
      <c r="GT43" s="49">
        <v>0</v>
      </c>
      <c r="GU43" s="49">
        <v>3.5990000000000002</v>
      </c>
      <c r="GV43" s="49">
        <v>0</v>
      </c>
      <c r="GW43" s="49">
        <v>8.9999999999999993E-3</v>
      </c>
      <c r="GX43" s="49">
        <v>20.678000000000001</v>
      </c>
      <c r="GY43" s="49">
        <v>0</v>
      </c>
      <c r="GZ43" s="48">
        <v>10.685</v>
      </c>
      <c r="HA43" s="49">
        <v>20.384</v>
      </c>
      <c r="HB43" s="49">
        <v>1</v>
      </c>
      <c r="HC43" s="48">
        <v>33.783999999999999</v>
      </c>
      <c r="HD43" s="49">
        <v>90</v>
      </c>
      <c r="HE43" s="49">
        <v>0</v>
      </c>
      <c r="HF43" s="49">
        <v>0</v>
      </c>
      <c r="HG43" s="48">
        <v>75.680000000000007</v>
      </c>
      <c r="HH43" s="48">
        <v>77.900000000000006</v>
      </c>
      <c r="HI43" s="49">
        <v>0</v>
      </c>
      <c r="HJ43" s="49">
        <v>0</v>
      </c>
      <c r="HK43" s="49">
        <v>0</v>
      </c>
      <c r="HL43" s="49">
        <v>62</v>
      </c>
      <c r="HM43" s="49">
        <v>52</v>
      </c>
      <c r="HN43" s="48">
        <v>65</v>
      </c>
      <c r="HO43" s="48">
        <v>58</v>
      </c>
      <c r="HP43" s="48">
        <v>61</v>
      </c>
      <c r="HQ43" s="48">
        <v>59</v>
      </c>
      <c r="HR43" s="48">
        <v>54</v>
      </c>
      <c r="HS43" s="49">
        <v>70</v>
      </c>
      <c r="HT43" s="48">
        <v>-1.4984999999999999</v>
      </c>
      <c r="HU43" s="49">
        <v>0</v>
      </c>
      <c r="HV43" s="48">
        <v>0.54700000000000004</v>
      </c>
      <c r="HW43" s="48">
        <v>43.43</v>
      </c>
      <c r="HX43" s="49">
        <v>43.64</v>
      </c>
      <c r="HY43" s="3"/>
      <c r="HZ43" s="3"/>
      <c r="IA43" s="48">
        <v>2.6659999999999999</v>
      </c>
      <c r="IB43" s="48">
        <v>100</v>
      </c>
      <c r="IC43" s="48">
        <v>19.155000000000001</v>
      </c>
      <c r="ID43" s="48">
        <v>-0.23300000000000001</v>
      </c>
      <c r="IE43" s="48">
        <v>-0.122</v>
      </c>
      <c r="IF43" s="48">
        <v>803.8</v>
      </c>
      <c r="IG43" s="48">
        <v>677.7</v>
      </c>
      <c r="IH43" s="48">
        <v>813</v>
      </c>
      <c r="II43" s="48">
        <v>694</v>
      </c>
      <c r="IJ43" s="48">
        <v>-1.2E-2</v>
      </c>
      <c r="IK43" s="48">
        <v>8.0000000000000002E-3</v>
      </c>
      <c r="IL43" s="48">
        <v>143.334</v>
      </c>
      <c r="IM43" s="48">
        <v>143.334</v>
      </c>
      <c r="IN43" s="48">
        <v>16.584</v>
      </c>
      <c r="IO43" s="48">
        <v>0.16800000000000001</v>
      </c>
      <c r="IP43" s="49">
        <v>9.09</v>
      </c>
      <c r="IQ43" s="48">
        <v>0.01</v>
      </c>
      <c r="IR43" s="48">
        <v>5.0000000000000001E-3</v>
      </c>
      <c r="IS43">
        <v>0.31000000000000005</v>
      </c>
      <c r="IT43">
        <v>0.15300000000000005</v>
      </c>
    </row>
    <row r="44" spans="2:254" x14ac:dyDescent="0.25">
      <c r="B44" s="2" t="s">
        <v>409</v>
      </c>
      <c r="C44" s="58" t="s">
        <v>42</v>
      </c>
      <c r="D44" s="58" t="s">
        <v>420</v>
      </c>
      <c r="E44" s="48">
        <v>211.94</v>
      </c>
      <c r="F44" s="48">
        <v>330.58</v>
      </c>
      <c r="G44" s="49">
        <v>6.02</v>
      </c>
      <c r="H44" s="48">
        <v>25.8</v>
      </c>
      <c r="I44" s="49">
        <v>0</v>
      </c>
      <c r="J44" s="48">
        <v>13.4</v>
      </c>
      <c r="K44" s="49">
        <v>7</v>
      </c>
      <c r="L44" s="49">
        <v>6</v>
      </c>
      <c r="M44" s="49">
        <v>7</v>
      </c>
      <c r="N44" s="49">
        <v>3</v>
      </c>
      <c r="O44" s="49">
        <v>3</v>
      </c>
      <c r="P44" s="48">
        <v>0.875</v>
      </c>
      <c r="Q44" s="48">
        <v>1.2410000000000001</v>
      </c>
      <c r="R44" s="48">
        <v>0.90700000000000003</v>
      </c>
      <c r="S44" s="49">
        <v>0.82299999999999995</v>
      </c>
      <c r="T44" s="48">
        <v>71.72</v>
      </c>
      <c r="U44" s="48">
        <v>60.015000000000001</v>
      </c>
      <c r="V44" s="48">
        <v>230</v>
      </c>
      <c r="W44" s="48">
        <v>246.66</v>
      </c>
      <c r="X44" s="48">
        <v>165</v>
      </c>
      <c r="Y44" s="48">
        <v>206.66</v>
      </c>
      <c r="Z44" s="49">
        <v>377.99</v>
      </c>
      <c r="AA44" s="49">
        <v>389.08</v>
      </c>
      <c r="AB44" s="49">
        <v>279.22000000000003</v>
      </c>
      <c r="AC44" s="49">
        <v>345.88</v>
      </c>
      <c r="AD44" s="48">
        <v>1.7689999999999999</v>
      </c>
      <c r="AE44" s="48">
        <v>1.79</v>
      </c>
      <c r="AF44" s="48">
        <v>1.788</v>
      </c>
      <c r="AG44" s="48">
        <v>1.806</v>
      </c>
      <c r="AH44" s="48">
        <v>75.03</v>
      </c>
      <c r="AI44" s="48">
        <v>69.930000000000007</v>
      </c>
      <c r="AJ44" s="48">
        <v>100.73</v>
      </c>
      <c r="AK44" s="48">
        <v>102.64</v>
      </c>
      <c r="AL44" s="49">
        <v>700.21</v>
      </c>
      <c r="AM44" s="49">
        <v>704.45500000000004</v>
      </c>
      <c r="AN44" s="48">
        <v>866.36300000000006</v>
      </c>
      <c r="AO44" s="48">
        <v>850.40700000000004</v>
      </c>
      <c r="AP44" s="48">
        <v>1.339</v>
      </c>
      <c r="AQ44" s="49">
        <v>1.804</v>
      </c>
      <c r="AR44" s="48">
        <v>41.563000000000002</v>
      </c>
      <c r="AS44" s="48">
        <v>38.549999999999997</v>
      </c>
      <c r="AT44" s="48">
        <v>83</v>
      </c>
      <c r="AU44" s="48">
        <v>120</v>
      </c>
      <c r="AV44" s="49">
        <v>1.2855000000000001</v>
      </c>
      <c r="AW44" s="49">
        <v>4.6193999999999997</v>
      </c>
      <c r="AX44" s="48">
        <v>1017.4</v>
      </c>
      <c r="AY44" s="48">
        <v>2.4700000000000002</v>
      </c>
      <c r="AZ44" s="48">
        <v>4.79</v>
      </c>
      <c r="BA44" s="48">
        <v>98.03</v>
      </c>
      <c r="BB44" s="48">
        <v>98.53</v>
      </c>
      <c r="BC44" s="48">
        <v>7683</v>
      </c>
      <c r="BD44" s="48">
        <v>88.75</v>
      </c>
      <c r="BE44" s="48">
        <v>15.89</v>
      </c>
      <c r="BF44" s="48">
        <v>14.55</v>
      </c>
      <c r="BG44" s="49">
        <v>28.65</v>
      </c>
      <c r="BH44" s="48">
        <v>31.61</v>
      </c>
      <c r="BI44" s="3"/>
      <c r="BJ44" s="3"/>
      <c r="BK44" s="3"/>
      <c r="BL44" s="3"/>
      <c r="BM44" s="3"/>
      <c r="BN44" s="48">
        <v>96.855999999999995</v>
      </c>
      <c r="BO44" s="48">
        <v>98.152000000000001</v>
      </c>
      <c r="BP44" s="48">
        <v>117.464</v>
      </c>
      <c r="BQ44" s="48">
        <v>121.928</v>
      </c>
      <c r="BR44" s="3"/>
      <c r="BS44" s="48">
        <v>25.5</v>
      </c>
      <c r="BT44" s="48">
        <v>7429.759</v>
      </c>
      <c r="BU44" s="48">
        <v>49.052</v>
      </c>
      <c r="BV44" s="48">
        <v>51.228999999999999</v>
      </c>
      <c r="BW44" s="48">
        <v>51.573999999999998</v>
      </c>
      <c r="BX44" s="48">
        <v>52.985999999999997</v>
      </c>
      <c r="BY44" s="48">
        <v>1.4490000000000001</v>
      </c>
      <c r="BZ44" s="48">
        <v>2.7629999999999999</v>
      </c>
      <c r="CA44" s="48">
        <v>3.5059999999999998</v>
      </c>
      <c r="CB44" s="49">
        <v>3.6539999999999999</v>
      </c>
      <c r="CC44" s="48">
        <v>0.88200000000000001</v>
      </c>
      <c r="CD44" s="48">
        <v>2.0630000000000002</v>
      </c>
      <c r="CE44" s="48">
        <v>1.1830000000000001</v>
      </c>
      <c r="CF44" s="48">
        <v>1.98</v>
      </c>
      <c r="CG44" s="48">
        <v>13.728999999999999</v>
      </c>
      <c r="CH44" s="48">
        <v>13.558999999999999</v>
      </c>
      <c r="CI44" s="49">
        <v>5.6680000000000001</v>
      </c>
      <c r="CJ44" s="49">
        <v>3.8050000000000002</v>
      </c>
      <c r="CK44" s="49">
        <v>1.63</v>
      </c>
      <c r="CL44" s="48">
        <v>0.1</v>
      </c>
      <c r="CM44" s="48">
        <v>0.3</v>
      </c>
      <c r="CN44" s="49">
        <v>0</v>
      </c>
      <c r="CO44" s="49">
        <v>0</v>
      </c>
      <c r="CP44" s="48">
        <v>92.578000000000003</v>
      </c>
      <c r="CQ44" s="48">
        <v>93.799000000000007</v>
      </c>
      <c r="CR44" s="48">
        <v>109.032</v>
      </c>
      <c r="CS44" s="48">
        <v>115.566</v>
      </c>
      <c r="CT44" s="49">
        <v>0.38700000000000001</v>
      </c>
      <c r="CU44" s="48">
        <v>0.59799999999999998</v>
      </c>
      <c r="CV44" s="48">
        <v>0.60199999999999998</v>
      </c>
      <c r="CW44" s="48">
        <v>0.90100000000000002</v>
      </c>
      <c r="CX44" s="48">
        <v>1.1000000000000001</v>
      </c>
      <c r="CY44" s="49">
        <v>1.3</v>
      </c>
      <c r="CZ44" s="48">
        <v>1.4990000000000001</v>
      </c>
      <c r="DA44" s="48">
        <v>0.70299999999999996</v>
      </c>
      <c r="DB44" s="48">
        <v>1.3979999999999999</v>
      </c>
      <c r="DC44" s="48">
        <v>0</v>
      </c>
      <c r="DD44" s="49">
        <v>0</v>
      </c>
      <c r="DE44" s="49">
        <v>0.34100000000000003</v>
      </c>
      <c r="DF44" s="49">
        <v>0.18099999999999999</v>
      </c>
      <c r="DG44" s="49">
        <v>0.93300000000000005</v>
      </c>
      <c r="DH44" s="49">
        <v>2.2029999999999998</v>
      </c>
      <c r="DI44" s="49">
        <v>1.276</v>
      </c>
      <c r="DJ44" s="48">
        <v>0.25800000000000001</v>
      </c>
      <c r="DK44" s="48">
        <v>1.1859999999999999</v>
      </c>
      <c r="DL44" s="48">
        <v>0.40400000000000003</v>
      </c>
      <c r="DM44" s="48">
        <v>0.47499999999999998</v>
      </c>
      <c r="DN44" s="48">
        <v>0.46400000000000002</v>
      </c>
      <c r="DO44" s="48">
        <v>0.307</v>
      </c>
      <c r="DP44" s="48">
        <v>66.343000000000004</v>
      </c>
      <c r="DQ44" s="48">
        <v>59.47</v>
      </c>
      <c r="DR44" s="49">
        <v>55.151000000000003</v>
      </c>
      <c r="DS44" s="48">
        <v>51.29</v>
      </c>
      <c r="DT44" s="49">
        <v>7.27</v>
      </c>
      <c r="DU44" s="49">
        <v>7.48</v>
      </c>
      <c r="DV44" s="49">
        <v>13.18</v>
      </c>
      <c r="DW44" s="49">
        <v>10.39</v>
      </c>
      <c r="DX44" s="49">
        <v>7.6</v>
      </c>
      <c r="DY44" s="49">
        <v>7.87</v>
      </c>
      <c r="DZ44" s="49">
        <v>12.82</v>
      </c>
      <c r="EA44" s="49">
        <v>10.01</v>
      </c>
      <c r="EB44" s="48">
        <v>41.43</v>
      </c>
      <c r="EC44" s="48">
        <v>40.74</v>
      </c>
      <c r="ED44" s="48">
        <v>33.31</v>
      </c>
      <c r="EE44" s="48">
        <v>36.130000000000003</v>
      </c>
      <c r="EF44" s="48">
        <v>43.7</v>
      </c>
      <c r="EG44" s="48">
        <v>43.91</v>
      </c>
      <c r="EH44" s="48">
        <v>40.69</v>
      </c>
      <c r="EI44" s="48">
        <v>43.48</v>
      </c>
      <c r="EJ44" s="48">
        <v>7.1230000000000002</v>
      </c>
      <c r="EK44" s="49">
        <v>62.820999999999998</v>
      </c>
      <c r="EL44" s="48">
        <v>2.2999999999999998</v>
      </c>
      <c r="EM44" s="48">
        <v>1.95</v>
      </c>
      <c r="EN44" s="48">
        <v>1.19</v>
      </c>
      <c r="EO44" s="48">
        <v>1.2</v>
      </c>
      <c r="EP44" s="48">
        <v>-108.55800000000001</v>
      </c>
      <c r="EQ44" s="48">
        <v>-2.19</v>
      </c>
      <c r="ER44" s="48">
        <v>99.638000000000005</v>
      </c>
      <c r="ES44" s="48">
        <v>1.337</v>
      </c>
      <c r="ET44" s="48">
        <v>1.5289999999999999</v>
      </c>
      <c r="EU44" s="48">
        <v>1.3280000000000001</v>
      </c>
      <c r="EV44" s="48">
        <v>7.5090000000000003</v>
      </c>
      <c r="EW44" s="48">
        <v>3.375</v>
      </c>
      <c r="EX44" s="49">
        <v>73.5</v>
      </c>
      <c r="EY44" s="48">
        <v>0.28000000000000003</v>
      </c>
      <c r="EZ44" s="49">
        <v>0</v>
      </c>
      <c r="FA44" s="49">
        <v>0</v>
      </c>
      <c r="FB44" s="48">
        <v>8.9949999999999992</v>
      </c>
      <c r="FC44" s="48">
        <v>67.028000000000006</v>
      </c>
      <c r="FD44" s="48">
        <v>62.87</v>
      </c>
      <c r="FE44" s="48">
        <v>75.274000000000001</v>
      </c>
      <c r="FF44" s="48">
        <v>74.150999999999996</v>
      </c>
      <c r="FG44" s="48">
        <v>0.91600000000000004</v>
      </c>
      <c r="FH44" s="48">
        <v>0.91600000000000004</v>
      </c>
      <c r="FI44" s="48">
        <v>0.997</v>
      </c>
      <c r="FJ44" s="48">
        <v>1.004</v>
      </c>
      <c r="FK44" s="48">
        <v>0</v>
      </c>
      <c r="FL44" s="48">
        <v>83</v>
      </c>
      <c r="FM44" s="48">
        <v>3.78</v>
      </c>
      <c r="FN44" s="48">
        <v>0.49</v>
      </c>
      <c r="FO44" s="48">
        <v>4.83</v>
      </c>
      <c r="FP44" s="3"/>
      <c r="FQ44" s="48">
        <v>4.5999999999999996</v>
      </c>
      <c r="FR44" s="48">
        <v>5.05</v>
      </c>
      <c r="FS44" s="48">
        <v>6.4820000000000002</v>
      </c>
      <c r="FT44" s="48">
        <v>1068.5</v>
      </c>
      <c r="FU44" s="48">
        <v>5.81</v>
      </c>
      <c r="FV44" s="48">
        <v>53.32</v>
      </c>
      <c r="FW44" s="48">
        <v>2907</v>
      </c>
      <c r="FX44" s="49">
        <v>170200</v>
      </c>
      <c r="FY44" s="49">
        <v>171000</v>
      </c>
      <c r="FZ44" s="48">
        <v>47.274999999999999</v>
      </c>
      <c r="GA44" s="48">
        <v>47.651000000000003</v>
      </c>
      <c r="GB44" s="48">
        <v>2141.8000000000002</v>
      </c>
      <c r="GC44" s="49">
        <v>2427.1</v>
      </c>
      <c r="GD44" s="48">
        <v>2169.6</v>
      </c>
      <c r="GE44" s="49">
        <v>2428.8000000000002</v>
      </c>
      <c r="GF44" s="49">
        <v>1555.9063000000001</v>
      </c>
      <c r="GG44" s="48">
        <v>34</v>
      </c>
      <c r="GH44" s="48">
        <v>34.200000000000003</v>
      </c>
      <c r="GI44" s="48">
        <v>47.1</v>
      </c>
      <c r="GJ44" s="48">
        <v>52</v>
      </c>
      <c r="GK44" s="48">
        <v>99.5</v>
      </c>
      <c r="GL44" s="48">
        <v>109.7</v>
      </c>
      <c r="GM44" s="49">
        <v>0</v>
      </c>
      <c r="GN44" s="48">
        <v>23.91</v>
      </c>
      <c r="GO44" s="48">
        <v>108.55800000000001</v>
      </c>
      <c r="GP44" s="48">
        <v>0.29499999999999998</v>
      </c>
      <c r="GQ44" s="48">
        <v>1.829</v>
      </c>
      <c r="GR44" s="48">
        <v>0.59</v>
      </c>
      <c r="GS44" s="48">
        <v>1.9470000000000001</v>
      </c>
      <c r="GT44" s="48">
        <v>0.53100000000000003</v>
      </c>
      <c r="GU44" s="48">
        <v>1.8879999999999999</v>
      </c>
      <c r="GV44" s="49">
        <v>0</v>
      </c>
      <c r="GW44" s="48">
        <v>0</v>
      </c>
      <c r="GX44" s="48">
        <v>0</v>
      </c>
      <c r="GY44" s="48">
        <v>11.858000000000001</v>
      </c>
      <c r="GZ44" s="48">
        <v>13.561</v>
      </c>
      <c r="HA44" s="48">
        <v>15.092000000000001</v>
      </c>
      <c r="HB44" s="48">
        <v>0</v>
      </c>
      <c r="HC44" s="49">
        <v>36.188000000000002</v>
      </c>
      <c r="HD44" s="48">
        <v>82</v>
      </c>
      <c r="HE44" s="49">
        <v>0</v>
      </c>
      <c r="HF44" s="49">
        <v>0</v>
      </c>
      <c r="HG44" s="49">
        <v>83.22</v>
      </c>
      <c r="HH44" s="49">
        <v>78.95</v>
      </c>
      <c r="HI44" s="49">
        <v>0</v>
      </c>
      <c r="HJ44" s="49">
        <v>0</v>
      </c>
      <c r="HK44" s="49">
        <v>0</v>
      </c>
      <c r="HL44" s="48">
        <v>58</v>
      </c>
      <c r="HM44" s="48">
        <v>51</v>
      </c>
      <c r="HN44" s="48">
        <v>65</v>
      </c>
      <c r="HO44" s="48">
        <v>58</v>
      </c>
      <c r="HP44" s="49">
        <v>62</v>
      </c>
      <c r="HQ44" s="48">
        <v>59</v>
      </c>
      <c r="HR44" s="48">
        <v>54</v>
      </c>
      <c r="HS44" s="48">
        <v>62</v>
      </c>
      <c r="HT44" s="48">
        <v>-1.4995000000000001</v>
      </c>
      <c r="HU44" s="49">
        <v>0</v>
      </c>
      <c r="HV44" s="48">
        <v>0.58299999999999996</v>
      </c>
      <c r="HW44" s="49">
        <v>40.380000000000003</v>
      </c>
      <c r="HX44" s="49">
        <v>43.64</v>
      </c>
      <c r="HY44" s="3"/>
      <c r="HZ44" s="3"/>
      <c r="IA44" s="49">
        <v>2.8610000000000002</v>
      </c>
      <c r="IB44" s="49">
        <v>104</v>
      </c>
      <c r="IC44" s="48">
        <v>22.446999999999999</v>
      </c>
      <c r="ID44" s="48">
        <v>-0.38700000000000001</v>
      </c>
      <c r="IE44" s="48">
        <v>-0.215</v>
      </c>
      <c r="IF44" s="49">
        <v>818.2</v>
      </c>
      <c r="IG44" s="49">
        <v>760.2</v>
      </c>
      <c r="IH44" s="48">
        <v>831.3</v>
      </c>
      <c r="II44" s="49">
        <v>771.6</v>
      </c>
      <c r="IJ44" s="48">
        <v>-5.0999999999999997E-2</v>
      </c>
      <c r="IK44" s="48">
        <v>3.0000000000000001E-3</v>
      </c>
      <c r="IL44" s="48">
        <v>72.774000000000001</v>
      </c>
      <c r="IM44" s="48">
        <v>72.774000000000001</v>
      </c>
      <c r="IN44" s="48">
        <v>11.727</v>
      </c>
      <c r="IO44" s="48">
        <v>0.308</v>
      </c>
      <c r="IP44" s="48">
        <v>9.0399999999999991</v>
      </c>
      <c r="IQ44" s="48">
        <v>8.9999999999999993E-3</v>
      </c>
      <c r="IR44" s="48">
        <v>6.0000000000000001E-3</v>
      </c>
      <c r="IS44">
        <v>0.31900000000000006</v>
      </c>
      <c r="IT44">
        <v>0.15900000000000006</v>
      </c>
    </row>
    <row r="45" spans="2:254" x14ac:dyDescent="0.25">
      <c r="B45" s="2" t="s">
        <v>409</v>
      </c>
      <c r="C45" s="2" t="s">
        <v>43</v>
      </c>
      <c r="D45" s="57">
        <v>2.4789351851851851E-3</v>
      </c>
      <c r="E45" s="48">
        <v>214.22</v>
      </c>
      <c r="F45" s="49">
        <v>333.29</v>
      </c>
      <c r="G45" s="48">
        <v>5.93</v>
      </c>
      <c r="H45" s="49">
        <v>26</v>
      </c>
      <c r="I45" s="49">
        <v>0</v>
      </c>
      <c r="J45" s="48">
        <v>16.2</v>
      </c>
      <c r="K45" s="49">
        <v>7</v>
      </c>
      <c r="L45" s="49">
        <v>6</v>
      </c>
      <c r="M45" s="49">
        <v>7</v>
      </c>
      <c r="N45" s="49">
        <v>3</v>
      </c>
      <c r="O45" s="49">
        <v>3</v>
      </c>
      <c r="P45" s="48">
        <v>0.83899999999999997</v>
      </c>
      <c r="Q45" s="48">
        <v>1.2030000000000001</v>
      </c>
      <c r="R45" s="48">
        <v>0.88200000000000001</v>
      </c>
      <c r="S45" s="48">
        <v>0.76500000000000001</v>
      </c>
      <c r="T45" s="48">
        <v>71.569999999999993</v>
      </c>
      <c r="U45" s="48">
        <v>60.109000000000002</v>
      </c>
      <c r="V45" s="48">
        <v>231.66</v>
      </c>
      <c r="W45" s="48">
        <v>241.66</v>
      </c>
      <c r="X45" s="48">
        <v>165</v>
      </c>
      <c r="Y45" s="48">
        <v>203.34</v>
      </c>
      <c r="Z45" s="48">
        <v>373.06</v>
      </c>
      <c r="AA45" s="48">
        <v>386.24</v>
      </c>
      <c r="AB45" s="48">
        <v>255.94</v>
      </c>
      <c r="AC45" s="48">
        <v>318.66000000000003</v>
      </c>
      <c r="AD45" s="49">
        <v>1.78</v>
      </c>
      <c r="AE45" s="49">
        <v>1.8069999999999999</v>
      </c>
      <c r="AF45" s="49">
        <v>1.8129999999999999</v>
      </c>
      <c r="AG45" s="49">
        <v>1.8240000000000001</v>
      </c>
      <c r="AH45" s="49">
        <v>77.73</v>
      </c>
      <c r="AI45" s="49">
        <v>73.56</v>
      </c>
      <c r="AJ45" s="49">
        <v>104.38</v>
      </c>
      <c r="AK45" s="49">
        <v>105.06</v>
      </c>
      <c r="AL45" s="48">
        <v>669.78800000000001</v>
      </c>
      <c r="AM45" s="48">
        <v>671.40899999999999</v>
      </c>
      <c r="AN45" s="49">
        <v>881.21400000000006</v>
      </c>
      <c r="AO45" s="49">
        <v>854.19899999999996</v>
      </c>
      <c r="AP45" s="48">
        <v>1.282</v>
      </c>
      <c r="AQ45" s="48">
        <v>1.7749999999999999</v>
      </c>
      <c r="AR45" s="49">
        <v>44.564</v>
      </c>
      <c r="AS45" s="49">
        <v>40.921999999999997</v>
      </c>
      <c r="AT45" s="48">
        <v>83</v>
      </c>
      <c r="AU45" s="49">
        <v>121</v>
      </c>
      <c r="AV45" s="48">
        <v>1.3759999999999999</v>
      </c>
      <c r="AW45" s="48">
        <v>4.5937000000000001</v>
      </c>
      <c r="AX45" s="48">
        <v>1015.5</v>
      </c>
      <c r="AY45" s="48">
        <v>2.4500000000000002</v>
      </c>
      <c r="AZ45" s="49">
        <v>4.33</v>
      </c>
      <c r="BA45" s="48">
        <v>92.814999999999998</v>
      </c>
      <c r="BB45" s="48">
        <v>92.59</v>
      </c>
      <c r="BC45" s="48">
        <v>7710</v>
      </c>
      <c r="BD45" s="48">
        <v>88</v>
      </c>
      <c r="BE45" s="49">
        <v>16.71</v>
      </c>
      <c r="BF45" s="48">
        <v>14.01</v>
      </c>
      <c r="BG45" s="48">
        <v>28.35</v>
      </c>
      <c r="BH45" s="48">
        <v>31.34</v>
      </c>
      <c r="BI45" s="3"/>
      <c r="BJ45" s="3"/>
      <c r="BK45" s="3"/>
      <c r="BL45" s="3"/>
      <c r="BM45" s="3"/>
      <c r="BN45" s="48">
        <v>98.792000000000002</v>
      </c>
      <c r="BO45" s="48">
        <v>98.2</v>
      </c>
      <c r="BP45" s="48">
        <v>115.416</v>
      </c>
      <c r="BQ45" s="48">
        <v>120.056</v>
      </c>
      <c r="BR45" s="3"/>
      <c r="BS45" s="49">
        <v>25.8</v>
      </c>
      <c r="BT45" s="48">
        <v>7425.5559999999996</v>
      </c>
      <c r="BU45" s="48">
        <v>48.493000000000002</v>
      </c>
      <c r="BV45" s="49">
        <v>51.942</v>
      </c>
      <c r="BW45" s="48">
        <v>51.237000000000002</v>
      </c>
      <c r="BX45" s="48">
        <v>54.018999999999998</v>
      </c>
      <c r="BY45" s="48">
        <v>1.4870000000000001</v>
      </c>
      <c r="BZ45" s="49">
        <v>2.83</v>
      </c>
      <c r="CA45" s="48">
        <v>3.343</v>
      </c>
      <c r="CB45" s="48">
        <v>3.609</v>
      </c>
      <c r="CC45" s="48">
        <v>0.92900000000000005</v>
      </c>
      <c r="CD45" s="49">
        <v>2.16</v>
      </c>
      <c r="CE45" s="48">
        <v>1.121</v>
      </c>
      <c r="CF45" s="48">
        <v>1.984</v>
      </c>
      <c r="CG45" s="48">
        <v>13.73</v>
      </c>
      <c r="CH45" s="48">
        <v>13.606</v>
      </c>
      <c r="CI45" s="48">
        <v>4.1589999999999998</v>
      </c>
      <c r="CJ45" s="48">
        <v>2.8420000000000001</v>
      </c>
      <c r="CK45" s="48">
        <v>1.137</v>
      </c>
      <c r="CL45" s="49">
        <v>0.2</v>
      </c>
      <c r="CM45" s="49">
        <v>0.5</v>
      </c>
      <c r="CN45" s="49">
        <v>0</v>
      </c>
      <c r="CO45" s="49">
        <v>0</v>
      </c>
      <c r="CP45" s="48">
        <v>93.757000000000005</v>
      </c>
      <c r="CQ45" s="48">
        <v>94.307000000000002</v>
      </c>
      <c r="CR45" s="48">
        <v>109.367</v>
      </c>
      <c r="CS45" s="48">
        <v>113.54600000000001</v>
      </c>
      <c r="CT45" s="48">
        <v>0.311</v>
      </c>
      <c r="CU45" s="49">
        <v>1.2969999999999999</v>
      </c>
      <c r="CV45" s="49">
        <v>1.897</v>
      </c>
      <c r="CW45" s="49">
        <v>1.399</v>
      </c>
      <c r="CX45" s="49">
        <v>1.401</v>
      </c>
      <c r="CY45" s="48">
        <v>1.1000000000000001</v>
      </c>
      <c r="CZ45" s="48">
        <v>1.097</v>
      </c>
      <c r="DA45" s="49">
        <v>0.998</v>
      </c>
      <c r="DB45" s="49">
        <v>1.4990000000000001</v>
      </c>
      <c r="DC45" s="48">
        <v>0</v>
      </c>
      <c r="DD45" s="49">
        <v>0</v>
      </c>
      <c r="DE45" s="48">
        <v>0.312</v>
      </c>
      <c r="DF45" s="48">
        <v>0.17499999999999999</v>
      </c>
      <c r="DG45" s="48">
        <v>0.83899999999999997</v>
      </c>
      <c r="DH45" s="48">
        <v>1.8520000000000001</v>
      </c>
      <c r="DI45" s="48">
        <v>1.0409999999999999</v>
      </c>
      <c r="DJ45" s="48">
        <v>0.29099999999999998</v>
      </c>
      <c r="DK45" s="49">
        <v>1.288</v>
      </c>
      <c r="DL45" s="48">
        <v>0.40400000000000003</v>
      </c>
      <c r="DM45" s="48">
        <v>0.432</v>
      </c>
      <c r="DN45" s="48">
        <v>3.9E-2</v>
      </c>
      <c r="DO45" s="48">
        <v>6.5000000000000002E-2</v>
      </c>
      <c r="DP45" s="49">
        <v>68.364999999999995</v>
      </c>
      <c r="DQ45" s="48">
        <v>58.713999999999999</v>
      </c>
      <c r="DR45" s="48">
        <v>54.576999999999998</v>
      </c>
      <c r="DS45" s="48">
        <v>51.191000000000003</v>
      </c>
      <c r="DT45" s="48">
        <v>7.07</v>
      </c>
      <c r="DU45" s="48">
        <v>6.62</v>
      </c>
      <c r="DV45" s="48">
        <v>12.6</v>
      </c>
      <c r="DW45" s="48">
        <v>10.08</v>
      </c>
      <c r="DX45" s="48">
        <v>7.35</v>
      </c>
      <c r="DY45" s="48">
        <v>7.1</v>
      </c>
      <c r="DZ45" s="48">
        <v>11.95</v>
      </c>
      <c r="EA45" s="48">
        <v>9.75</v>
      </c>
      <c r="EB45" s="48">
        <v>41.48</v>
      </c>
      <c r="EC45" s="48">
        <v>41.28</v>
      </c>
      <c r="ED45" s="48">
        <v>33.72</v>
      </c>
      <c r="EE45" s="49">
        <v>36.770000000000003</v>
      </c>
      <c r="EF45" s="48">
        <v>44.1</v>
      </c>
      <c r="EG45" s="48">
        <v>45</v>
      </c>
      <c r="EH45" s="48">
        <v>41.73</v>
      </c>
      <c r="EI45" s="48">
        <v>43.39</v>
      </c>
      <c r="EJ45" s="48">
        <v>7.1379999999999999</v>
      </c>
      <c r="EK45" s="48">
        <v>62.526000000000003</v>
      </c>
      <c r="EL45" s="48">
        <v>2.2999999999999998</v>
      </c>
      <c r="EM45" s="48">
        <v>1.95</v>
      </c>
      <c r="EN45" s="48">
        <v>1.22</v>
      </c>
      <c r="EO45" s="48">
        <v>1.22</v>
      </c>
      <c r="EP45" s="48">
        <v>-109.726</v>
      </c>
      <c r="EQ45" s="48">
        <v>-2.117</v>
      </c>
      <c r="ER45" s="48">
        <v>91.17</v>
      </c>
      <c r="ES45" s="48">
        <v>1.3180000000000001</v>
      </c>
      <c r="ET45" s="48">
        <v>1.4770000000000001</v>
      </c>
      <c r="EU45" s="48">
        <v>1.292</v>
      </c>
      <c r="EV45" s="48">
        <v>7.117</v>
      </c>
      <c r="EW45" s="48">
        <v>3.13</v>
      </c>
      <c r="EX45" s="48">
        <v>72.040000000000006</v>
      </c>
      <c r="EY45" s="48">
        <v>0</v>
      </c>
      <c r="EZ45" s="49">
        <v>0</v>
      </c>
      <c r="FA45" s="49">
        <v>0</v>
      </c>
      <c r="FB45" s="48">
        <v>8.9860000000000007</v>
      </c>
      <c r="FC45" s="49">
        <v>69.13</v>
      </c>
      <c r="FD45" s="48">
        <v>64.69</v>
      </c>
      <c r="FE45" s="49">
        <v>78.762</v>
      </c>
      <c r="FF45" s="49">
        <v>76.777000000000001</v>
      </c>
      <c r="FG45" s="48">
        <v>0.91500000000000004</v>
      </c>
      <c r="FH45" s="48">
        <v>0.91700000000000004</v>
      </c>
      <c r="FI45" s="48">
        <v>0.997</v>
      </c>
      <c r="FJ45" s="48">
        <v>1.004</v>
      </c>
      <c r="FK45" s="48">
        <v>0</v>
      </c>
      <c r="FL45" s="48">
        <v>83</v>
      </c>
      <c r="FM45" s="49">
        <v>3.89</v>
      </c>
      <c r="FN45" s="49">
        <v>0.19</v>
      </c>
      <c r="FO45" s="49">
        <v>4.37</v>
      </c>
      <c r="FP45" s="3"/>
      <c r="FQ45" s="48">
        <v>4.55</v>
      </c>
      <c r="FR45" s="48">
        <v>5</v>
      </c>
      <c r="FS45" s="49">
        <v>6.6040000000000001</v>
      </c>
      <c r="FT45" s="49">
        <v>1083</v>
      </c>
      <c r="FU45" s="49">
        <v>6.09</v>
      </c>
      <c r="FV45" s="48">
        <v>59.24</v>
      </c>
      <c r="FW45" s="49">
        <v>3190</v>
      </c>
      <c r="FX45" s="48">
        <v>167300</v>
      </c>
      <c r="FY45" s="48">
        <v>167900</v>
      </c>
      <c r="FZ45" s="48">
        <v>47.360999999999997</v>
      </c>
      <c r="GA45" s="48">
        <v>47.817</v>
      </c>
      <c r="GB45" s="49">
        <v>2228.3000000000002</v>
      </c>
      <c r="GC45" s="48">
        <v>2153.9</v>
      </c>
      <c r="GD45" s="49">
        <v>2263.9</v>
      </c>
      <c r="GE45" s="48">
        <v>2245</v>
      </c>
      <c r="GF45" s="48">
        <v>1309.4530999999999</v>
      </c>
      <c r="GG45" s="48">
        <v>35</v>
      </c>
      <c r="GH45" s="48">
        <v>35</v>
      </c>
      <c r="GI45" s="48">
        <v>46.9</v>
      </c>
      <c r="GJ45" s="48">
        <v>51.8</v>
      </c>
      <c r="GK45" s="48">
        <v>99.5</v>
      </c>
      <c r="GL45" s="48">
        <v>108.6</v>
      </c>
      <c r="GM45" s="49">
        <v>0</v>
      </c>
      <c r="GN45" s="48">
        <v>25.632000000000001</v>
      </c>
      <c r="GO45" s="48">
        <v>109.726</v>
      </c>
      <c r="GP45" s="48">
        <v>0.35399999999999998</v>
      </c>
      <c r="GQ45" s="48">
        <v>1.829</v>
      </c>
      <c r="GR45" s="48">
        <v>0.59</v>
      </c>
      <c r="GS45" s="48">
        <v>1.9470000000000001</v>
      </c>
      <c r="GT45" s="48">
        <v>0.53100000000000003</v>
      </c>
      <c r="GU45" s="48">
        <v>1.829</v>
      </c>
      <c r="GV45" s="49">
        <v>0</v>
      </c>
      <c r="GW45" s="48">
        <v>0</v>
      </c>
      <c r="GX45" s="48">
        <v>0</v>
      </c>
      <c r="GY45" s="48">
        <v>11.27</v>
      </c>
      <c r="GZ45" s="48">
        <v>13.590999999999999</v>
      </c>
      <c r="HA45" s="48">
        <v>15.092000000000001</v>
      </c>
      <c r="HB45" s="48">
        <v>0</v>
      </c>
      <c r="HC45" s="48">
        <v>36.148000000000003</v>
      </c>
      <c r="HD45" s="48">
        <v>82</v>
      </c>
      <c r="HE45" s="49">
        <v>0</v>
      </c>
      <c r="HF45" s="49">
        <v>0</v>
      </c>
      <c r="HG45" s="48">
        <v>69.540000000000006</v>
      </c>
      <c r="HH45" s="48">
        <v>78.28</v>
      </c>
      <c r="HI45" s="49">
        <v>0</v>
      </c>
      <c r="HJ45" s="49">
        <v>0</v>
      </c>
      <c r="HK45" s="49">
        <v>0</v>
      </c>
      <c r="HL45" s="48">
        <v>57</v>
      </c>
      <c r="HM45" s="48">
        <v>51</v>
      </c>
      <c r="HN45" s="48">
        <v>65</v>
      </c>
      <c r="HO45" s="48">
        <v>58</v>
      </c>
      <c r="HP45" s="49">
        <v>62</v>
      </c>
      <c r="HQ45" s="49">
        <v>60</v>
      </c>
      <c r="HR45" s="48">
        <v>54</v>
      </c>
      <c r="HS45" s="48">
        <v>62</v>
      </c>
      <c r="HT45" s="49">
        <v>-1.518</v>
      </c>
      <c r="HU45" s="49">
        <v>0</v>
      </c>
      <c r="HV45" s="49">
        <v>0.751</v>
      </c>
      <c r="HW45" s="49">
        <v>40.380000000000003</v>
      </c>
      <c r="HX45" s="48">
        <v>46.15</v>
      </c>
      <c r="HY45" s="3"/>
      <c r="HZ45" s="3"/>
      <c r="IA45" s="48">
        <v>2.8330000000000002</v>
      </c>
      <c r="IB45" s="49">
        <v>104</v>
      </c>
      <c r="IC45" s="49">
        <v>22.472000000000001</v>
      </c>
      <c r="ID45" s="48">
        <v>-0.41199999999999998</v>
      </c>
      <c r="IE45" s="48">
        <v>-0.21099999999999999</v>
      </c>
      <c r="IF45" s="48">
        <v>804.1</v>
      </c>
      <c r="IG45" s="48">
        <v>755.6</v>
      </c>
      <c r="IH45" s="48">
        <v>810.1</v>
      </c>
      <c r="II45" s="48">
        <v>765</v>
      </c>
      <c r="IJ45" s="48">
        <v>-2.1000000000000001E-2</v>
      </c>
      <c r="IK45" s="49">
        <v>4.4999999999999998E-2</v>
      </c>
      <c r="IL45" s="48">
        <v>78.507999999999996</v>
      </c>
      <c r="IM45" s="48">
        <v>78.507999999999996</v>
      </c>
      <c r="IN45" s="48">
        <v>10.16</v>
      </c>
      <c r="IO45" s="49">
        <v>0.33500000000000002</v>
      </c>
      <c r="IP45" s="48">
        <v>8.8699999999999992</v>
      </c>
      <c r="IQ45" s="49">
        <v>1.4999999999999999E-2</v>
      </c>
      <c r="IR45" s="49">
        <v>8.0000000000000002E-3</v>
      </c>
      <c r="IS45">
        <v>0.33400000000000007</v>
      </c>
      <c r="IT45">
        <v>0.16700000000000007</v>
      </c>
    </row>
    <row r="46" spans="2:254" x14ac:dyDescent="0.25">
      <c r="B46" s="2" t="s">
        <v>409</v>
      </c>
      <c r="C46" s="2" t="s">
        <v>44</v>
      </c>
      <c r="D46" s="2" t="s">
        <v>421</v>
      </c>
      <c r="E46" s="49">
        <v>462.06799999999998</v>
      </c>
      <c r="F46" s="48">
        <v>330.35</v>
      </c>
      <c r="G46" s="48">
        <v>3.84</v>
      </c>
      <c r="H46" s="48">
        <v>25.9</v>
      </c>
      <c r="I46" s="49">
        <v>0</v>
      </c>
      <c r="J46" s="49">
        <v>43.1</v>
      </c>
      <c r="K46" s="49">
        <v>7</v>
      </c>
      <c r="L46" s="49">
        <v>6</v>
      </c>
      <c r="M46" s="49">
        <v>7</v>
      </c>
      <c r="N46" s="48">
        <v>2</v>
      </c>
      <c r="O46" s="49">
        <v>3</v>
      </c>
      <c r="P46" s="49">
        <v>1.046</v>
      </c>
      <c r="Q46" s="49">
        <v>1.4570000000000001</v>
      </c>
      <c r="R46" s="49">
        <v>1.056</v>
      </c>
      <c r="S46" s="3"/>
      <c r="T46" s="49">
        <v>72.13</v>
      </c>
      <c r="U46" s="48">
        <v>60.433999999999997</v>
      </c>
      <c r="V46" s="49">
        <v>70</v>
      </c>
      <c r="W46" s="49">
        <v>40</v>
      </c>
      <c r="X46" s="49">
        <v>80</v>
      </c>
      <c r="Y46" s="49">
        <v>80</v>
      </c>
      <c r="Z46" s="48">
        <v>195.5</v>
      </c>
      <c r="AA46" s="48">
        <v>200.41</v>
      </c>
      <c r="AB46" s="48">
        <v>152.16</v>
      </c>
      <c r="AC46" s="48">
        <v>181.05</v>
      </c>
      <c r="AD46" s="48">
        <v>1.6659999999999999</v>
      </c>
      <c r="AE46" s="48">
        <v>1.7050000000000001</v>
      </c>
      <c r="AF46" s="48">
        <v>1.6379999999999999</v>
      </c>
      <c r="AG46" s="48">
        <v>1.67</v>
      </c>
      <c r="AH46" s="48">
        <v>60.42</v>
      </c>
      <c r="AI46" s="48">
        <v>57.97</v>
      </c>
      <c r="AJ46" s="48">
        <v>77.59</v>
      </c>
      <c r="AK46" s="48">
        <v>79.599999999999994</v>
      </c>
      <c r="AL46" s="48">
        <v>640.19000000000005</v>
      </c>
      <c r="AM46" s="48">
        <v>644.55799999999999</v>
      </c>
      <c r="AN46" s="48">
        <v>815.47299999999996</v>
      </c>
      <c r="AO46" s="48">
        <v>823.28300000000002</v>
      </c>
      <c r="AP46" s="48">
        <v>1.3109999999999999</v>
      </c>
      <c r="AQ46" s="48">
        <v>1.78</v>
      </c>
      <c r="AR46" s="48">
        <v>42.420999999999999</v>
      </c>
      <c r="AS46" s="48">
        <v>38.817</v>
      </c>
      <c r="AT46" s="48">
        <v>83</v>
      </c>
      <c r="AU46" s="49">
        <v>121</v>
      </c>
      <c r="AV46" s="48">
        <v>1.966</v>
      </c>
      <c r="AW46" s="48">
        <v>4.4268000000000001</v>
      </c>
      <c r="AX46" s="48">
        <v>1007.4</v>
      </c>
      <c r="AY46" s="48">
        <v>2.5099999999999998</v>
      </c>
      <c r="AZ46" s="48">
        <v>4.9000000000000004</v>
      </c>
      <c r="BA46" s="48">
        <v>73.793000000000006</v>
      </c>
      <c r="BB46" s="48">
        <v>74.5</v>
      </c>
      <c r="BC46" s="49">
        <v>7785</v>
      </c>
      <c r="BD46" s="48">
        <v>88.75</v>
      </c>
      <c r="BE46" s="48">
        <v>15.17</v>
      </c>
      <c r="BF46" s="48">
        <v>11.715</v>
      </c>
      <c r="BG46" s="48">
        <v>26.48</v>
      </c>
      <c r="BH46" s="48">
        <v>23.44</v>
      </c>
      <c r="BI46" s="49">
        <v>65.674000000000007</v>
      </c>
      <c r="BJ46" s="49">
        <v>80.254000000000005</v>
      </c>
      <c r="BK46" s="49">
        <v>64.132000000000005</v>
      </c>
      <c r="BL46" s="49">
        <v>77.988</v>
      </c>
      <c r="BM46" s="49">
        <v>77.858000000000004</v>
      </c>
      <c r="BN46" s="48">
        <v>107.72</v>
      </c>
      <c r="BO46" s="48">
        <v>109.27200000000001</v>
      </c>
      <c r="BP46" s="48">
        <v>118.872</v>
      </c>
      <c r="BQ46" s="48">
        <v>120.92</v>
      </c>
      <c r="BR46" s="49">
        <v>59.468000000000004</v>
      </c>
      <c r="BS46" s="48">
        <v>25.5</v>
      </c>
      <c r="BT46" s="49">
        <v>7487.8540000000003</v>
      </c>
      <c r="BU46" s="48">
        <v>35.606999999999999</v>
      </c>
      <c r="BV46" s="48">
        <v>49.078000000000003</v>
      </c>
      <c r="BW46" s="48">
        <v>52.923999999999999</v>
      </c>
      <c r="BX46" s="48">
        <v>53.890999999999998</v>
      </c>
      <c r="BY46" s="48">
        <v>1.3169999999999999</v>
      </c>
      <c r="BZ46" s="48">
        <v>2.7280000000000002</v>
      </c>
      <c r="CA46" s="49">
        <v>3.718</v>
      </c>
      <c r="CB46" s="48">
        <v>3.0049999999999999</v>
      </c>
      <c r="CC46" s="48">
        <v>0.95299999999999996</v>
      </c>
      <c r="CD46" s="48">
        <v>1.925</v>
      </c>
      <c r="CE46" s="48">
        <v>1.1930000000000001</v>
      </c>
      <c r="CF46" s="48">
        <v>1.964</v>
      </c>
      <c r="CG46" s="49">
        <v>13.798999999999999</v>
      </c>
      <c r="CH46" s="48">
        <v>10.278</v>
      </c>
      <c r="CI46" s="3"/>
      <c r="CJ46" s="3"/>
      <c r="CK46" s="3"/>
      <c r="CL46" s="48">
        <v>0.1</v>
      </c>
      <c r="CM46" s="48">
        <v>0</v>
      </c>
      <c r="CN46" s="49">
        <v>0</v>
      </c>
      <c r="CO46" s="49">
        <v>0</v>
      </c>
      <c r="CP46" s="48">
        <v>87.899000000000001</v>
      </c>
      <c r="CQ46" s="48">
        <v>89.2</v>
      </c>
      <c r="CR46" s="48">
        <v>96.882999999999996</v>
      </c>
      <c r="CS46" s="48">
        <v>99.947999999999993</v>
      </c>
      <c r="CT46" s="48">
        <v>0.11700000000000001</v>
      </c>
      <c r="CU46" s="48">
        <v>0.70099999999999996</v>
      </c>
      <c r="CV46" s="48">
        <v>0.8</v>
      </c>
      <c r="CW46" s="48">
        <v>1.1000000000000001</v>
      </c>
      <c r="CX46" s="48">
        <v>0.90100000000000002</v>
      </c>
      <c r="CY46" s="48">
        <v>0.7</v>
      </c>
      <c r="CZ46" s="48">
        <v>0.70099999999999996</v>
      </c>
      <c r="DA46" s="48">
        <v>0.1</v>
      </c>
      <c r="DB46" s="48">
        <v>1.1000000000000001</v>
      </c>
      <c r="DC46" s="48">
        <v>0</v>
      </c>
      <c r="DD46" s="49">
        <v>0</v>
      </c>
      <c r="DE46" s="48">
        <v>0.14099999999999999</v>
      </c>
      <c r="DF46" s="48">
        <v>9.0999999999999998E-2</v>
      </c>
      <c r="DG46" s="48">
        <v>0.20899999999999999</v>
      </c>
      <c r="DH46" s="48">
        <v>0.84899999999999998</v>
      </c>
      <c r="DI46" s="48">
        <v>0.94299999999999995</v>
      </c>
      <c r="DJ46" s="49">
        <v>0.41099999999999998</v>
      </c>
      <c r="DK46" s="48">
        <v>1.0449999999999999</v>
      </c>
      <c r="DL46" s="49">
        <v>0.40699999999999997</v>
      </c>
      <c r="DM46" s="49">
        <v>0.53400000000000003</v>
      </c>
      <c r="DN46" s="49">
        <v>0.61299999999999999</v>
      </c>
      <c r="DO46" s="49">
        <v>0.41899999999999998</v>
      </c>
      <c r="DP46" s="48">
        <v>66.771000000000001</v>
      </c>
      <c r="DQ46" s="49">
        <v>61.070999999999998</v>
      </c>
      <c r="DR46" s="48">
        <v>54.631</v>
      </c>
      <c r="DS46" s="49">
        <v>52.253999999999998</v>
      </c>
      <c r="DT46" s="48">
        <v>1.51</v>
      </c>
      <c r="DU46" s="48">
        <v>1.51</v>
      </c>
      <c r="DV46" s="48">
        <v>2.65</v>
      </c>
      <c r="DW46" s="48">
        <v>2.04</v>
      </c>
      <c r="DX46" s="48">
        <v>1.59</v>
      </c>
      <c r="DY46" s="48">
        <v>1.68</v>
      </c>
      <c r="DZ46" s="48">
        <v>2.48</v>
      </c>
      <c r="EA46" s="48">
        <v>2.0299999999999998</v>
      </c>
      <c r="EB46" s="49">
        <v>42.41</v>
      </c>
      <c r="EC46" s="49">
        <v>42.95</v>
      </c>
      <c r="ED46" s="49">
        <v>34.65</v>
      </c>
      <c r="EE46" s="48">
        <v>34.01</v>
      </c>
      <c r="EF46" s="48">
        <v>54.49</v>
      </c>
      <c r="EG46" s="48">
        <v>53.86</v>
      </c>
      <c r="EH46" s="49">
        <v>60.23</v>
      </c>
      <c r="EI46" s="49">
        <v>61.92</v>
      </c>
      <c r="EJ46" s="49">
        <v>8.2680000000000007</v>
      </c>
      <c r="EK46" s="48">
        <v>61.936999999999998</v>
      </c>
      <c r="EL46" s="48">
        <v>2.2999999999999998</v>
      </c>
      <c r="EM46" s="48">
        <v>2</v>
      </c>
      <c r="EN46" s="49">
        <v>1.53</v>
      </c>
      <c r="EO46" s="49">
        <v>1.52</v>
      </c>
      <c r="EP46" s="49">
        <v>-118.194</v>
      </c>
      <c r="EQ46" s="49">
        <v>-0.56699999999999995</v>
      </c>
      <c r="ER46" s="48">
        <v>90.001999999999995</v>
      </c>
      <c r="ES46" s="49">
        <v>1.5169999999999999</v>
      </c>
      <c r="ET46" s="49">
        <v>1.6220000000000001</v>
      </c>
      <c r="EU46" s="49">
        <v>1.512</v>
      </c>
      <c r="EV46" s="48">
        <v>7.51</v>
      </c>
      <c r="EW46" s="49">
        <v>3.4860000000000002</v>
      </c>
      <c r="EX46" s="48">
        <v>35.840000000000003</v>
      </c>
      <c r="EY46" s="48">
        <v>0</v>
      </c>
      <c r="EZ46" s="49">
        <v>0</v>
      </c>
      <c r="FA46" s="49">
        <v>0</v>
      </c>
      <c r="FB46" s="49">
        <v>9.3249999999999993</v>
      </c>
      <c r="FC46" s="48">
        <v>65.239000000000004</v>
      </c>
      <c r="FD46" s="48">
        <v>61.991</v>
      </c>
      <c r="FE46" s="48">
        <v>72.183000000000007</v>
      </c>
      <c r="FF46" s="48">
        <v>70.873000000000005</v>
      </c>
      <c r="FG46" s="49">
        <v>0.97199999999999998</v>
      </c>
      <c r="FH46" s="48">
        <v>0.95599999999999996</v>
      </c>
      <c r="FI46" s="49">
        <v>1.0209999999999999</v>
      </c>
      <c r="FJ46" s="49">
        <v>1.022</v>
      </c>
      <c r="FK46" s="48">
        <v>0</v>
      </c>
      <c r="FL46" s="48">
        <v>83</v>
      </c>
      <c r="FM46" s="48">
        <v>3.86</v>
      </c>
      <c r="FN46" s="48">
        <v>1.59</v>
      </c>
      <c r="FO46" s="48">
        <v>4.8899999999999997</v>
      </c>
      <c r="FP46" s="48">
        <v>4.05</v>
      </c>
      <c r="FQ46" s="49">
        <v>4.45</v>
      </c>
      <c r="FR46" s="48">
        <v>5.2</v>
      </c>
      <c r="FS46" s="48">
        <v>6.3765000000000001</v>
      </c>
      <c r="FT46" s="48">
        <v>1073.5999999999999</v>
      </c>
      <c r="FU46" s="48">
        <v>5.81</v>
      </c>
      <c r="FV46" s="49">
        <v>63.09</v>
      </c>
      <c r="FW46" s="48">
        <v>2872</v>
      </c>
      <c r="FX46" s="48">
        <v>165300</v>
      </c>
      <c r="FY46" s="48">
        <v>165800</v>
      </c>
      <c r="FZ46" s="48">
        <v>47.023000000000003</v>
      </c>
      <c r="GA46" s="48">
        <v>47.509</v>
      </c>
      <c r="GB46" s="48">
        <v>2152.6999999999998</v>
      </c>
      <c r="GC46" s="48">
        <v>2166.1</v>
      </c>
      <c r="GD46" s="48">
        <v>2222.1999999999998</v>
      </c>
      <c r="GE46" s="48">
        <v>2222.6999999999998</v>
      </c>
      <c r="GF46" s="48">
        <v>1300.0625</v>
      </c>
      <c r="GG46" s="49">
        <v>36</v>
      </c>
      <c r="GH46" s="49">
        <v>35.6</v>
      </c>
      <c r="GI46" s="48">
        <v>49.6</v>
      </c>
      <c r="GJ46" s="49">
        <v>56.4</v>
      </c>
      <c r="GK46" s="48">
        <v>99</v>
      </c>
      <c r="GL46" s="48">
        <v>110.4</v>
      </c>
      <c r="GM46" s="49">
        <v>0</v>
      </c>
      <c r="GN46" s="48">
        <v>24.422000000000001</v>
      </c>
      <c r="GO46" s="49">
        <v>118.194</v>
      </c>
      <c r="GP46" s="49">
        <v>0</v>
      </c>
      <c r="GQ46" s="48">
        <v>1.9470000000000001</v>
      </c>
      <c r="GR46" s="49">
        <v>0</v>
      </c>
      <c r="GS46" s="48">
        <v>2.1240000000000001</v>
      </c>
      <c r="GT46" s="49">
        <v>0</v>
      </c>
      <c r="GU46" s="48">
        <v>2.1240000000000001</v>
      </c>
      <c r="GV46" s="49">
        <v>0</v>
      </c>
      <c r="GW46" s="48">
        <v>0</v>
      </c>
      <c r="GX46" s="48">
        <v>0</v>
      </c>
      <c r="GY46" s="49">
        <v>0</v>
      </c>
      <c r="GZ46" s="49">
        <v>13.949</v>
      </c>
      <c r="HA46" s="48">
        <v>17.346</v>
      </c>
      <c r="HB46" s="49">
        <v>1</v>
      </c>
      <c r="HC46" s="48">
        <v>35.215000000000003</v>
      </c>
      <c r="HD46" s="49">
        <v>90</v>
      </c>
      <c r="HE46" s="49">
        <v>0</v>
      </c>
      <c r="HF46" s="49">
        <v>0</v>
      </c>
      <c r="HG46" s="48">
        <v>69.08</v>
      </c>
      <c r="HH46" s="48">
        <v>78.37</v>
      </c>
      <c r="HI46" s="49">
        <v>0</v>
      </c>
      <c r="HJ46" s="49">
        <v>0</v>
      </c>
      <c r="HK46" s="49">
        <v>0</v>
      </c>
      <c r="HL46" s="48">
        <v>58</v>
      </c>
      <c r="HM46" s="49">
        <v>52</v>
      </c>
      <c r="HN46" s="49">
        <v>66</v>
      </c>
      <c r="HO46" s="49">
        <v>59</v>
      </c>
      <c r="HP46" s="49">
        <v>62</v>
      </c>
      <c r="HQ46" s="49">
        <v>60</v>
      </c>
      <c r="HR46" s="49">
        <v>55</v>
      </c>
      <c r="HS46" s="48">
        <v>64</v>
      </c>
      <c r="HT46" s="48">
        <v>-1.5089999999999999</v>
      </c>
      <c r="HU46" s="49">
        <v>0</v>
      </c>
      <c r="HV46" s="48">
        <v>0.40500000000000003</v>
      </c>
      <c r="HW46" s="48">
        <v>41.2</v>
      </c>
      <c r="HX46" s="48">
        <v>47.05</v>
      </c>
      <c r="HY46" s="3"/>
      <c r="HZ46" s="3"/>
      <c r="IA46" s="48">
        <v>2.6850000000000001</v>
      </c>
      <c r="IB46" s="48">
        <v>96</v>
      </c>
      <c r="IC46" s="48">
        <v>16.716000000000001</v>
      </c>
      <c r="ID46" s="49">
        <v>-0.1</v>
      </c>
      <c r="IE46" s="49">
        <v>-5.8999999999999997E-2</v>
      </c>
      <c r="IF46" s="48">
        <v>802.6</v>
      </c>
      <c r="IG46" s="48">
        <v>600.1</v>
      </c>
      <c r="IH46" s="49">
        <v>834.5</v>
      </c>
      <c r="II46" s="48">
        <v>619</v>
      </c>
      <c r="IJ46" s="49">
        <v>-0.01</v>
      </c>
      <c r="IK46" s="48">
        <v>7.0000000000000001E-3</v>
      </c>
      <c r="IL46" s="49">
        <v>336.43599999999998</v>
      </c>
      <c r="IM46" s="49">
        <v>336.43599999999998</v>
      </c>
      <c r="IN46" s="49">
        <v>18.815999999999999</v>
      </c>
      <c r="IO46" s="48">
        <v>6.3E-2</v>
      </c>
      <c r="IP46" s="48">
        <v>9</v>
      </c>
      <c r="IQ46" s="48">
        <v>0</v>
      </c>
      <c r="IR46" s="48">
        <v>0</v>
      </c>
      <c r="IS46">
        <v>0.33400000000000007</v>
      </c>
      <c r="IT46">
        <v>0.16700000000000007</v>
      </c>
    </row>
    <row r="47" spans="2:254" x14ac:dyDescent="0.25">
      <c r="IS47">
        <v>0.33400000000000007</v>
      </c>
      <c r="IT47">
        <v>0.16700000000000007</v>
      </c>
    </row>
    <row r="48" spans="2:254" x14ac:dyDescent="0.25">
      <c r="IS48">
        <v>0.33400000000000007</v>
      </c>
      <c r="IT48">
        <v>0.16700000000000007</v>
      </c>
    </row>
    <row r="49" spans="1:254" x14ac:dyDescent="0.25">
      <c r="IS49">
        <v>0.33400000000000007</v>
      </c>
      <c r="IT49">
        <v>0.16700000000000007</v>
      </c>
    </row>
    <row r="50" spans="1:254" x14ac:dyDescent="0.25">
      <c r="IS50">
        <v>0.33400000000000007</v>
      </c>
      <c r="IT50">
        <v>0.16700000000000007</v>
      </c>
    </row>
    <row r="51" spans="1:254" x14ac:dyDescent="0.25">
      <c r="IS51">
        <v>0.42000000000000015</v>
      </c>
      <c r="IT51">
        <v>0.25700000000000012</v>
      </c>
    </row>
    <row r="52" spans="1:254" x14ac:dyDescent="0.25">
      <c r="IS52">
        <v>0.42000000000000015</v>
      </c>
      <c r="IT52">
        <v>0.25700000000000012</v>
      </c>
    </row>
    <row r="53" spans="1:254" x14ac:dyDescent="0.25">
      <c r="IS53">
        <v>0.42000000000000015</v>
      </c>
      <c r="IT53">
        <v>0.25700000000000012</v>
      </c>
    </row>
    <row r="54" spans="1:254" x14ac:dyDescent="0.25">
      <c r="IS54">
        <v>0.42000000000000015</v>
      </c>
      <c r="IT54">
        <v>0.25700000000000012</v>
      </c>
    </row>
    <row r="55" spans="1:254" x14ac:dyDescent="0.25">
      <c r="IS55">
        <v>0.42000000000000015</v>
      </c>
      <c r="IT55">
        <v>0.25700000000000012</v>
      </c>
    </row>
    <row r="56" spans="1:254" x14ac:dyDescent="0.25">
      <c r="IS56">
        <v>0.42000000000000015</v>
      </c>
      <c r="IT56">
        <v>0.25700000000000012</v>
      </c>
    </row>
    <row r="57" spans="1:254" x14ac:dyDescent="0.25">
      <c r="A57" s="6" t="s">
        <v>49</v>
      </c>
    </row>
    <row r="89" spans="1:1" x14ac:dyDescent="0.25">
      <c r="A89" s="6" t="s">
        <v>50</v>
      </c>
    </row>
    <row r="118" spans="1:1" x14ac:dyDescent="0.25">
      <c r="A118" s="6" t="s">
        <v>51</v>
      </c>
    </row>
    <row r="147" spans="1:1" x14ac:dyDescent="0.25">
      <c r="A147" s="6" t="s">
        <v>57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835E5-CDC9-404B-98AE-57FBF63AF014}">
  <sheetPr codeName="Sheet1"/>
  <dimension ref="B1:IR11"/>
  <sheetViews>
    <sheetView tabSelected="1" zoomScale="70" zoomScaleNormal="70" workbookViewId="0">
      <selection activeCell="D11" sqref="D11"/>
    </sheetView>
  </sheetViews>
  <sheetFormatPr defaultRowHeight="15" x14ac:dyDescent="0.25"/>
  <cols>
    <col min="3" max="3" width="5.85546875" bestFit="1" customWidth="1"/>
    <col min="4" max="4" width="10.7109375" bestFit="1" customWidth="1"/>
  </cols>
  <sheetData>
    <row r="1" spans="2:252" x14ac:dyDescent="0.25">
      <c r="B1" t="s">
        <v>358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413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x14ac:dyDescent="0.25">
      <c r="B7" s="2" t="s">
        <v>409</v>
      </c>
      <c r="C7" s="2" t="s">
        <v>41</v>
      </c>
      <c r="D7" s="57">
        <v>1.0271296296296296E-2</v>
      </c>
      <c r="E7" s="49">
        <v>887.43799999999999</v>
      </c>
      <c r="F7" s="48">
        <v>324.64999999999998</v>
      </c>
      <c r="G7" s="48">
        <v>5.76</v>
      </c>
      <c r="H7" s="48">
        <v>23.6</v>
      </c>
      <c r="I7" s="49">
        <v>0</v>
      </c>
      <c r="J7" s="49">
        <v>115.6</v>
      </c>
      <c r="K7" s="49">
        <v>6</v>
      </c>
      <c r="L7" s="49">
        <v>6</v>
      </c>
      <c r="M7" s="49">
        <v>7</v>
      </c>
      <c r="N7" s="49">
        <v>3</v>
      </c>
      <c r="O7" s="49">
        <v>3</v>
      </c>
      <c r="P7" s="48">
        <v>0.497</v>
      </c>
      <c r="Q7" s="48">
        <v>0.87</v>
      </c>
      <c r="R7" s="48">
        <v>0.26900000000000002</v>
      </c>
      <c r="S7" s="48">
        <v>0.17399999999999999</v>
      </c>
      <c r="T7" s="48">
        <v>69</v>
      </c>
      <c r="U7" s="48">
        <v>60.28</v>
      </c>
      <c r="V7" s="49">
        <v>60</v>
      </c>
      <c r="W7" s="49">
        <v>40</v>
      </c>
      <c r="X7" s="49">
        <v>80</v>
      </c>
      <c r="Y7" s="49">
        <v>70</v>
      </c>
      <c r="Z7" s="48">
        <v>124.77</v>
      </c>
      <c r="AA7" s="48">
        <v>119.02</v>
      </c>
      <c r="AB7" s="48">
        <v>111.72</v>
      </c>
      <c r="AC7" s="48">
        <v>121.77</v>
      </c>
      <c r="AD7" s="48">
        <v>0.496</v>
      </c>
      <c r="AE7" s="48">
        <v>0.51</v>
      </c>
      <c r="AF7" s="48">
        <v>0.45500000000000002</v>
      </c>
      <c r="AG7" s="48">
        <v>0.504</v>
      </c>
      <c r="AH7" s="48">
        <v>-9.11</v>
      </c>
      <c r="AI7" s="48">
        <v>-11.92</v>
      </c>
      <c r="AJ7" s="48">
        <v>-8.58</v>
      </c>
      <c r="AK7" s="48">
        <v>-6.79</v>
      </c>
      <c r="AL7" s="48">
        <v>603.54700000000003</v>
      </c>
      <c r="AM7" s="48">
        <v>619.34699999999998</v>
      </c>
      <c r="AN7" s="48">
        <v>734.36</v>
      </c>
      <c r="AO7" s="48">
        <v>736.47299999999996</v>
      </c>
      <c r="AP7" s="49">
        <v>1.464</v>
      </c>
      <c r="AQ7" s="49">
        <v>1.9259999999999999</v>
      </c>
      <c r="AR7" s="48">
        <v>41.654000000000003</v>
      </c>
      <c r="AS7" s="48">
        <v>37.027999999999999</v>
      </c>
      <c r="AT7" s="49">
        <v>82</v>
      </c>
      <c r="AU7" s="48">
        <v>90</v>
      </c>
      <c r="AV7" s="48">
        <v>2.0085000000000002</v>
      </c>
      <c r="AW7" s="49">
        <v>5.3992000000000004</v>
      </c>
      <c r="AX7" s="49">
        <v>1024.4000000000001</v>
      </c>
      <c r="AY7" s="49">
        <v>2.5499999999999998</v>
      </c>
      <c r="AZ7" s="49">
        <v>0.76</v>
      </c>
      <c r="BA7" s="48">
        <v>69.701999999999998</v>
      </c>
      <c r="BB7" s="48">
        <v>69.7</v>
      </c>
      <c r="BC7" s="48">
        <v>7730</v>
      </c>
      <c r="BD7" s="48">
        <v>88.75</v>
      </c>
      <c r="BE7" s="48">
        <v>14.42</v>
      </c>
      <c r="BF7" s="48">
        <v>12.09</v>
      </c>
      <c r="BG7" s="48">
        <v>29.07</v>
      </c>
      <c r="BH7" s="48">
        <v>28.29</v>
      </c>
      <c r="BI7" s="48">
        <v>65.491</v>
      </c>
      <c r="BJ7" s="48">
        <v>81.292000000000002</v>
      </c>
      <c r="BK7" s="48">
        <v>63.82</v>
      </c>
      <c r="BL7" s="49">
        <v>78.585999999999999</v>
      </c>
      <c r="BM7" s="48">
        <v>78.945999999999998</v>
      </c>
      <c r="BN7" s="48">
        <v>77.944000000000003</v>
      </c>
      <c r="BO7" s="48">
        <v>75.784000000000006</v>
      </c>
      <c r="BP7" s="48">
        <v>92.6</v>
      </c>
      <c r="BQ7" s="48">
        <v>94.376000000000005</v>
      </c>
      <c r="BR7" s="48">
        <v>57.326000000000001</v>
      </c>
      <c r="BS7" s="48">
        <v>22.8</v>
      </c>
      <c r="BT7" s="48">
        <v>7131.6369999999997</v>
      </c>
      <c r="BU7" s="48">
        <v>36.665999999999997</v>
      </c>
      <c r="BV7" s="48">
        <v>52.52</v>
      </c>
      <c r="BW7" s="49">
        <v>54.695999999999998</v>
      </c>
      <c r="BX7" s="48">
        <v>54.662999999999997</v>
      </c>
      <c r="BY7" s="48">
        <v>1.2949999999999999</v>
      </c>
      <c r="BZ7" s="48">
        <v>2.8159999999999998</v>
      </c>
      <c r="CA7" s="48">
        <v>3.2690000000000001</v>
      </c>
      <c r="CB7" s="48">
        <v>2.855</v>
      </c>
      <c r="CC7" s="49">
        <v>1.2749999999999999</v>
      </c>
      <c r="CD7" s="48">
        <v>2.4300000000000002</v>
      </c>
      <c r="CE7" s="49">
        <v>1.5149999999999999</v>
      </c>
      <c r="CF7" s="49">
        <v>2.2959999999999998</v>
      </c>
      <c r="CG7" s="48">
        <v>13.545</v>
      </c>
      <c r="CH7" s="49">
        <v>10.327999999999999</v>
      </c>
      <c r="CI7" s="48">
        <v>4.5830000000000002</v>
      </c>
      <c r="CJ7" s="48">
        <v>2.5110000000000001</v>
      </c>
      <c r="CK7" s="48">
        <v>1.2090000000000001</v>
      </c>
      <c r="CL7" s="48">
        <v>0</v>
      </c>
      <c r="CM7" s="48">
        <v>0.1</v>
      </c>
      <c r="CN7" s="49">
        <v>0</v>
      </c>
      <c r="CO7" s="49">
        <v>0</v>
      </c>
      <c r="CP7" s="48">
        <v>35.908000000000001</v>
      </c>
      <c r="CQ7" s="48">
        <v>34.481000000000002</v>
      </c>
      <c r="CR7" s="48">
        <v>39.75</v>
      </c>
      <c r="CS7" s="48">
        <v>37.417000000000002</v>
      </c>
      <c r="CT7" s="48">
        <v>0.224</v>
      </c>
      <c r="CU7" s="48">
        <v>1.296</v>
      </c>
      <c r="CV7" s="48">
        <v>1.2969999999999999</v>
      </c>
      <c r="CW7" s="48">
        <v>0.69799999999999995</v>
      </c>
      <c r="CX7" s="48">
        <v>0.999</v>
      </c>
      <c r="CY7" s="48">
        <v>0.1</v>
      </c>
      <c r="CZ7" s="48">
        <v>0.79900000000000004</v>
      </c>
      <c r="DA7" s="48">
        <v>0.499</v>
      </c>
      <c r="DB7" s="48">
        <v>0.9</v>
      </c>
      <c r="DC7" s="49">
        <v>0</v>
      </c>
      <c r="DD7" s="49">
        <v>0</v>
      </c>
      <c r="DE7" s="48">
        <v>5.3999999999999999E-2</v>
      </c>
      <c r="DF7" s="48">
        <v>0.05</v>
      </c>
      <c r="DG7" s="48">
        <v>9.5000000000000001E-2</v>
      </c>
      <c r="DH7" s="48">
        <v>0.94799999999999995</v>
      </c>
      <c r="DI7" s="48">
        <v>0.84799999999999998</v>
      </c>
      <c r="DJ7" s="49">
        <v>0.155</v>
      </c>
      <c r="DK7" s="48">
        <v>0.7</v>
      </c>
      <c r="DL7" s="49">
        <v>0.42</v>
      </c>
      <c r="DM7" s="48">
        <v>0.47399999999999998</v>
      </c>
      <c r="DN7" s="48">
        <v>0.49299999999999999</v>
      </c>
      <c r="DO7" s="48">
        <v>0.38500000000000001</v>
      </c>
      <c r="DP7" s="48">
        <v>60.348999999999997</v>
      </c>
      <c r="DQ7" s="48">
        <v>62.698</v>
      </c>
      <c r="DR7" s="48">
        <v>53.167000000000002</v>
      </c>
      <c r="DS7" s="48">
        <v>50.097000000000001</v>
      </c>
      <c r="DT7" s="48">
        <v>1.1200000000000001</v>
      </c>
      <c r="DU7" s="48">
        <v>1.18</v>
      </c>
      <c r="DV7" s="48">
        <v>2.09</v>
      </c>
      <c r="DW7" s="48">
        <v>1.63</v>
      </c>
      <c r="DX7" s="48">
        <v>1.24</v>
      </c>
      <c r="DY7" s="48">
        <v>1.1399999999999999</v>
      </c>
      <c r="DZ7" s="48">
        <v>1.93</v>
      </c>
      <c r="EA7" s="48">
        <v>1.51</v>
      </c>
      <c r="EB7" s="48">
        <v>13.33</v>
      </c>
      <c r="EC7" s="48">
        <v>13.56</v>
      </c>
      <c r="ED7" s="48">
        <v>11.21</v>
      </c>
      <c r="EE7" s="48">
        <v>11.93</v>
      </c>
      <c r="EF7" s="49">
        <v>84.31</v>
      </c>
      <c r="EG7" s="49">
        <v>84.12</v>
      </c>
      <c r="EH7" s="49">
        <v>84.77</v>
      </c>
      <c r="EI7" s="49">
        <v>84.93</v>
      </c>
      <c r="EJ7" s="48">
        <v>4.6749999999999998</v>
      </c>
      <c r="EK7" s="48">
        <v>55.771000000000001</v>
      </c>
      <c r="EL7" s="49">
        <v>2.5499999999999998</v>
      </c>
      <c r="EM7" s="49">
        <v>1.7</v>
      </c>
      <c r="EN7" s="48">
        <v>1.08</v>
      </c>
      <c r="EO7" s="48">
        <v>1.08</v>
      </c>
      <c r="EP7" s="48">
        <v>-103.886</v>
      </c>
      <c r="EQ7" s="49">
        <v>-1.0940000000000001</v>
      </c>
      <c r="ER7" s="48">
        <v>105.47799999999999</v>
      </c>
      <c r="ES7" s="48">
        <v>0.50900000000000001</v>
      </c>
      <c r="ET7" s="48">
        <v>0.52600000000000002</v>
      </c>
      <c r="EU7" s="48">
        <v>0.496</v>
      </c>
      <c r="EV7" s="49">
        <v>8.1010000000000009</v>
      </c>
      <c r="EW7" s="49">
        <v>2.996</v>
      </c>
      <c r="EX7" s="48">
        <v>-517.5</v>
      </c>
      <c r="EY7" s="49">
        <v>0.18</v>
      </c>
      <c r="EZ7" s="48">
        <v>18.079999999999998</v>
      </c>
      <c r="FA7" s="49">
        <v>0</v>
      </c>
      <c r="FB7" s="48">
        <v>2.387</v>
      </c>
      <c r="FC7" s="48">
        <v>18.696999999999999</v>
      </c>
      <c r="FD7" s="48">
        <v>17.725000000000001</v>
      </c>
      <c r="FE7" s="48">
        <v>19.21</v>
      </c>
      <c r="FF7" s="48">
        <v>20.542999999999999</v>
      </c>
      <c r="FG7" s="49">
        <v>1.0089999999999999</v>
      </c>
      <c r="FH7" s="49">
        <v>1.0089999999999999</v>
      </c>
      <c r="FI7" s="49">
        <v>1.0009999999999999</v>
      </c>
      <c r="FJ7" s="49">
        <v>1.002</v>
      </c>
      <c r="FK7" s="49">
        <v>0.2</v>
      </c>
      <c r="FL7" s="48">
        <v>82</v>
      </c>
      <c r="FM7" s="48">
        <v>3.61</v>
      </c>
      <c r="FN7" s="49">
        <v>-0.9</v>
      </c>
      <c r="FO7" s="49">
        <v>0.76</v>
      </c>
      <c r="FP7" s="49">
        <v>0.2</v>
      </c>
      <c r="FQ7" s="48">
        <v>4.7</v>
      </c>
      <c r="FR7" s="48">
        <v>5.2</v>
      </c>
      <c r="FS7" s="48">
        <v>6.6455000000000002</v>
      </c>
      <c r="FT7" s="48">
        <v>1069.2</v>
      </c>
      <c r="FU7" s="48">
        <v>4.38</v>
      </c>
      <c r="FV7" s="48">
        <v>5.76</v>
      </c>
      <c r="FW7" s="49">
        <v>16383.5</v>
      </c>
      <c r="FX7" s="48">
        <v>160300</v>
      </c>
      <c r="FY7" s="48">
        <v>161100</v>
      </c>
      <c r="FZ7" s="49">
        <v>48.447000000000003</v>
      </c>
      <c r="GA7" s="49">
        <v>48.341000000000001</v>
      </c>
      <c r="GB7" s="48">
        <v>2128.4</v>
      </c>
      <c r="GC7" s="48">
        <v>2133.6</v>
      </c>
      <c r="GD7" s="48">
        <v>2145.4</v>
      </c>
      <c r="GE7" s="48">
        <v>2236.3000000000002</v>
      </c>
      <c r="GF7" s="49">
        <v>1440.9530999999999</v>
      </c>
      <c r="GG7" s="49">
        <v>38</v>
      </c>
      <c r="GH7" s="49">
        <v>37.9</v>
      </c>
      <c r="GI7" s="49">
        <v>74.2</v>
      </c>
      <c r="GJ7" s="49">
        <v>75.5</v>
      </c>
      <c r="GK7" s="49">
        <v>96.5</v>
      </c>
      <c r="GL7" s="48">
        <v>109.4</v>
      </c>
      <c r="GM7" s="49">
        <v>0</v>
      </c>
      <c r="GN7" s="48">
        <v>22.739000000000001</v>
      </c>
      <c r="GO7" s="48">
        <v>105.47799999999999</v>
      </c>
      <c r="GP7" s="49">
        <v>0</v>
      </c>
      <c r="GQ7" s="48">
        <v>4.2480000000000002</v>
      </c>
      <c r="GR7" s="49">
        <v>0</v>
      </c>
      <c r="GS7" s="48">
        <v>4.7789999999999999</v>
      </c>
      <c r="GT7" s="49">
        <v>0</v>
      </c>
      <c r="GU7" s="48">
        <v>5.0739999999999998</v>
      </c>
      <c r="GV7" s="49">
        <v>0</v>
      </c>
      <c r="GW7" s="48">
        <v>4.1929999999999996</v>
      </c>
      <c r="GX7" s="49">
        <v>24.99</v>
      </c>
      <c r="GY7" s="49">
        <v>0</v>
      </c>
      <c r="GZ7" s="49">
        <v>0</v>
      </c>
      <c r="HA7" s="49">
        <v>0</v>
      </c>
      <c r="HB7" s="49">
        <v>1</v>
      </c>
      <c r="HC7" s="48">
        <v>18.702999999999999</v>
      </c>
      <c r="HD7" s="48">
        <v>74</v>
      </c>
      <c r="HE7" s="49">
        <v>0</v>
      </c>
      <c r="HF7" s="49">
        <v>0</v>
      </c>
      <c r="HG7" s="48">
        <v>86.46</v>
      </c>
      <c r="HH7" s="48">
        <v>78.58</v>
      </c>
      <c r="HI7" s="49">
        <v>0</v>
      </c>
      <c r="HJ7" s="49">
        <v>0</v>
      </c>
      <c r="HK7" s="49">
        <v>0</v>
      </c>
      <c r="HL7" s="48">
        <v>53</v>
      </c>
      <c r="HM7" s="49">
        <v>50</v>
      </c>
      <c r="HN7" s="48">
        <v>54</v>
      </c>
      <c r="HO7" s="48">
        <v>47</v>
      </c>
      <c r="HP7" s="48">
        <v>50</v>
      </c>
      <c r="HQ7" s="48">
        <v>48</v>
      </c>
      <c r="HR7" s="48">
        <v>44</v>
      </c>
      <c r="HS7" s="48">
        <v>54</v>
      </c>
      <c r="HT7" s="48">
        <v>-1.3380000000000001</v>
      </c>
      <c r="HU7" s="49">
        <v>0</v>
      </c>
      <c r="HV7" s="48">
        <v>-1.7410000000000001</v>
      </c>
      <c r="HW7" s="48">
        <v>40.04</v>
      </c>
      <c r="HX7" s="48">
        <v>51.28</v>
      </c>
      <c r="HY7" s="3"/>
      <c r="HZ7" s="3"/>
      <c r="IA7" s="48">
        <v>2.3149999999999999</v>
      </c>
      <c r="IB7" s="48">
        <v>79</v>
      </c>
      <c r="IC7" s="48">
        <v>5.556</v>
      </c>
      <c r="ID7" s="49">
        <v>-8.1000000000000003E-2</v>
      </c>
      <c r="IE7" s="49">
        <v>-4.9000000000000002E-2</v>
      </c>
      <c r="IF7" s="48">
        <v>805.5</v>
      </c>
      <c r="IG7" s="48">
        <v>265.7</v>
      </c>
      <c r="IH7" s="48">
        <v>808.1</v>
      </c>
      <c r="II7" s="48">
        <v>274.89999999999998</v>
      </c>
      <c r="IJ7" s="48">
        <v>-7.0000000000000001E-3</v>
      </c>
      <c r="IK7" s="48">
        <v>-7.0000000000000001E-3</v>
      </c>
      <c r="IL7" s="49">
        <v>737.86599999999999</v>
      </c>
      <c r="IM7" s="49">
        <v>737.86599999999999</v>
      </c>
      <c r="IN7" s="48">
        <v>9.7799999999999994</v>
      </c>
      <c r="IO7" s="48">
        <v>5.3999999999999999E-2</v>
      </c>
      <c r="IP7" s="49">
        <v>9.42</v>
      </c>
      <c r="IQ7" s="49">
        <v>2.9000000000000001E-2</v>
      </c>
      <c r="IR7" s="49">
        <v>4.2000000000000003E-2</v>
      </c>
    </row>
    <row r="8" spans="2:252" x14ac:dyDescent="0.25">
      <c r="B8" s="2" t="s">
        <v>409</v>
      </c>
      <c r="C8" s="2" t="s">
        <v>42</v>
      </c>
      <c r="D8" s="57">
        <v>2.521064814814815E-3</v>
      </c>
      <c r="E8" s="48">
        <v>217.86</v>
      </c>
      <c r="F8" s="49">
        <v>331.66</v>
      </c>
      <c r="G8" s="48">
        <v>5.79</v>
      </c>
      <c r="H8" s="48">
        <v>24.5</v>
      </c>
      <c r="I8" s="49">
        <v>0</v>
      </c>
      <c r="J8" s="48">
        <v>15.7</v>
      </c>
      <c r="K8" s="49">
        <v>6</v>
      </c>
      <c r="L8" s="49">
        <v>6</v>
      </c>
      <c r="M8" s="49">
        <v>7</v>
      </c>
      <c r="N8" s="49">
        <v>3</v>
      </c>
      <c r="O8" s="49">
        <v>3</v>
      </c>
      <c r="P8" s="49">
        <v>0.60099999999999998</v>
      </c>
      <c r="Q8" s="49">
        <v>1.381</v>
      </c>
      <c r="R8" s="49">
        <v>0.42499999999999999</v>
      </c>
      <c r="S8" s="48">
        <v>0.14899999999999999</v>
      </c>
      <c r="T8" s="48">
        <v>80.97</v>
      </c>
      <c r="U8" s="48">
        <v>60.444000000000003</v>
      </c>
      <c r="V8" s="48">
        <v>211.66</v>
      </c>
      <c r="W8" s="48">
        <v>225</v>
      </c>
      <c r="X8" s="48">
        <v>162.5</v>
      </c>
      <c r="Y8" s="48">
        <v>205</v>
      </c>
      <c r="Z8" s="48">
        <v>369.5</v>
      </c>
      <c r="AA8" s="48">
        <v>380.52</v>
      </c>
      <c r="AB8" s="48">
        <v>271.81</v>
      </c>
      <c r="AC8" s="48">
        <v>339.08</v>
      </c>
      <c r="AD8" s="48">
        <v>1.8089999999999999</v>
      </c>
      <c r="AE8" s="48">
        <v>1.88</v>
      </c>
      <c r="AF8" s="48">
        <v>1.7869999999999999</v>
      </c>
      <c r="AG8" s="48">
        <v>1.857</v>
      </c>
      <c r="AH8" s="48">
        <v>73.91</v>
      </c>
      <c r="AI8" s="48">
        <v>65.89</v>
      </c>
      <c r="AJ8" s="48">
        <v>94.85</v>
      </c>
      <c r="AK8" s="48">
        <v>93.18</v>
      </c>
      <c r="AL8" s="48">
        <v>639.90800000000002</v>
      </c>
      <c r="AM8" s="48">
        <v>632.745</v>
      </c>
      <c r="AN8" s="48">
        <v>797.41200000000003</v>
      </c>
      <c r="AO8" s="49">
        <v>814.60299999999995</v>
      </c>
      <c r="AP8" s="48">
        <v>1.4610000000000001</v>
      </c>
      <c r="AQ8" s="48">
        <v>1.921</v>
      </c>
      <c r="AR8" s="48">
        <v>42.378999999999998</v>
      </c>
      <c r="AS8" s="49">
        <v>40.557000000000002</v>
      </c>
      <c r="AT8" s="49">
        <v>82</v>
      </c>
      <c r="AU8" s="48">
        <v>104</v>
      </c>
      <c r="AV8" s="48">
        <v>1.8674999999999999</v>
      </c>
      <c r="AW8" s="48">
        <v>4.9352999999999998</v>
      </c>
      <c r="AX8" s="48">
        <v>1012.7</v>
      </c>
      <c r="AY8" s="48">
        <v>2.4</v>
      </c>
      <c r="AZ8" s="48">
        <v>5.65</v>
      </c>
      <c r="BA8" s="48">
        <v>112.407</v>
      </c>
      <c r="BB8" s="48">
        <v>104.039</v>
      </c>
      <c r="BC8" s="48">
        <v>7713</v>
      </c>
      <c r="BD8" s="49">
        <v>89.5</v>
      </c>
      <c r="BE8" s="48">
        <v>14.09</v>
      </c>
      <c r="BF8" s="48">
        <v>12.53</v>
      </c>
      <c r="BG8" s="48">
        <v>27.91</v>
      </c>
      <c r="BH8" s="48">
        <v>27.74</v>
      </c>
      <c r="BI8" s="3"/>
      <c r="BJ8" s="3"/>
      <c r="BK8" s="3"/>
      <c r="BL8" s="3"/>
      <c r="BM8" s="3"/>
      <c r="BN8" s="48">
        <v>94.567999999999998</v>
      </c>
      <c r="BO8" s="48">
        <v>94.231999999999999</v>
      </c>
      <c r="BP8" s="48">
        <v>112.04</v>
      </c>
      <c r="BQ8" s="48">
        <v>115.416</v>
      </c>
      <c r="BR8" s="3"/>
      <c r="BS8" s="48">
        <v>24.1</v>
      </c>
      <c r="BT8" s="49">
        <v>7449.0240000000003</v>
      </c>
      <c r="BU8" s="48">
        <v>49.124000000000002</v>
      </c>
      <c r="BV8" s="48">
        <v>52.594999999999999</v>
      </c>
      <c r="BW8" s="48">
        <v>53.401000000000003</v>
      </c>
      <c r="BX8" s="48">
        <v>54.216000000000001</v>
      </c>
      <c r="BY8" s="48">
        <v>1.395</v>
      </c>
      <c r="BZ8" s="48">
        <v>2.9729999999999999</v>
      </c>
      <c r="CA8" s="49">
        <v>3.593</v>
      </c>
      <c r="CB8" s="48">
        <v>3.403</v>
      </c>
      <c r="CC8" s="48">
        <v>1.1970000000000001</v>
      </c>
      <c r="CD8" s="49">
        <v>2.5259999999999998</v>
      </c>
      <c r="CE8" s="48">
        <v>1.44</v>
      </c>
      <c r="CF8" s="48">
        <v>2.2309999999999999</v>
      </c>
      <c r="CG8" s="48">
        <v>13.768000000000001</v>
      </c>
      <c r="CH8" s="48">
        <v>13.651999999999999</v>
      </c>
      <c r="CI8" s="49">
        <v>5.4950000000000001</v>
      </c>
      <c r="CJ8" s="48">
        <v>3.5779999999999998</v>
      </c>
      <c r="CK8" s="48">
        <v>1.5860000000000001</v>
      </c>
      <c r="CL8" s="48">
        <v>0</v>
      </c>
      <c r="CM8" s="48">
        <v>0.2</v>
      </c>
      <c r="CN8" s="49">
        <v>0</v>
      </c>
      <c r="CO8" s="49">
        <v>0</v>
      </c>
      <c r="CP8" s="48">
        <v>86.096000000000004</v>
      </c>
      <c r="CQ8" s="48">
        <v>86.427000000000007</v>
      </c>
      <c r="CR8" s="48">
        <v>102.047</v>
      </c>
      <c r="CS8" s="48">
        <v>106.348</v>
      </c>
      <c r="CT8" s="48">
        <v>0.34899999999999998</v>
      </c>
      <c r="CU8" s="48">
        <v>0.70199999999999996</v>
      </c>
      <c r="CV8" s="48">
        <v>0.9</v>
      </c>
      <c r="CW8" s="49">
        <v>1.298</v>
      </c>
      <c r="CX8" s="48">
        <v>1.2030000000000001</v>
      </c>
      <c r="CY8" s="48">
        <v>0.6</v>
      </c>
      <c r="CZ8" s="48">
        <v>0.9</v>
      </c>
      <c r="DA8" s="49">
        <v>0.90100000000000002</v>
      </c>
      <c r="DB8" s="48">
        <v>1.7050000000000001</v>
      </c>
      <c r="DC8" s="49">
        <v>0</v>
      </c>
      <c r="DD8" s="49">
        <v>0</v>
      </c>
      <c r="DE8" s="49">
        <v>0.20599999999999999</v>
      </c>
      <c r="DF8" s="48">
        <v>4.4999999999999998E-2</v>
      </c>
      <c r="DG8" s="49">
        <v>0.56699999999999995</v>
      </c>
      <c r="DH8" s="49">
        <v>2.0739999999999998</v>
      </c>
      <c r="DI8" s="49">
        <v>1.0389999999999999</v>
      </c>
      <c r="DJ8" s="48">
        <v>7.3999999999999996E-2</v>
      </c>
      <c r="DK8" s="49">
        <v>0.82199999999999995</v>
      </c>
      <c r="DL8" s="49">
        <v>0.42</v>
      </c>
      <c r="DM8" s="48">
        <v>0.57999999999999996</v>
      </c>
      <c r="DN8" s="49">
        <v>0.82899999999999996</v>
      </c>
      <c r="DO8" s="49">
        <v>1.175</v>
      </c>
      <c r="DP8" s="48">
        <v>64.548000000000002</v>
      </c>
      <c r="DQ8" s="48">
        <v>61.433</v>
      </c>
      <c r="DR8" s="48">
        <v>54.655000000000001</v>
      </c>
      <c r="DS8" s="48">
        <v>53.037999999999997</v>
      </c>
      <c r="DT8" s="48">
        <v>5.47</v>
      </c>
      <c r="DU8" s="48">
        <v>5.26</v>
      </c>
      <c r="DV8" s="48">
        <v>10.53</v>
      </c>
      <c r="DW8" s="48">
        <v>7.65</v>
      </c>
      <c r="DX8" s="48">
        <v>5.69</v>
      </c>
      <c r="DY8" s="48">
        <v>5.42</v>
      </c>
      <c r="DZ8" s="48">
        <v>9.6999999999999993</v>
      </c>
      <c r="EA8" s="48">
        <v>7.15</v>
      </c>
      <c r="EB8" s="49">
        <v>43.29</v>
      </c>
      <c r="EC8" s="49">
        <v>42.49</v>
      </c>
      <c r="ED8" s="49">
        <v>35.56</v>
      </c>
      <c r="EE8" s="49">
        <v>38.51</v>
      </c>
      <c r="EF8" s="48">
        <v>45.55</v>
      </c>
      <c r="EG8" s="48">
        <v>46.83</v>
      </c>
      <c r="EH8" s="48">
        <v>44.21</v>
      </c>
      <c r="EI8" s="48">
        <v>46.7</v>
      </c>
      <c r="EJ8" s="48">
        <v>5.29</v>
      </c>
      <c r="EK8" s="48">
        <v>62.201999999999998</v>
      </c>
      <c r="EL8" s="48">
        <v>2.2000000000000002</v>
      </c>
      <c r="EM8" s="48">
        <v>1.8</v>
      </c>
      <c r="EN8" s="48">
        <v>1.21</v>
      </c>
      <c r="EO8" s="48">
        <v>1.21</v>
      </c>
      <c r="EP8" s="48">
        <v>-103.30200000000001</v>
      </c>
      <c r="EQ8" s="48">
        <v>-3.0009999999999999</v>
      </c>
      <c r="ER8" s="48">
        <v>78.614000000000004</v>
      </c>
      <c r="ES8" s="49">
        <v>1.5169999999999999</v>
      </c>
      <c r="ET8" s="48">
        <v>1.6</v>
      </c>
      <c r="EU8" s="49">
        <v>1.454</v>
      </c>
      <c r="EV8" s="48">
        <v>7.8280000000000003</v>
      </c>
      <c r="EW8" s="48">
        <v>2.9710000000000001</v>
      </c>
      <c r="EX8" s="48">
        <v>70.42</v>
      </c>
      <c r="EY8" s="48">
        <v>8.1000000000000003E-2</v>
      </c>
      <c r="EZ8" s="48">
        <v>25.306000000000001</v>
      </c>
      <c r="FA8" s="49">
        <v>0</v>
      </c>
      <c r="FB8" s="48">
        <v>8.9429999999999996</v>
      </c>
      <c r="FC8" s="48">
        <v>65.203000000000003</v>
      </c>
      <c r="FD8" s="48">
        <v>60.716000000000001</v>
      </c>
      <c r="FE8" s="48">
        <v>72.183999999999997</v>
      </c>
      <c r="FF8" s="48">
        <v>71.347999999999999</v>
      </c>
      <c r="FG8" s="48">
        <v>0.91600000000000004</v>
      </c>
      <c r="FH8" s="48">
        <v>0.91700000000000004</v>
      </c>
      <c r="FI8" s="48">
        <v>0.998</v>
      </c>
      <c r="FJ8" s="48">
        <v>1</v>
      </c>
      <c r="FK8" s="48">
        <v>0</v>
      </c>
      <c r="FL8" s="48">
        <v>82</v>
      </c>
      <c r="FM8" s="48">
        <v>3.71</v>
      </c>
      <c r="FN8" s="48">
        <v>-0.78</v>
      </c>
      <c r="FO8" s="48">
        <v>5.49</v>
      </c>
      <c r="FP8" s="3"/>
      <c r="FQ8" s="48">
        <v>4.7</v>
      </c>
      <c r="FR8" s="48">
        <v>5</v>
      </c>
      <c r="FS8" s="48">
        <v>6.694</v>
      </c>
      <c r="FT8" s="48">
        <v>1073.9000000000001</v>
      </c>
      <c r="FU8" s="48">
        <v>4.88</v>
      </c>
      <c r="FV8" s="48">
        <v>11.54</v>
      </c>
      <c r="FW8" s="48">
        <v>3299</v>
      </c>
      <c r="FX8" s="49">
        <v>165400</v>
      </c>
      <c r="FY8" s="48">
        <v>165500</v>
      </c>
      <c r="FZ8" s="48">
        <v>47.786999999999999</v>
      </c>
      <c r="GA8" s="48">
        <v>47.89</v>
      </c>
      <c r="GB8" s="49">
        <v>2211.1</v>
      </c>
      <c r="GC8" s="48">
        <v>2152.5</v>
      </c>
      <c r="GD8" s="49">
        <v>2345.5</v>
      </c>
      <c r="GE8" s="48">
        <v>2234.8000000000002</v>
      </c>
      <c r="GF8" s="48">
        <v>1401.75</v>
      </c>
      <c r="GG8" s="48">
        <v>26</v>
      </c>
      <c r="GH8" s="48">
        <v>26.3</v>
      </c>
      <c r="GI8" s="48">
        <v>48.7</v>
      </c>
      <c r="GJ8" s="48">
        <v>53.5</v>
      </c>
      <c r="GK8" s="48">
        <v>99.5</v>
      </c>
      <c r="GL8" s="49">
        <v>110.8</v>
      </c>
      <c r="GM8" s="49">
        <v>0</v>
      </c>
      <c r="GN8" s="48">
        <v>26.097999999999999</v>
      </c>
      <c r="GO8" s="48">
        <v>103.30200000000001</v>
      </c>
      <c r="GP8" s="48">
        <v>0.94399999999999995</v>
      </c>
      <c r="GQ8" s="48">
        <v>1.8879999999999999</v>
      </c>
      <c r="GR8" s="48">
        <v>1.2390000000000001</v>
      </c>
      <c r="GS8" s="48">
        <v>2.0059999999999998</v>
      </c>
      <c r="GT8" s="48">
        <v>0.70799999999999996</v>
      </c>
      <c r="GU8" s="48">
        <v>1.829</v>
      </c>
      <c r="GV8" s="48">
        <v>12.74</v>
      </c>
      <c r="GW8" s="49">
        <v>13.887</v>
      </c>
      <c r="GX8" s="48">
        <v>15.778</v>
      </c>
      <c r="GY8" s="49">
        <v>0</v>
      </c>
      <c r="GZ8" s="49">
        <v>0</v>
      </c>
      <c r="HA8" s="49">
        <v>0</v>
      </c>
      <c r="HB8" s="48">
        <v>0</v>
      </c>
      <c r="HC8" s="48">
        <v>35.014000000000003</v>
      </c>
      <c r="HD8" s="48">
        <v>78</v>
      </c>
      <c r="HE8" s="49">
        <v>0</v>
      </c>
      <c r="HF8" s="49">
        <v>0</v>
      </c>
      <c r="HG8" s="49">
        <v>86.91</v>
      </c>
      <c r="HH8" s="49">
        <v>79.790000000000006</v>
      </c>
      <c r="HI8" s="49">
        <v>0</v>
      </c>
      <c r="HJ8" s="49">
        <v>0</v>
      </c>
      <c r="HK8" s="49">
        <v>0</v>
      </c>
      <c r="HL8" s="48">
        <v>51</v>
      </c>
      <c r="HM8" s="48">
        <v>49</v>
      </c>
      <c r="HN8" s="48">
        <v>56</v>
      </c>
      <c r="HO8" s="48">
        <v>49</v>
      </c>
      <c r="HP8" s="48">
        <v>53</v>
      </c>
      <c r="HQ8" s="48">
        <v>51</v>
      </c>
      <c r="HR8" s="48">
        <v>44</v>
      </c>
      <c r="HS8" s="49">
        <v>70</v>
      </c>
      <c r="HT8" s="48">
        <v>-1.3720000000000001</v>
      </c>
      <c r="HU8" s="49">
        <v>0</v>
      </c>
      <c r="HV8" s="48">
        <v>-1.2E-2</v>
      </c>
      <c r="HW8" s="49">
        <v>39.58</v>
      </c>
      <c r="HX8" s="48">
        <v>49.87</v>
      </c>
      <c r="HY8" s="48">
        <v>51.98</v>
      </c>
      <c r="HZ8" s="48">
        <v>51.98</v>
      </c>
      <c r="IA8" s="48">
        <v>2.4660000000000002</v>
      </c>
      <c r="IB8" s="49">
        <v>103</v>
      </c>
      <c r="IC8" s="48">
        <v>21.74</v>
      </c>
      <c r="ID8" s="48">
        <v>-0.44600000000000001</v>
      </c>
      <c r="IE8" s="48">
        <v>-0.26300000000000001</v>
      </c>
      <c r="IF8" s="48">
        <v>805.5</v>
      </c>
      <c r="IG8" s="48">
        <v>755.8</v>
      </c>
      <c r="IH8" s="48">
        <v>817.3</v>
      </c>
      <c r="II8" s="48">
        <v>767.3</v>
      </c>
      <c r="IJ8" s="48">
        <v>-2.3E-2</v>
      </c>
      <c r="IK8" s="48">
        <v>-1E-3</v>
      </c>
      <c r="IL8" s="48">
        <v>78.742999999999995</v>
      </c>
      <c r="IM8" s="48">
        <v>78.742999999999995</v>
      </c>
      <c r="IN8" s="48">
        <v>11.456</v>
      </c>
      <c r="IO8" s="48">
        <v>0.183</v>
      </c>
      <c r="IP8" s="48">
        <v>8.77</v>
      </c>
      <c r="IQ8" s="48">
        <v>1.0999999999999999E-2</v>
      </c>
      <c r="IR8" s="48">
        <v>0.01</v>
      </c>
    </row>
    <row r="9" spans="2:252" x14ac:dyDescent="0.25">
      <c r="B9" s="2" t="s">
        <v>409</v>
      </c>
      <c r="C9" s="2" t="s">
        <v>43</v>
      </c>
      <c r="D9" s="57">
        <v>2.5363425925925926E-3</v>
      </c>
      <c r="E9" s="48">
        <v>219.18</v>
      </c>
      <c r="F9" s="48">
        <v>327.05</v>
      </c>
      <c r="G9" s="48">
        <v>5.7</v>
      </c>
      <c r="H9" s="48">
        <v>25.1</v>
      </c>
      <c r="I9" s="49">
        <v>0</v>
      </c>
      <c r="J9" s="48">
        <v>22.3</v>
      </c>
      <c r="K9" s="49">
        <v>6</v>
      </c>
      <c r="L9" s="49">
        <v>6</v>
      </c>
      <c r="M9" s="49">
        <v>7</v>
      </c>
      <c r="N9" s="49">
        <v>3</v>
      </c>
      <c r="O9" s="49">
        <v>3</v>
      </c>
      <c r="P9" s="48">
        <v>0.46200000000000002</v>
      </c>
      <c r="Q9" s="48">
        <v>1.137</v>
      </c>
      <c r="R9" s="48">
        <v>0.33600000000000002</v>
      </c>
      <c r="S9" s="48">
        <v>0.121</v>
      </c>
      <c r="T9" s="48">
        <v>73.19</v>
      </c>
      <c r="U9" s="49">
        <v>60.557000000000002</v>
      </c>
      <c r="V9" s="48">
        <v>213.34</v>
      </c>
      <c r="W9" s="48">
        <v>231.66</v>
      </c>
      <c r="X9" s="48">
        <v>150</v>
      </c>
      <c r="Y9" s="48">
        <v>190</v>
      </c>
      <c r="Z9" s="48">
        <v>354.84</v>
      </c>
      <c r="AA9" s="48">
        <v>370.31</v>
      </c>
      <c r="AB9" s="48">
        <v>249.33</v>
      </c>
      <c r="AC9" s="48">
        <v>316.01</v>
      </c>
      <c r="AD9" s="48">
        <v>1.825</v>
      </c>
      <c r="AE9" s="48">
        <v>1.8919999999999999</v>
      </c>
      <c r="AF9" s="48">
        <v>1.83</v>
      </c>
      <c r="AG9" s="48">
        <v>1.8939999999999999</v>
      </c>
      <c r="AH9" s="48">
        <v>76.77</v>
      </c>
      <c r="AI9" s="48">
        <v>67.53</v>
      </c>
      <c r="AJ9" s="48">
        <v>100.71</v>
      </c>
      <c r="AK9" s="48">
        <v>98.61</v>
      </c>
      <c r="AL9" s="48">
        <v>649.54600000000005</v>
      </c>
      <c r="AM9" s="48">
        <v>653.94100000000003</v>
      </c>
      <c r="AN9" s="49">
        <v>863.35900000000004</v>
      </c>
      <c r="AO9" s="48">
        <v>785.06899999999996</v>
      </c>
      <c r="AP9" s="48">
        <v>1.427</v>
      </c>
      <c r="AQ9" s="48">
        <v>1.9139999999999999</v>
      </c>
      <c r="AR9" s="48">
        <v>40.857999999999997</v>
      </c>
      <c r="AS9" s="48">
        <v>38.558999999999997</v>
      </c>
      <c r="AT9" s="49">
        <v>82</v>
      </c>
      <c r="AU9" s="48">
        <v>110</v>
      </c>
      <c r="AV9" s="48">
        <v>1.7769999999999999</v>
      </c>
      <c r="AW9" s="48">
        <v>4.9229000000000003</v>
      </c>
      <c r="AX9" s="48">
        <v>1013.9</v>
      </c>
      <c r="AY9" s="48">
        <v>2.36</v>
      </c>
      <c r="AZ9" s="48">
        <v>5.64</v>
      </c>
      <c r="BA9" s="48">
        <v>120.566</v>
      </c>
      <c r="BB9" s="48">
        <v>119.041</v>
      </c>
      <c r="BC9" s="49">
        <v>7799</v>
      </c>
      <c r="BD9" s="48">
        <v>89</v>
      </c>
      <c r="BE9" s="48">
        <v>14.67</v>
      </c>
      <c r="BF9" s="49">
        <v>13.645</v>
      </c>
      <c r="BG9" s="49">
        <v>30.05</v>
      </c>
      <c r="BH9" s="48">
        <v>28.08</v>
      </c>
      <c r="BI9" s="3"/>
      <c r="BJ9" s="3"/>
      <c r="BK9" s="3"/>
      <c r="BL9" s="3"/>
      <c r="BM9" s="3"/>
      <c r="BN9" s="48">
        <v>95.927999999999997</v>
      </c>
      <c r="BO9" s="48">
        <v>97.016000000000005</v>
      </c>
      <c r="BP9" s="48">
        <v>111.91200000000001</v>
      </c>
      <c r="BQ9" s="48">
        <v>117.91200000000001</v>
      </c>
      <c r="BR9" s="3"/>
      <c r="BS9" s="48">
        <v>24.8</v>
      </c>
      <c r="BT9" s="48">
        <v>7333.6940000000004</v>
      </c>
      <c r="BU9" s="48">
        <v>49.484999999999999</v>
      </c>
      <c r="BV9" s="48">
        <v>51.475999999999999</v>
      </c>
      <c r="BW9" s="48">
        <v>53.738999999999997</v>
      </c>
      <c r="BX9" s="48">
        <v>53.735999999999997</v>
      </c>
      <c r="BY9" s="48">
        <v>1.468</v>
      </c>
      <c r="BZ9" s="48">
        <v>3.19</v>
      </c>
      <c r="CA9" s="48">
        <v>3.2949999999999999</v>
      </c>
      <c r="CB9" s="48">
        <v>3.133</v>
      </c>
      <c r="CC9" s="48">
        <v>1.0009999999999999</v>
      </c>
      <c r="CD9" s="48">
        <v>2.2890000000000001</v>
      </c>
      <c r="CE9" s="48">
        <v>1.4470000000000001</v>
      </c>
      <c r="CF9" s="48">
        <v>2.2080000000000002</v>
      </c>
      <c r="CG9" s="48">
        <v>13.759</v>
      </c>
      <c r="CH9" s="48">
        <v>13.624000000000001</v>
      </c>
      <c r="CI9" s="48">
        <v>4.6879999999999997</v>
      </c>
      <c r="CJ9" s="49">
        <v>3.6749999999999998</v>
      </c>
      <c r="CK9" s="49">
        <v>1.6779999999999999</v>
      </c>
      <c r="CL9" s="49">
        <v>0.5</v>
      </c>
      <c r="CM9" s="48">
        <v>0.4</v>
      </c>
      <c r="CN9" s="49">
        <v>0</v>
      </c>
      <c r="CO9" s="49">
        <v>0</v>
      </c>
      <c r="CP9" s="48">
        <v>91.620999999999995</v>
      </c>
      <c r="CQ9" s="48">
        <v>92.914000000000001</v>
      </c>
      <c r="CR9" s="48">
        <v>105.651</v>
      </c>
      <c r="CS9" s="48">
        <v>112.014</v>
      </c>
      <c r="CT9" s="48">
        <v>0.39600000000000002</v>
      </c>
      <c r="CU9" s="49">
        <v>1.7010000000000001</v>
      </c>
      <c r="CV9" s="49">
        <v>1.4970000000000001</v>
      </c>
      <c r="CW9" s="48">
        <v>0.999</v>
      </c>
      <c r="CX9" s="48">
        <v>1.095</v>
      </c>
      <c r="CY9" s="48">
        <v>0.503</v>
      </c>
      <c r="CZ9" s="48">
        <v>0.89800000000000002</v>
      </c>
      <c r="DA9" s="48">
        <v>0.4</v>
      </c>
      <c r="DB9" s="49">
        <v>2.496</v>
      </c>
      <c r="DC9" s="49">
        <v>0</v>
      </c>
      <c r="DD9" s="49">
        <v>0</v>
      </c>
      <c r="DE9" s="48">
        <v>0.13200000000000001</v>
      </c>
      <c r="DF9" s="48">
        <v>3.2000000000000001E-2</v>
      </c>
      <c r="DG9" s="48">
        <v>0.33600000000000002</v>
      </c>
      <c r="DH9" s="48">
        <v>1.409</v>
      </c>
      <c r="DI9" s="48">
        <v>0.69799999999999995</v>
      </c>
      <c r="DJ9" s="48">
        <v>5.0999999999999997E-2</v>
      </c>
      <c r="DK9" s="48">
        <v>0.64500000000000002</v>
      </c>
      <c r="DL9" s="48">
        <v>0.41199999999999998</v>
      </c>
      <c r="DM9" s="49">
        <v>0.70199999999999996</v>
      </c>
      <c r="DN9" s="48">
        <v>0.41899999999999998</v>
      </c>
      <c r="DO9" s="48">
        <v>0.35299999999999998</v>
      </c>
      <c r="DP9" s="48">
        <v>66.626000000000005</v>
      </c>
      <c r="DQ9" s="48">
        <v>61.338000000000001</v>
      </c>
      <c r="DR9" s="49">
        <v>54.741</v>
      </c>
      <c r="DS9" s="48">
        <v>52.817</v>
      </c>
      <c r="DT9" s="49">
        <v>6.36</v>
      </c>
      <c r="DU9" s="49">
        <v>6.23</v>
      </c>
      <c r="DV9" s="49">
        <v>11.2</v>
      </c>
      <c r="DW9" s="48">
        <v>8.51</v>
      </c>
      <c r="DX9" s="49">
        <v>6.84</v>
      </c>
      <c r="DY9" s="49">
        <v>6.48</v>
      </c>
      <c r="DZ9" s="49">
        <v>10.64</v>
      </c>
      <c r="EA9" s="48">
        <v>8.0500000000000007</v>
      </c>
      <c r="EB9" s="48">
        <v>42.29</v>
      </c>
      <c r="EC9" s="48">
        <v>41.42</v>
      </c>
      <c r="ED9" s="48">
        <v>35.25</v>
      </c>
      <c r="EE9" s="48">
        <v>38.17</v>
      </c>
      <c r="EF9" s="48">
        <v>44.51</v>
      </c>
      <c r="EG9" s="48">
        <v>45.86</v>
      </c>
      <c r="EH9" s="48">
        <v>42.91</v>
      </c>
      <c r="EI9" s="48">
        <v>45.28</v>
      </c>
      <c r="EJ9" s="48">
        <v>5.8940000000000001</v>
      </c>
      <c r="EK9" s="48">
        <v>62.148000000000003</v>
      </c>
      <c r="EL9" s="48">
        <v>2.2000000000000002</v>
      </c>
      <c r="EM9" s="48">
        <v>1.75</v>
      </c>
      <c r="EN9" s="49">
        <v>1.25</v>
      </c>
      <c r="EO9" s="49">
        <v>1.26</v>
      </c>
      <c r="EP9" s="48">
        <v>-91.622</v>
      </c>
      <c r="EQ9" s="48">
        <v>-2.59</v>
      </c>
      <c r="ER9" s="49">
        <v>112.77800000000001</v>
      </c>
      <c r="ES9" s="48">
        <v>1.4830000000000001</v>
      </c>
      <c r="ET9" s="48">
        <v>1.611</v>
      </c>
      <c r="EU9" s="48">
        <v>1.4370000000000001</v>
      </c>
      <c r="EV9" s="48">
        <v>7.6870000000000003</v>
      </c>
      <c r="EW9" s="48">
        <v>2.85</v>
      </c>
      <c r="EX9" s="48">
        <v>69.44</v>
      </c>
      <c r="EY9" s="48">
        <v>0</v>
      </c>
      <c r="EZ9" s="48">
        <v>1.5289999999999999</v>
      </c>
      <c r="FA9" s="49">
        <v>0</v>
      </c>
      <c r="FB9" s="48">
        <v>9.0020000000000007</v>
      </c>
      <c r="FC9" s="48">
        <v>67.558000000000007</v>
      </c>
      <c r="FD9" s="48">
        <v>62.256999999999998</v>
      </c>
      <c r="FE9" s="48">
        <v>76.608000000000004</v>
      </c>
      <c r="FF9" s="48">
        <v>75.126000000000005</v>
      </c>
      <c r="FG9" s="48">
        <v>0.91800000000000004</v>
      </c>
      <c r="FH9" s="48">
        <v>0.91800000000000004</v>
      </c>
      <c r="FI9" s="48">
        <v>0.996</v>
      </c>
      <c r="FJ9" s="48">
        <v>0.998</v>
      </c>
      <c r="FK9" s="48">
        <v>0</v>
      </c>
      <c r="FL9" s="49">
        <v>83</v>
      </c>
      <c r="FM9" s="48">
        <v>3.79</v>
      </c>
      <c r="FN9" s="48">
        <v>-0.56000000000000005</v>
      </c>
      <c r="FO9" s="48">
        <v>5.46</v>
      </c>
      <c r="FP9" s="48">
        <v>4.1500000000000004</v>
      </c>
      <c r="FQ9" s="49">
        <v>4.4000000000000004</v>
      </c>
      <c r="FR9" s="48">
        <v>5</v>
      </c>
      <c r="FS9" s="48">
        <v>6.7184999999999997</v>
      </c>
      <c r="FT9" s="48">
        <v>1068.4000000000001</v>
      </c>
      <c r="FU9" s="48">
        <v>5.51</v>
      </c>
      <c r="FV9" s="48">
        <v>17.25</v>
      </c>
      <c r="FW9" s="48">
        <v>3205</v>
      </c>
      <c r="FX9" s="48">
        <v>164400</v>
      </c>
      <c r="FY9" s="49">
        <v>166200</v>
      </c>
      <c r="FZ9" s="48">
        <v>47.911000000000001</v>
      </c>
      <c r="GA9" s="48">
        <v>47.88</v>
      </c>
      <c r="GB9" s="48">
        <v>2151.1999999999998</v>
      </c>
      <c r="GC9" s="49">
        <v>2241.9</v>
      </c>
      <c r="GD9" s="48">
        <v>2232.8000000000002</v>
      </c>
      <c r="GE9" s="48">
        <v>2241.9</v>
      </c>
      <c r="GF9" s="48">
        <v>1413.7655999999999</v>
      </c>
      <c r="GG9" s="48">
        <v>27</v>
      </c>
      <c r="GH9" s="48">
        <v>26.9</v>
      </c>
      <c r="GI9" s="48">
        <v>44.9</v>
      </c>
      <c r="GJ9" s="48">
        <v>49.9</v>
      </c>
      <c r="GK9" s="48">
        <v>99.5</v>
      </c>
      <c r="GL9" s="49">
        <v>110.8</v>
      </c>
      <c r="GM9" s="49">
        <v>0</v>
      </c>
      <c r="GN9" s="49">
        <v>27.2</v>
      </c>
      <c r="GO9" s="49">
        <v>112.77800000000001</v>
      </c>
      <c r="GP9" s="48">
        <v>0.76700000000000002</v>
      </c>
      <c r="GQ9" s="48">
        <v>1.829</v>
      </c>
      <c r="GR9" s="48">
        <v>1.298</v>
      </c>
      <c r="GS9" s="48">
        <v>2.0059999999999998</v>
      </c>
      <c r="GT9" s="48">
        <v>0.70799999999999996</v>
      </c>
      <c r="GU9" s="48">
        <v>1.829</v>
      </c>
      <c r="GV9" s="48">
        <v>12.641999999999999</v>
      </c>
      <c r="GW9" s="48">
        <v>13.865</v>
      </c>
      <c r="GX9" s="48">
        <v>15.582000000000001</v>
      </c>
      <c r="GY9" s="49">
        <v>0</v>
      </c>
      <c r="GZ9" s="49">
        <v>0</v>
      </c>
      <c r="HA9" s="49">
        <v>0</v>
      </c>
      <c r="HB9" s="48">
        <v>0</v>
      </c>
      <c r="HC9" s="48">
        <v>35.799999999999997</v>
      </c>
      <c r="HD9" s="48">
        <v>78</v>
      </c>
      <c r="HE9" s="49">
        <v>0</v>
      </c>
      <c r="HF9" s="49">
        <v>0</v>
      </c>
      <c r="HG9" s="48">
        <v>73.75</v>
      </c>
      <c r="HH9" s="48">
        <v>79.19</v>
      </c>
      <c r="HI9" s="49">
        <v>0</v>
      </c>
      <c r="HJ9" s="49">
        <v>0</v>
      </c>
      <c r="HK9" s="49">
        <v>0</v>
      </c>
      <c r="HL9" s="48">
        <v>54</v>
      </c>
      <c r="HM9" s="48">
        <v>48</v>
      </c>
      <c r="HN9" s="48">
        <v>58</v>
      </c>
      <c r="HO9" s="48">
        <v>51</v>
      </c>
      <c r="HP9" s="48">
        <v>55</v>
      </c>
      <c r="HQ9" s="48">
        <v>53</v>
      </c>
      <c r="HR9" s="48">
        <v>46</v>
      </c>
      <c r="HS9" s="48">
        <v>62</v>
      </c>
      <c r="HT9" s="48">
        <v>-1.3779999999999999</v>
      </c>
      <c r="HU9" s="49">
        <v>0</v>
      </c>
      <c r="HV9" s="48">
        <v>0.51300000000000001</v>
      </c>
      <c r="HW9" s="49">
        <v>39.58</v>
      </c>
      <c r="HX9" s="49">
        <v>45.47</v>
      </c>
      <c r="HY9" s="48">
        <v>51.67</v>
      </c>
      <c r="HZ9" s="48">
        <v>51.67</v>
      </c>
      <c r="IA9" s="48">
        <v>2.5459999999999998</v>
      </c>
      <c r="IB9" s="49">
        <v>103</v>
      </c>
      <c r="IC9" s="48">
        <v>21.888999999999999</v>
      </c>
      <c r="ID9" s="48">
        <v>-0.373</v>
      </c>
      <c r="IE9" s="48">
        <v>-0.222</v>
      </c>
      <c r="IF9" s="48">
        <v>803.6</v>
      </c>
      <c r="IG9" s="48">
        <v>751.4</v>
      </c>
      <c r="IH9" s="48">
        <v>813.2</v>
      </c>
      <c r="II9" s="48">
        <v>763.6</v>
      </c>
      <c r="IJ9" s="49">
        <v>1.4E-2</v>
      </c>
      <c r="IK9" s="48">
        <v>0.02</v>
      </c>
      <c r="IL9" s="48">
        <v>85.325999999999993</v>
      </c>
      <c r="IM9" s="48">
        <v>85.325999999999993</v>
      </c>
      <c r="IN9" s="48">
        <v>12.321999999999999</v>
      </c>
      <c r="IO9" s="48">
        <v>0.16600000000000001</v>
      </c>
      <c r="IP9" s="48">
        <v>9</v>
      </c>
      <c r="IQ9" s="48">
        <v>8.9999999999999993E-3</v>
      </c>
      <c r="IR9" s="48">
        <v>6.0000000000000001E-3</v>
      </c>
    </row>
    <row r="10" spans="2:252" x14ac:dyDescent="0.25">
      <c r="B10" s="2" t="s">
        <v>409</v>
      </c>
      <c r="C10" s="58" t="s">
        <v>44</v>
      </c>
      <c r="D10" s="59">
        <v>2.4795138888888892E-3</v>
      </c>
      <c r="E10" s="48">
        <v>214.27</v>
      </c>
      <c r="F10" s="48">
        <v>329.49</v>
      </c>
      <c r="G10" s="49">
        <v>5.98</v>
      </c>
      <c r="H10" s="49">
        <v>25.4</v>
      </c>
      <c r="I10" s="49">
        <v>0</v>
      </c>
      <c r="J10" s="48">
        <v>15.4</v>
      </c>
      <c r="K10" s="49">
        <v>6</v>
      </c>
      <c r="L10" s="49">
        <v>6</v>
      </c>
      <c r="M10" s="49">
        <v>7</v>
      </c>
      <c r="N10" s="49">
        <v>3</v>
      </c>
      <c r="O10" s="49">
        <v>3</v>
      </c>
      <c r="P10" s="48">
        <v>0.38500000000000001</v>
      </c>
      <c r="Q10" s="48">
        <v>0.92</v>
      </c>
      <c r="R10" s="48">
        <v>0.10299999999999999</v>
      </c>
      <c r="S10" s="49">
        <v>0.20300000000000001</v>
      </c>
      <c r="T10" s="49">
        <v>90.5</v>
      </c>
      <c r="U10" s="48">
        <v>60.509</v>
      </c>
      <c r="V10" s="48">
        <v>225</v>
      </c>
      <c r="W10" s="48">
        <v>241.66</v>
      </c>
      <c r="X10" s="48">
        <v>165</v>
      </c>
      <c r="Y10" s="48">
        <v>210</v>
      </c>
      <c r="Z10" s="49">
        <v>372.54</v>
      </c>
      <c r="AA10" s="49">
        <v>382.47</v>
      </c>
      <c r="AB10" s="48">
        <v>271.33999999999997</v>
      </c>
      <c r="AC10" s="48">
        <v>342.45</v>
      </c>
      <c r="AD10" s="48">
        <v>1.829</v>
      </c>
      <c r="AE10" s="48">
        <v>1.8979999999999999</v>
      </c>
      <c r="AF10" s="48">
        <v>1.8560000000000001</v>
      </c>
      <c r="AG10" s="48">
        <v>1.917</v>
      </c>
      <c r="AH10" s="48">
        <v>77.77</v>
      </c>
      <c r="AI10" s="48">
        <v>68.58</v>
      </c>
      <c r="AJ10" s="48">
        <v>103.64</v>
      </c>
      <c r="AK10" s="48">
        <v>101.15</v>
      </c>
      <c r="AL10" s="49">
        <v>655.24699999999996</v>
      </c>
      <c r="AM10" s="48">
        <v>653.55600000000004</v>
      </c>
      <c r="AN10" s="48">
        <v>840.10699999999997</v>
      </c>
      <c r="AO10" s="48">
        <v>784.52599999999995</v>
      </c>
      <c r="AP10" s="48">
        <v>1.425</v>
      </c>
      <c r="AQ10" s="48">
        <v>1.88</v>
      </c>
      <c r="AR10" s="48">
        <v>40.710999999999999</v>
      </c>
      <c r="AS10" s="48">
        <v>37.984000000000002</v>
      </c>
      <c r="AT10" s="49">
        <v>82</v>
      </c>
      <c r="AU10" s="48">
        <v>116</v>
      </c>
      <c r="AV10" s="48">
        <v>1.69</v>
      </c>
      <c r="AW10" s="48">
        <v>5.0046999999999997</v>
      </c>
      <c r="AX10" s="48">
        <v>1015.5</v>
      </c>
      <c r="AY10" s="48">
        <v>2.41</v>
      </c>
      <c r="AZ10" s="48">
        <v>5.73</v>
      </c>
      <c r="BA10" s="48">
        <v>139.70599999999999</v>
      </c>
      <c r="BB10" s="48">
        <v>137.63900000000001</v>
      </c>
      <c r="BC10" s="48">
        <v>7683</v>
      </c>
      <c r="BD10" s="48">
        <v>89</v>
      </c>
      <c r="BE10" s="48">
        <v>14.645</v>
      </c>
      <c r="BF10" s="48">
        <v>13.23</v>
      </c>
      <c r="BG10" s="48">
        <v>28.82</v>
      </c>
      <c r="BH10" s="48">
        <v>27.97</v>
      </c>
      <c r="BI10" s="3"/>
      <c r="BJ10" s="3"/>
      <c r="BK10" s="3"/>
      <c r="BL10" s="3"/>
      <c r="BM10" s="3"/>
      <c r="BN10" s="48">
        <v>94.712000000000003</v>
      </c>
      <c r="BO10" s="48">
        <v>95.304000000000002</v>
      </c>
      <c r="BP10" s="48">
        <v>114.872</v>
      </c>
      <c r="BQ10" s="48">
        <v>119.512</v>
      </c>
      <c r="BR10" s="3"/>
      <c r="BS10" s="49">
        <v>25.1</v>
      </c>
      <c r="BT10" s="48">
        <v>7350.2290000000003</v>
      </c>
      <c r="BU10" s="49">
        <v>49.564999999999998</v>
      </c>
      <c r="BV10" s="49">
        <v>52.991999999999997</v>
      </c>
      <c r="BW10" s="48">
        <v>52.125</v>
      </c>
      <c r="BX10" s="48">
        <v>54.161999999999999</v>
      </c>
      <c r="BY10" s="48">
        <v>1.2529999999999999</v>
      </c>
      <c r="BZ10" s="49">
        <v>3.31</v>
      </c>
      <c r="CA10" s="48">
        <v>3.4159999999999999</v>
      </c>
      <c r="CB10" s="48">
        <v>3.3170000000000002</v>
      </c>
      <c r="CC10" s="48">
        <v>1.2070000000000001</v>
      </c>
      <c r="CD10" s="48">
        <v>2.3839999999999999</v>
      </c>
      <c r="CE10" s="48">
        <v>1.33</v>
      </c>
      <c r="CF10" s="48">
        <v>2.1</v>
      </c>
      <c r="CG10" s="48">
        <v>13.747</v>
      </c>
      <c r="CH10" s="48">
        <v>13.587999999999999</v>
      </c>
      <c r="CI10" s="48">
        <v>3.944</v>
      </c>
      <c r="CJ10" s="48">
        <v>3.4580000000000002</v>
      </c>
      <c r="CK10" s="48">
        <v>1.47</v>
      </c>
      <c r="CL10" s="48">
        <v>0.1</v>
      </c>
      <c r="CM10" s="48">
        <v>1</v>
      </c>
      <c r="CN10" s="49">
        <v>0</v>
      </c>
      <c r="CO10" s="49">
        <v>0</v>
      </c>
      <c r="CP10" s="48">
        <v>91.215999999999994</v>
      </c>
      <c r="CQ10" s="48">
        <v>92.259</v>
      </c>
      <c r="CR10" s="48">
        <v>106.741</v>
      </c>
      <c r="CS10" s="48">
        <v>113.67700000000001</v>
      </c>
      <c r="CT10" s="48">
        <v>0.32200000000000001</v>
      </c>
      <c r="CU10" s="48">
        <v>0.80200000000000005</v>
      </c>
      <c r="CV10" s="48">
        <v>1.3959999999999999</v>
      </c>
      <c r="CW10" s="48">
        <v>1.103</v>
      </c>
      <c r="CX10" s="49">
        <v>1.296</v>
      </c>
      <c r="CY10" s="48">
        <v>0.30199999999999999</v>
      </c>
      <c r="CZ10" s="48">
        <v>0.79700000000000004</v>
      </c>
      <c r="DA10" s="48">
        <v>0.4</v>
      </c>
      <c r="DB10" s="48">
        <v>1.5</v>
      </c>
      <c r="DC10" s="49">
        <v>0</v>
      </c>
      <c r="DD10" s="49">
        <v>0</v>
      </c>
      <c r="DE10" s="48">
        <v>0.125</v>
      </c>
      <c r="DF10" s="48">
        <v>4.3999999999999997E-2</v>
      </c>
      <c r="DG10" s="48">
        <v>0.496</v>
      </c>
      <c r="DH10" s="48">
        <v>1.0129999999999999</v>
      </c>
      <c r="DI10" s="48">
        <v>0.67100000000000004</v>
      </c>
      <c r="DJ10" s="48">
        <v>2E-3</v>
      </c>
      <c r="DK10" s="48">
        <v>0.77800000000000002</v>
      </c>
      <c r="DL10" s="48">
        <v>0.41799999999999998</v>
      </c>
      <c r="DM10" s="48">
        <v>0.435</v>
      </c>
      <c r="DN10" s="48">
        <v>0.28299999999999997</v>
      </c>
      <c r="DO10" s="48">
        <v>0.27100000000000002</v>
      </c>
      <c r="DP10" s="48">
        <v>65.945999999999998</v>
      </c>
      <c r="DQ10" s="48">
        <v>59.715000000000003</v>
      </c>
      <c r="DR10" s="48">
        <v>54.274000000000001</v>
      </c>
      <c r="DS10" s="48">
        <v>52.204000000000001</v>
      </c>
      <c r="DT10" s="48">
        <v>5.99</v>
      </c>
      <c r="DU10" s="48">
        <v>6.1</v>
      </c>
      <c r="DV10" s="48">
        <v>10.95</v>
      </c>
      <c r="DW10" s="49">
        <v>8.5299999999999994</v>
      </c>
      <c r="DX10" s="48">
        <v>6.18</v>
      </c>
      <c r="DY10" s="48">
        <v>6.12</v>
      </c>
      <c r="DZ10" s="48">
        <v>10.31</v>
      </c>
      <c r="EA10" s="49">
        <v>8.1300000000000008</v>
      </c>
      <c r="EB10" s="48">
        <v>42.49</v>
      </c>
      <c r="EC10" s="48">
        <v>41.65</v>
      </c>
      <c r="ED10" s="48">
        <v>35.44</v>
      </c>
      <c r="EE10" s="48">
        <v>37.96</v>
      </c>
      <c r="EF10" s="48">
        <v>45.33</v>
      </c>
      <c r="EG10" s="48">
        <v>46.12</v>
      </c>
      <c r="EH10" s="48">
        <v>43.3</v>
      </c>
      <c r="EI10" s="48">
        <v>45.38</v>
      </c>
      <c r="EJ10" s="48">
        <v>6.681</v>
      </c>
      <c r="EK10" s="49">
        <v>62.828000000000003</v>
      </c>
      <c r="EL10" s="48">
        <v>2.2000000000000002</v>
      </c>
      <c r="EM10" s="48">
        <v>1.85</v>
      </c>
      <c r="EN10" s="48">
        <v>1.19</v>
      </c>
      <c r="EO10" s="48">
        <v>1.19</v>
      </c>
      <c r="EP10" s="49">
        <v>-105.346</v>
      </c>
      <c r="EQ10" s="48">
        <v>-2.9470000000000001</v>
      </c>
      <c r="ER10" s="48">
        <v>97.885999999999996</v>
      </c>
      <c r="ES10" s="48">
        <v>1.4450000000000001</v>
      </c>
      <c r="ET10" s="49">
        <v>1.6140000000000001</v>
      </c>
      <c r="EU10" s="48">
        <v>1.4159999999999999</v>
      </c>
      <c r="EV10" s="48">
        <v>7.875</v>
      </c>
      <c r="EW10" s="48">
        <v>2.9420000000000002</v>
      </c>
      <c r="EX10" s="49">
        <v>73.58</v>
      </c>
      <c r="EY10" s="48">
        <v>0</v>
      </c>
      <c r="EZ10" s="49">
        <v>187.66499999999999</v>
      </c>
      <c r="FA10" s="49">
        <v>0</v>
      </c>
      <c r="FB10" s="48">
        <v>9.0129999999999999</v>
      </c>
      <c r="FC10" s="48">
        <v>67.899000000000001</v>
      </c>
      <c r="FD10" s="48">
        <v>62.656999999999996</v>
      </c>
      <c r="FE10" s="48">
        <v>78.369</v>
      </c>
      <c r="FF10" s="48">
        <v>76.707999999999998</v>
      </c>
      <c r="FG10" s="48">
        <v>0.91400000000000003</v>
      </c>
      <c r="FH10" s="48">
        <v>0.91400000000000003</v>
      </c>
      <c r="FI10" s="48">
        <v>0.996</v>
      </c>
      <c r="FJ10" s="48">
        <v>0.998</v>
      </c>
      <c r="FK10" s="48">
        <v>0</v>
      </c>
      <c r="FL10" s="49">
        <v>83</v>
      </c>
      <c r="FM10" s="48">
        <v>3.76</v>
      </c>
      <c r="FN10" s="48">
        <v>-0.25</v>
      </c>
      <c r="FO10" s="48">
        <v>5.52</v>
      </c>
      <c r="FP10" s="3"/>
      <c r="FQ10" s="48">
        <v>4.6500000000000004</v>
      </c>
      <c r="FR10" s="49">
        <v>4.95</v>
      </c>
      <c r="FS10" s="49">
        <v>6.7220000000000004</v>
      </c>
      <c r="FT10" s="49">
        <v>1075.3</v>
      </c>
      <c r="FU10" s="48">
        <v>6.19</v>
      </c>
      <c r="FV10" s="48">
        <v>23.23</v>
      </c>
      <c r="FW10" s="48">
        <v>3189.5</v>
      </c>
      <c r="FX10" s="48">
        <v>160800</v>
      </c>
      <c r="FY10" s="48">
        <v>163100</v>
      </c>
      <c r="FZ10" s="48">
        <v>47.406999999999996</v>
      </c>
      <c r="GA10" s="48">
        <v>47.581000000000003</v>
      </c>
      <c r="GB10" s="48">
        <v>2150</v>
      </c>
      <c r="GC10" s="48">
        <v>2151.8000000000002</v>
      </c>
      <c r="GD10" s="48">
        <v>2163.6</v>
      </c>
      <c r="GE10" s="49">
        <v>2275.5</v>
      </c>
      <c r="GF10" s="48">
        <v>1363.4219000000001</v>
      </c>
      <c r="GG10" s="48">
        <v>27</v>
      </c>
      <c r="GH10" s="48">
        <v>27.4</v>
      </c>
      <c r="GI10" s="48">
        <v>44.8</v>
      </c>
      <c r="GJ10" s="48">
        <v>50</v>
      </c>
      <c r="GK10" s="48">
        <v>99.5</v>
      </c>
      <c r="GL10" s="48">
        <v>110.2</v>
      </c>
      <c r="GM10" s="49">
        <v>0</v>
      </c>
      <c r="GN10" s="48">
        <v>25.06</v>
      </c>
      <c r="GO10" s="48">
        <v>105.346</v>
      </c>
      <c r="GP10" s="48">
        <v>0.53100000000000003</v>
      </c>
      <c r="GQ10" s="48">
        <v>1.829</v>
      </c>
      <c r="GR10" s="48">
        <v>1.121</v>
      </c>
      <c r="GS10" s="48">
        <v>1.9470000000000001</v>
      </c>
      <c r="GT10" s="48">
        <v>0.70799999999999996</v>
      </c>
      <c r="GU10" s="48">
        <v>1.829</v>
      </c>
      <c r="GV10" s="48">
        <v>12.544</v>
      </c>
      <c r="GW10" s="48">
        <v>13.823</v>
      </c>
      <c r="GX10" s="48">
        <v>14.896000000000001</v>
      </c>
      <c r="GY10" s="49">
        <v>0</v>
      </c>
      <c r="GZ10" s="49">
        <v>0</v>
      </c>
      <c r="HA10" s="49">
        <v>0</v>
      </c>
      <c r="HB10" s="48">
        <v>0</v>
      </c>
      <c r="HC10" s="49">
        <v>36.133000000000003</v>
      </c>
      <c r="HD10" s="49">
        <v>82</v>
      </c>
      <c r="HE10" s="49">
        <v>0</v>
      </c>
      <c r="HF10" s="49">
        <v>0</v>
      </c>
      <c r="HG10" s="48">
        <v>86.73</v>
      </c>
      <c r="HH10" s="48">
        <v>79.430000000000007</v>
      </c>
      <c r="HI10" s="49">
        <v>0</v>
      </c>
      <c r="HJ10" s="49">
        <v>0</v>
      </c>
      <c r="HK10" s="49">
        <v>0</v>
      </c>
      <c r="HL10" s="48">
        <v>55</v>
      </c>
      <c r="HM10" s="48">
        <v>48</v>
      </c>
      <c r="HN10" s="48">
        <v>59</v>
      </c>
      <c r="HO10" s="48">
        <v>53</v>
      </c>
      <c r="HP10" s="48">
        <v>57</v>
      </c>
      <c r="HQ10" s="48">
        <v>55</v>
      </c>
      <c r="HR10" s="48">
        <v>47</v>
      </c>
      <c r="HS10" s="49">
        <v>70</v>
      </c>
      <c r="HT10" s="48">
        <v>-1.3859999999999999</v>
      </c>
      <c r="HU10" s="49">
        <v>0</v>
      </c>
      <c r="HV10" s="48">
        <v>0.63300000000000001</v>
      </c>
      <c r="HW10" s="48">
        <v>43.79</v>
      </c>
      <c r="HX10" s="49">
        <v>45.47</v>
      </c>
      <c r="HY10" s="49">
        <v>52.25</v>
      </c>
      <c r="HZ10" s="49">
        <v>52.25</v>
      </c>
      <c r="IA10" s="49">
        <v>2.7370000000000001</v>
      </c>
      <c r="IB10" s="49">
        <v>103</v>
      </c>
      <c r="IC10" s="48">
        <v>22.193999999999999</v>
      </c>
      <c r="ID10" s="48">
        <v>-0.46200000000000002</v>
      </c>
      <c r="IE10" s="48">
        <v>-0.26800000000000002</v>
      </c>
      <c r="IF10" s="48">
        <v>808</v>
      </c>
      <c r="IG10" s="49">
        <v>758.8</v>
      </c>
      <c r="IH10" s="48">
        <v>816</v>
      </c>
      <c r="II10" s="49">
        <v>770.4</v>
      </c>
      <c r="IJ10" s="48">
        <v>-1.9E-2</v>
      </c>
      <c r="IK10" s="48">
        <v>1E-3</v>
      </c>
      <c r="IL10" s="48">
        <v>73.025999999999996</v>
      </c>
      <c r="IM10" s="48">
        <v>73.025999999999996</v>
      </c>
      <c r="IN10" s="48">
        <v>11.718999999999999</v>
      </c>
      <c r="IO10" s="48">
        <v>0.25700000000000001</v>
      </c>
      <c r="IP10" s="48">
        <v>9.1300000000000008</v>
      </c>
      <c r="IQ10" s="48">
        <v>7.0000000000000001E-3</v>
      </c>
      <c r="IR10" s="48">
        <v>5.0000000000000001E-3</v>
      </c>
    </row>
    <row r="11" spans="2:252" x14ac:dyDescent="0.25">
      <c r="B11" s="2" t="s">
        <v>409</v>
      </c>
      <c r="C11" s="2" t="s">
        <v>45</v>
      </c>
      <c r="D11" s="57">
        <v>2.8502314814814814E-3</v>
      </c>
      <c r="E11" s="48">
        <v>246.261</v>
      </c>
      <c r="F11" s="48">
        <v>328.78</v>
      </c>
      <c r="G11" s="48">
        <v>-23.23</v>
      </c>
      <c r="H11" s="49">
        <v>25.4</v>
      </c>
      <c r="I11" s="49">
        <v>0</v>
      </c>
      <c r="J11" s="48">
        <v>18.7</v>
      </c>
      <c r="K11" s="49">
        <v>6</v>
      </c>
      <c r="L11" s="49">
        <v>6</v>
      </c>
      <c r="M11" s="49">
        <v>7</v>
      </c>
      <c r="N11" s="49">
        <v>3</v>
      </c>
      <c r="O11" s="49">
        <v>3</v>
      </c>
      <c r="P11" s="48">
        <v>0.437</v>
      </c>
      <c r="Q11" s="48">
        <v>1.1739999999999999</v>
      </c>
      <c r="R11" s="48">
        <v>0.36</v>
      </c>
      <c r="S11" s="48">
        <v>0.11</v>
      </c>
      <c r="T11" s="48">
        <v>84.18</v>
      </c>
      <c r="U11" s="48">
        <v>60.496000000000002</v>
      </c>
      <c r="V11" s="48">
        <v>228.34</v>
      </c>
      <c r="W11" s="48">
        <v>255</v>
      </c>
      <c r="X11" s="48">
        <v>175</v>
      </c>
      <c r="Y11" s="48">
        <v>220</v>
      </c>
      <c r="Z11" s="48">
        <v>366.75</v>
      </c>
      <c r="AA11" s="48">
        <v>380.79</v>
      </c>
      <c r="AB11" s="49">
        <v>274.54000000000002</v>
      </c>
      <c r="AC11" s="49">
        <v>344.46</v>
      </c>
      <c r="AD11" s="49">
        <v>1.841</v>
      </c>
      <c r="AE11" s="49">
        <v>1.909</v>
      </c>
      <c r="AF11" s="49">
        <v>1.8839999999999999</v>
      </c>
      <c r="AG11" s="49">
        <v>1.9430000000000001</v>
      </c>
      <c r="AH11" s="49">
        <v>79</v>
      </c>
      <c r="AI11" s="49">
        <v>70</v>
      </c>
      <c r="AJ11" s="49">
        <v>105.92</v>
      </c>
      <c r="AK11" s="49">
        <v>103.35</v>
      </c>
      <c r="AL11" s="48">
        <v>645.16499999999996</v>
      </c>
      <c r="AM11" s="49">
        <v>666.73299999999995</v>
      </c>
      <c r="AN11" s="48">
        <v>814.11199999999997</v>
      </c>
      <c r="AO11" s="48">
        <v>801.46299999999997</v>
      </c>
      <c r="AP11" s="48">
        <v>1.417</v>
      </c>
      <c r="AQ11" s="48">
        <v>1.8859999999999999</v>
      </c>
      <c r="AR11" s="49">
        <v>42.817999999999998</v>
      </c>
      <c r="AS11" s="48">
        <v>40.524000000000001</v>
      </c>
      <c r="AT11" s="49">
        <v>82</v>
      </c>
      <c r="AU11" s="49">
        <v>118</v>
      </c>
      <c r="AV11" s="49">
        <v>1.6445000000000001</v>
      </c>
      <c r="AW11" s="48">
        <v>4.7873000000000001</v>
      </c>
      <c r="AX11" s="48">
        <v>1016.2</v>
      </c>
      <c r="AY11" s="48">
        <v>2.4</v>
      </c>
      <c r="AZ11" s="48">
        <v>5.64</v>
      </c>
      <c r="BA11" s="49">
        <v>69.2</v>
      </c>
      <c r="BB11" s="49">
        <v>69.307000000000002</v>
      </c>
      <c r="BC11" s="48">
        <v>7686</v>
      </c>
      <c r="BD11" s="48">
        <v>89.25</v>
      </c>
      <c r="BE11" s="49">
        <v>15.045</v>
      </c>
      <c r="BF11" s="48">
        <v>13.345000000000001</v>
      </c>
      <c r="BG11" s="48">
        <v>29.18</v>
      </c>
      <c r="BH11" s="49">
        <v>29.86</v>
      </c>
      <c r="BI11" s="49">
        <v>66.22</v>
      </c>
      <c r="BJ11" s="49">
        <v>81.793000000000006</v>
      </c>
      <c r="BK11" s="49">
        <v>64.572999999999993</v>
      </c>
      <c r="BL11" s="48">
        <v>78.567999999999998</v>
      </c>
      <c r="BM11" s="49">
        <v>80.039000000000001</v>
      </c>
      <c r="BN11" s="49">
        <v>109.496</v>
      </c>
      <c r="BO11" s="49">
        <v>108.63200000000001</v>
      </c>
      <c r="BP11" s="49">
        <v>127.4</v>
      </c>
      <c r="BQ11" s="49">
        <v>131.72</v>
      </c>
      <c r="BR11" s="49">
        <v>60.253999999999998</v>
      </c>
      <c r="BS11" s="49">
        <v>25.1</v>
      </c>
      <c r="BT11" s="48">
        <v>7328.9489999999996</v>
      </c>
      <c r="BU11" s="48">
        <v>48.627000000000002</v>
      </c>
      <c r="BV11" s="48">
        <v>51.779000000000003</v>
      </c>
      <c r="BW11" s="48">
        <v>51.682000000000002</v>
      </c>
      <c r="BX11" s="49">
        <v>54.83</v>
      </c>
      <c r="BY11" s="49">
        <v>1.762</v>
      </c>
      <c r="BZ11" s="48">
        <v>3.2360000000000002</v>
      </c>
      <c r="CA11" s="48">
        <v>3.0529999999999999</v>
      </c>
      <c r="CB11" s="49">
        <v>3.456</v>
      </c>
      <c r="CC11" s="48">
        <v>1.0109999999999999</v>
      </c>
      <c r="CD11" s="48">
        <v>2.3959999999999999</v>
      </c>
      <c r="CE11" s="48">
        <v>1.341</v>
      </c>
      <c r="CF11" s="48">
        <v>2.056</v>
      </c>
      <c r="CG11" s="49">
        <v>13.769</v>
      </c>
      <c r="CH11" s="48">
        <v>13.388</v>
      </c>
      <c r="CI11" s="3"/>
      <c r="CJ11" s="3"/>
      <c r="CK11" s="3"/>
      <c r="CL11" s="48">
        <v>0</v>
      </c>
      <c r="CM11" s="49">
        <v>3.2</v>
      </c>
      <c r="CN11" s="49">
        <v>0</v>
      </c>
      <c r="CO11" s="49">
        <v>0</v>
      </c>
      <c r="CP11" s="49">
        <v>93.465000000000003</v>
      </c>
      <c r="CQ11" s="49">
        <v>93.841999999999999</v>
      </c>
      <c r="CR11" s="49">
        <v>114.06100000000001</v>
      </c>
      <c r="CS11" s="49">
        <v>120.34</v>
      </c>
      <c r="CT11" s="49">
        <v>0.61099999999999999</v>
      </c>
      <c r="CU11" s="48">
        <v>0.89700000000000002</v>
      </c>
      <c r="CV11" s="48">
        <v>0.9</v>
      </c>
      <c r="CW11" s="48">
        <v>0.9</v>
      </c>
      <c r="CX11" s="48">
        <v>0.8</v>
      </c>
      <c r="CY11" s="49">
        <v>0.70099999999999996</v>
      </c>
      <c r="CZ11" s="49">
        <v>1.198</v>
      </c>
      <c r="DA11" s="48">
        <v>0.89800000000000002</v>
      </c>
      <c r="DB11" s="48">
        <v>1.3979999999999999</v>
      </c>
      <c r="DC11" s="49">
        <v>0</v>
      </c>
      <c r="DD11" s="49">
        <v>0</v>
      </c>
      <c r="DE11" s="48">
        <v>0.14299999999999999</v>
      </c>
      <c r="DF11" s="49">
        <v>5.0999999999999997E-2</v>
      </c>
      <c r="DG11" s="48">
        <v>0.28199999999999997</v>
      </c>
      <c r="DH11" s="48">
        <v>1.494</v>
      </c>
      <c r="DI11" s="48">
        <v>0.67400000000000004</v>
      </c>
      <c r="DJ11" s="48">
        <v>5.8000000000000003E-2</v>
      </c>
      <c r="DK11" s="48">
        <v>0.65200000000000002</v>
      </c>
      <c r="DL11" s="48">
        <v>0.41399999999999998</v>
      </c>
      <c r="DM11" s="48">
        <v>0.35899999999999999</v>
      </c>
      <c r="DN11" s="48">
        <v>0.375</v>
      </c>
      <c r="DO11" s="48">
        <v>0.19400000000000001</v>
      </c>
      <c r="DP11" s="49">
        <v>67.825999999999993</v>
      </c>
      <c r="DQ11" s="49">
        <v>62.767000000000003</v>
      </c>
      <c r="DR11" s="48">
        <v>53.828000000000003</v>
      </c>
      <c r="DS11" s="49">
        <v>53.088999999999999</v>
      </c>
      <c r="DT11" s="48">
        <v>5.61</v>
      </c>
      <c r="DU11" s="48">
        <v>5.99</v>
      </c>
      <c r="DV11" s="48">
        <v>10.35</v>
      </c>
      <c r="DW11" s="48">
        <v>8.14</v>
      </c>
      <c r="DX11" s="48">
        <v>5.75</v>
      </c>
      <c r="DY11" s="48">
        <v>6.16</v>
      </c>
      <c r="DZ11" s="48">
        <v>9.83</v>
      </c>
      <c r="EA11" s="48">
        <v>7.93</v>
      </c>
      <c r="EB11" s="48">
        <v>42.73</v>
      </c>
      <c r="EC11" s="48">
        <v>40.840000000000003</v>
      </c>
      <c r="ED11" s="48">
        <v>34.56</v>
      </c>
      <c r="EE11" s="48">
        <v>36.49</v>
      </c>
      <c r="EF11" s="48">
        <v>45.91</v>
      </c>
      <c r="EG11" s="48">
        <v>47.02</v>
      </c>
      <c r="EH11" s="48">
        <v>45.26</v>
      </c>
      <c r="EI11" s="48">
        <v>47.44</v>
      </c>
      <c r="EJ11" s="49">
        <v>6.6959999999999997</v>
      </c>
      <c r="EK11" s="48">
        <v>62.624000000000002</v>
      </c>
      <c r="EL11" s="48">
        <v>2.2999999999999998</v>
      </c>
      <c r="EM11" s="48">
        <v>1.85</v>
      </c>
      <c r="EN11" s="48">
        <v>1.18</v>
      </c>
      <c r="EO11" s="48">
        <v>1.18</v>
      </c>
      <c r="EP11" s="48">
        <v>-93.665999999999997</v>
      </c>
      <c r="EQ11" s="48">
        <v>-2.63</v>
      </c>
      <c r="ER11" s="48">
        <v>82.701999999999998</v>
      </c>
      <c r="ES11" s="48">
        <v>1.425</v>
      </c>
      <c r="ET11" s="48">
        <v>1.579</v>
      </c>
      <c r="EU11" s="48">
        <v>1.405</v>
      </c>
      <c r="EV11" s="48">
        <v>7.7409999999999997</v>
      </c>
      <c r="EW11" s="48">
        <v>2.786</v>
      </c>
      <c r="EX11" s="48">
        <v>71.099999999999994</v>
      </c>
      <c r="EY11" s="48">
        <v>8.1000000000000003E-2</v>
      </c>
      <c r="EZ11" s="48">
        <v>0</v>
      </c>
      <c r="FA11" s="49">
        <v>0</v>
      </c>
      <c r="FB11" s="49">
        <v>9.0830000000000002</v>
      </c>
      <c r="FC11" s="49">
        <v>68.87</v>
      </c>
      <c r="FD11" s="49">
        <v>63.32</v>
      </c>
      <c r="FE11" s="49">
        <v>80.747</v>
      </c>
      <c r="FF11" s="49">
        <v>78.831000000000003</v>
      </c>
      <c r="FG11" s="48">
        <v>0.93100000000000005</v>
      </c>
      <c r="FH11" s="48">
        <v>0.92500000000000004</v>
      </c>
      <c r="FI11" s="48">
        <v>0.996</v>
      </c>
      <c r="FJ11" s="48">
        <v>0.998</v>
      </c>
      <c r="FK11" s="48">
        <v>0</v>
      </c>
      <c r="FL11" s="49">
        <v>83</v>
      </c>
      <c r="FM11" s="49">
        <v>3.82</v>
      </c>
      <c r="FN11" s="48">
        <v>0.84</v>
      </c>
      <c r="FO11" s="48">
        <v>5.45</v>
      </c>
      <c r="FP11" s="48">
        <v>3.85</v>
      </c>
      <c r="FQ11" s="48">
        <v>4.5</v>
      </c>
      <c r="FR11" s="48">
        <v>5.05</v>
      </c>
      <c r="FS11" s="48">
        <v>6.6505000000000001</v>
      </c>
      <c r="FT11" s="48">
        <v>1073.8</v>
      </c>
      <c r="FU11" s="49">
        <v>6.27</v>
      </c>
      <c r="FV11" s="49">
        <v>29.1</v>
      </c>
      <c r="FW11" s="48">
        <v>3141.5</v>
      </c>
      <c r="FX11" s="48">
        <v>162000</v>
      </c>
      <c r="FY11" s="48">
        <v>163100</v>
      </c>
      <c r="FZ11" s="48">
        <v>47.183</v>
      </c>
      <c r="GA11" s="48">
        <v>47.557000000000002</v>
      </c>
      <c r="GB11" s="48">
        <v>2145</v>
      </c>
      <c r="GC11" s="48">
        <v>2147.1999999999998</v>
      </c>
      <c r="GD11" s="48">
        <v>2198.5</v>
      </c>
      <c r="GE11" s="48">
        <v>2201.9</v>
      </c>
      <c r="GF11" s="48">
        <v>1293.1875</v>
      </c>
      <c r="GG11" s="48">
        <v>28</v>
      </c>
      <c r="GH11" s="48">
        <v>28.3</v>
      </c>
      <c r="GI11" s="48">
        <v>44.8</v>
      </c>
      <c r="GJ11" s="48">
        <v>50.2</v>
      </c>
      <c r="GK11" s="48">
        <v>99.5</v>
      </c>
      <c r="GL11" s="48">
        <v>108.8</v>
      </c>
      <c r="GM11" s="49">
        <v>0</v>
      </c>
      <c r="GN11" s="48">
        <v>26.277000000000001</v>
      </c>
      <c r="GO11" s="48">
        <v>93.665999999999997</v>
      </c>
      <c r="GP11" s="49">
        <v>0</v>
      </c>
      <c r="GQ11" s="49">
        <v>5.1920000000000002</v>
      </c>
      <c r="GR11" s="49">
        <v>0</v>
      </c>
      <c r="GS11" s="49">
        <v>5.2510000000000003</v>
      </c>
      <c r="GT11" s="49">
        <v>0</v>
      </c>
      <c r="GU11" s="49">
        <v>5.1920000000000002</v>
      </c>
      <c r="GV11" s="49">
        <v>0</v>
      </c>
      <c r="GW11" s="48">
        <v>13.483000000000001</v>
      </c>
      <c r="GX11" s="48">
        <v>15.092000000000001</v>
      </c>
      <c r="GY11" s="49">
        <v>0</v>
      </c>
      <c r="GZ11" s="49">
        <v>0</v>
      </c>
      <c r="HA11" s="49">
        <v>0</v>
      </c>
      <c r="HB11" s="48">
        <v>0</v>
      </c>
      <c r="HC11" s="48">
        <v>34.386000000000003</v>
      </c>
      <c r="HD11" s="49">
        <v>82</v>
      </c>
      <c r="HE11" s="49">
        <v>0</v>
      </c>
      <c r="HF11" s="49">
        <v>0</v>
      </c>
      <c r="HG11" s="48">
        <v>74.930000000000007</v>
      </c>
      <c r="HH11" s="48">
        <v>78.510000000000005</v>
      </c>
      <c r="HI11" s="49">
        <v>0</v>
      </c>
      <c r="HJ11" s="49">
        <v>0</v>
      </c>
      <c r="HK11" s="49">
        <v>0</v>
      </c>
      <c r="HL11" s="49">
        <v>56</v>
      </c>
      <c r="HM11" s="48">
        <v>49</v>
      </c>
      <c r="HN11" s="49">
        <v>61</v>
      </c>
      <c r="HO11" s="49">
        <v>54</v>
      </c>
      <c r="HP11" s="49">
        <v>58</v>
      </c>
      <c r="HQ11" s="49">
        <v>56</v>
      </c>
      <c r="HR11" s="49">
        <v>48</v>
      </c>
      <c r="HS11" s="48">
        <v>62</v>
      </c>
      <c r="HT11" s="49">
        <v>-1.407</v>
      </c>
      <c r="HU11" s="49">
        <v>0</v>
      </c>
      <c r="HV11" s="49">
        <v>0.74099999999999999</v>
      </c>
      <c r="HW11" s="48">
        <v>45.97</v>
      </c>
      <c r="HX11" s="48">
        <v>47.68</v>
      </c>
      <c r="HY11" s="3"/>
      <c r="HZ11" s="3"/>
      <c r="IA11" s="48">
        <v>2.6659999999999999</v>
      </c>
      <c r="IB11" s="49">
        <v>103</v>
      </c>
      <c r="IC11" s="49">
        <v>22.233000000000001</v>
      </c>
      <c r="ID11" s="48">
        <v>-0.36099999999999999</v>
      </c>
      <c r="IE11" s="48">
        <v>-0.20300000000000001</v>
      </c>
      <c r="IF11" s="49">
        <v>817.5</v>
      </c>
      <c r="IG11" s="48">
        <v>746</v>
      </c>
      <c r="IH11" s="49">
        <v>822.4</v>
      </c>
      <c r="II11" s="48">
        <v>759.9</v>
      </c>
      <c r="IJ11" s="48">
        <v>-0.03</v>
      </c>
      <c r="IK11" s="49">
        <v>2.1999999999999999E-2</v>
      </c>
      <c r="IL11" s="48">
        <v>84.573999999999998</v>
      </c>
      <c r="IM11" s="48">
        <v>84.573999999999998</v>
      </c>
      <c r="IN11" s="49">
        <v>14.093999999999999</v>
      </c>
      <c r="IO11" s="49">
        <v>0.25900000000000001</v>
      </c>
      <c r="IP11" s="48">
        <v>9.32</v>
      </c>
      <c r="IQ11" s="48">
        <v>0</v>
      </c>
      <c r="IR11" s="48">
        <v>0</v>
      </c>
    </row>
  </sheetData>
  <mergeCells count="5">
    <mergeCell ref="DF6:FE6"/>
    <mergeCell ref="FF6:HD6"/>
    <mergeCell ref="HE6:IR6"/>
    <mergeCell ref="B6:BD6"/>
    <mergeCell ref="BE6:D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6DD3C-C62D-4B12-8AAD-D4C0AAEA97C7}">
  <sheetPr codeName="Sheet3"/>
  <dimension ref="B1:IR11"/>
  <sheetViews>
    <sheetView tabSelected="1" zoomScale="80" zoomScaleNormal="80" workbookViewId="0">
      <selection activeCell="D11" sqref="D11"/>
    </sheetView>
  </sheetViews>
  <sheetFormatPr defaultRowHeight="15" x14ac:dyDescent="0.25"/>
  <sheetData>
    <row r="1" spans="2:252" x14ac:dyDescent="0.25">
      <c r="B1" t="s">
        <v>358</v>
      </c>
      <c r="C1" t="s">
        <v>411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414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x14ac:dyDescent="0.25">
      <c r="B7" s="2" t="s">
        <v>409</v>
      </c>
      <c r="C7" s="2" t="s">
        <v>41</v>
      </c>
      <c r="D7" s="57">
        <v>3.5311342592592595E-3</v>
      </c>
      <c r="E7" s="49">
        <v>305.09100000000001</v>
      </c>
      <c r="F7" s="48">
        <v>329.67</v>
      </c>
      <c r="G7" s="48">
        <v>5.74</v>
      </c>
      <c r="H7" s="48">
        <v>25.3</v>
      </c>
      <c r="I7" s="49">
        <v>0</v>
      </c>
      <c r="J7" s="49">
        <v>35.299999999999997</v>
      </c>
      <c r="K7" s="49">
        <v>6</v>
      </c>
      <c r="L7" s="49">
        <v>6</v>
      </c>
      <c r="M7" s="49">
        <v>7</v>
      </c>
      <c r="N7" s="49">
        <v>2</v>
      </c>
      <c r="O7" s="49">
        <v>3</v>
      </c>
      <c r="P7" s="48">
        <v>0.42599999999999999</v>
      </c>
      <c r="Q7" s="48">
        <v>0.80500000000000005</v>
      </c>
      <c r="R7" s="48">
        <v>0.433</v>
      </c>
      <c r="S7" s="48">
        <v>0.26800000000000002</v>
      </c>
      <c r="T7" s="48">
        <v>59.75</v>
      </c>
      <c r="U7" s="49">
        <v>61.497999999999998</v>
      </c>
      <c r="V7" s="49">
        <v>165</v>
      </c>
      <c r="W7" s="49">
        <v>192.5</v>
      </c>
      <c r="X7" s="49">
        <v>122.5</v>
      </c>
      <c r="Y7" s="49">
        <v>147.5</v>
      </c>
      <c r="Z7" s="48">
        <v>322.42</v>
      </c>
      <c r="AA7" s="48">
        <v>341.2</v>
      </c>
      <c r="AB7" s="48">
        <v>217.3</v>
      </c>
      <c r="AC7" s="48">
        <v>276.20999999999998</v>
      </c>
      <c r="AD7" s="48">
        <v>1.8089999999999999</v>
      </c>
      <c r="AE7" s="48">
        <v>1.827</v>
      </c>
      <c r="AF7" s="48">
        <v>1.782</v>
      </c>
      <c r="AG7" s="48">
        <v>1.8129999999999999</v>
      </c>
      <c r="AH7" s="48">
        <v>68.37</v>
      </c>
      <c r="AI7" s="48">
        <v>61.03</v>
      </c>
      <c r="AJ7" s="48">
        <v>89.34</v>
      </c>
      <c r="AK7" s="48">
        <v>81.400000000000006</v>
      </c>
      <c r="AL7" s="48">
        <v>623.78099999999995</v>
      </c>
      <c r="AM7" s="48">
        <v>639.47500000000002</v>
      </c>
      <c r="AN7" s="48">
        <v>807.61400000000003</v>
      </c>
      <c r="AO7" s="48">
        <v>792.39499999999998</v>
      </c>
      <c r="AP7" s="49">
        <v>1.4430000000000001</v>
      </c>
      <c r="AQ7" s="49">
        <v>1.9119999999999999</v>
      </c>
      <c r="AR7" s="48">
        <v>41.627000000000002</v>
      </c>
      <c r="AS7" s="48">
        <v>38.433999999999997</v>
      </c>
      <c r="AT7" s="49">
        <v>85</v>
      </c>
      <c r="AU7" s="48">
        <v>114</v>
      </c>
      <c r="AV7" s="48">
        <v>1.6975</v>
      </c>
      <c r="AW7" s="48">
        <v>4.5468000000000002</v>
      </c>
      <c r="AX7" s="49">
        <v>1020.4</v>
      </c>
      <c r="AY7" s="49">
        <v>2.93</v>
      </c>
      <c r="AZ7" s="48">
        <v>5.71</v>
      </c>
      <c r="BA7" s="49">
        <v>65.706000000000003</v>
      </c>
      <c r="BB7" s="49">
        <v>66.7</v>
      </c>
      <c r="BC7" s="48">
        <v>7779</v>
      </c>
      <c r="BD7" s="48">
        <v>87.5</v>
      </c>
      <c r="BE7" s="48">
        <v>15.65</v>
      </c>
      <c r="BF7" s="48">
        <v>12.87</v>
      </c>
      <c r="BG7" s="48">
        <v>28.95</v>
      </c>
      <c r="BH7" s="48">
        <v>27.89</v>
      </c>
      <c r="BI7" s="48">
        <v>64.840999999999994</v>
      </c>
      <c r="BJ7" s="48">
        <v>80.683999999999997</v>
      </c>
      <c r="BK7" s="48">
        <v>63.165999999999997</v>
      </c>
      <c r="BL7" s="48">
        <v>78.260000000000005</v>
      </c>
      <c r="BM7" s="48">
        <v>78.043000000000006</v>
      </c>
      <c r="BN7" s="49">
        <v>132.63200000000001</v>
      </c>
      <c r="BO7" s="49">
        <v>133.4</v>
      </c>
      <c r="BP7" s="48">
        <v>126.248</v>
      </c>
      <c r="BQ7" s="48">
        <v>131.89599999999999</v>
      </c>
      <c r="BR7" s="48">
        <v>58.121000000000002</v>
      </c>
      <c r="BS7" s="48">
        <v>25.1</v>
      </c>
      <c r="BT7" s="48">
        <v>7363.2020000000002</v>
      </c>
      <c r="BU7" s="49">
        <v>54.411000000000001</v>
      </c>
      <c r="BV7" s="49">
        <v>54.363999999999997</v>
      </c>
      <c r="BW7" s="49">
        <v>55.774000000000001</v>
      </c>
      <c r="BX7" s="48">
        <v>56.703000000000003</v>
      </c>
      <c r="BY7" s="48">
        <v>1.375</v>
      </c>
      <c r="BZ7" s="48">
        <v>2.33</v>
      </c>
      <c r="CA7" s="48">
        <v>3.2930000000000001</v>
      </c>
      <c r="CB7" s="48">
        <v>3.145</v>
      </c>
      <c r="CC7" s="48">
        <v>1.101</v>
      </c>
      <c r="CD7" s="48">
        <v>2.3159999999999998</v>
      </c>
      <c r="CE7" s="49">
        <v>1.3260000000000001</v>
      </c>
      <c r="CF7" s="49">
        <v>2.1829999999999998</v>
      </c>
      <c r="CG7" s="48">
        <v>13.616</v>
      </c>
      <c r="CH7" s="49">
        <v>10.093999999999999</v>
      </c>
      <c r="CI7" s="49">
        <v>4.8680000000000003</v>
      </c>
      <c r="CJ7" s="48">
        <v>3.3090000000000002</v>
      </c>
      <c r="CK7" s="48">
        <v>1.5580000000000001</v>
      </c>
      <c r="CL7" s="48">
        <v>0</v>
      </c>
      <c r="CM7" s="48">
        <v>1.5</v>
      </c>
      <c r="CN7" s="49">
        <v>0</v>
      </c>
      <c r="CO7" s="49">
        <v>0</v>
      </c>
      <c r="CP7" s="49">
        <v>105.851</v>
      </c>
      <c r="CQ7" s="49">
        <v>106.821</v>
      </c>
      <c r="CR7" s="48">
        <v>109.239</v>
      </c>
      <c r="CS7" s="48">
        <v>115.483</v>
      </c>
      <c r="CT7" s="48">
        <v>0.19700000000000001</v>
      </c>
      <c r="CU7" s="48">
        <v>0.996</v>
      </c>
      <c r="CV7" s="48">
        <v>2.0920000000000001</v>
      </c>
      <c r="CW7" s="48">
        <v>1.298</v>
      </c>
      <c r="CX7" s="48">
        <v>1.796</v>
      </c>
      <c r="CY7" s="48">
        <v>0.995</v>
      </c>
      <c r="CZ7" s="48">
        <v>1.4950000000000001</v>
      </c>
      <c r="DA7" s="48">
        <v>0.60099999999999998</v>
      </c>
      <c r="DB7" s="48">
        <v>1.8959999999999999</v>
      </c>
      <c r="DC7" s="49">
        <v>0</v>
      </c>
      <c r="DD7" s="49">
        <v>0</v>
      </c>
      <c r="DE7" s="48">
        <v>0.151</v>
      </c>
      <c r="DF7" s="48">
        <v>0.08</v>
      </c>
      <c r="DG7" s="48">
        <v>0.17299999999999999</v>
      </c>
      <c r="DH7" s="48">
        <v>1.53</v>
      </c>
      <c r="DI7" s="48">
        <v>0.74299999999999999</v>
      </c>
      <c r="DJ7" s="49">
        <v>0.155</v>
      </c>
      <c r="DK7" s="48">
        <v>0.69099999999999995</v>
      </c>
      <c r="DL7" s="49">
        <v>0.41499999999999998</v>
      </c>
      <c r="DM7" s="49">
        <v>0.504</v>
      </c>
      <c r="DN7" s="48">
        <v>0.51100000000000001</v>
      </c>
      <c r="DO7" s="49">
        <v>0.90500000000000003</v>
      </c>
      <c r="DP7" s="48">
        <v>65.323999999999998</v>
      </c>
      <c r="DQ7" s="48">
        <v>60.719000000000001</v>
      </c>
      <c r="DR7" s="48">
        <v>54.206000000000003</v>
      </c>
      <c r="DS7" s="48">
        <v>51.322000000000003</v>
      </c>
      <c r="DT7" s="48">
        <v>3.86</v>
      </c>
      <c r="DU7" s="48">
        <v>3.87</v>
      </c>
      <c r="DV7" s="48">
        <v>7.3</v>
      </c>
      <c r="DW7" s="48">
        <v>5.69</v>
      </c>
      <c r="DX7" s="48">
        <v>4.16</v>
      </c>
      <c r="DY7" s="48">
        <v>3.93</v>
      </c>
      <c r="DZ7" s="48">
        <v>6.72</v>
      </c>
      <c r="EA7" s="48">
        <v>5.31</v>
      </c>
      <c r="EB7" s="48">
        <v>34.590000000000003</v>
      </c>
      <c r="EC7" s="48">
        <v>34.9</v>
      </c>
      <c r="ED7" s="48">
        <v>29.43</v>
      </c>
      <c r="EE7" s="48">
        <v>30.64</v>
      </c>
      <c r="EF7" s="49">
        <v>57.38</v>
      </c>
      <c r="EG7" s="49">
        <v>57.3</v>
      </c>
      <c r="EH7" s="49">
        <v>56.55</v>
      </c>
      <c r="EI7" s="49">
        <v>58.36</v>
      </c>
      <c r="EJ7" s="48">
        <v>6.5659999999999998</v>
      </c>
      <c r="EK7" s="48">
        <v>62.186999999999998</v>
      </c>
      <c r="EL7" s="49">
        <v>2.65</v>
      </c>
      <c r="EM7" s="48">
        <v>1.85</v>
      </c>
      <c r="EN7" s="48">
        <v>1.17</v>
      </c>
      <c r="EO7" s="48">
        <v>1.18</v>
      </c>
      <c r="EP7" s="48">
        <v>-94.25</v>
      </c>
      <c r="EQ7" s="49">
        <v>-2.0049999999999999</v>
      </c>
      <c r="ER7" s="48">
        <v>108.398</v>
      </c>
      <c r="ES7" s="48">
        <v>1.1870000000000001</v>
      </c>
      <c r="ET7" s="48">
        <v>1.2330000000000001</v>
      </c>
      <c r="EU7" s="48">
        <v>1.149</v>
      </c>
      <c r="EV7" s="48">
        <v>7.8170000000000002</v>
      </c>
      <c r="EW7" s="48">
        <v>2.9079999999999999</v>
      </c>
      <c r="EX7" s="48">
        <v>-284.02</v>
      </c>
      <c r="EY7" s="48">
        <v>0</v>
      </c>
      <c r="EZ7" s="48">
        <v>0</v>
      </c>
      <c r="FA7" s="49">
        <v>0</v>
      </c>
      <c r="FB7" s="48">
        <v>7.82</v>
      </c>
      <c r="FC7" s="48">
        <v>67.478999999999999</v>
      </c>
      <c r="FD7" s="48">
        <v>62.256</v>
      </c>
      <c r="FE7" s="48">
        <v>76.004000000000005</v>
      </c>
      <c r="FF7" s="48">
        <v>74.438999999999993</v>
      </c>
      <c r="FG7" s="48">
        <v>0.96499999999999997</v>
      </c>
      <c r="FH7" s="48">
        <v>0.97</v>
      </c>
      <c r="FI7" s="49">
        <v>1</v>
      </c>
      <c r="FJ7" s="49">
        <v>1.002</v>
      </c>
      <c r="FK7" s="49">
        <v>0.20100000000000001</v>
      </c>
      <c r="FL7" s="49">
        <v>85</v>
      </c>
      <c r="FM7" s="48">
        <v>3.72</v>
      </c>
      <c r="FN7" s="48">
        <v>-0.09</v>
      </c>
      <c r="FO7" s="48">
        <v>5.49</v>
      </c>
      <c r="FP7" s="49">
        <v>0.35</v>
      </c>
      <c r="FQ7" s="49">
        <v>1.8</v>
      </c>
      <c r="FR7" s="48">
        <v>5.15</v>
      </c>
      <c r="FS7" s="48">
        <v>6.6455000000000002</v>
      </c>
      <c r="FT7" s="48">
        <v>1073.5999999999999</v>
      </c>
      <c r="FU7" s="48">
        <v>5.94</v>
      </c>
      <c r="FV7" s="48">
        <v>5.74</v>
      </c>
      <c r="FW7" s="48">
        <v>3210</v>
      </c>
      <c r="FX7" s="49">
        <v>166500</v>
      </c>
      <c r="FY7" s="49">
        <v>168300</v>
      </c>
      <c r="FZ7" s="49">
        <v>47.725000000000001</v>
      </c>
      <c r="GA7" s="49">
        <v>48.034999999999997</v>
      </c>
      <c r="GB7" s="49">
        <v>2185.1</v>
      </c>
      <c r="GC7" s="48">
        <v>2185.9</v>
      </c>
      <c r="GD7" s="48">
        <v>2185.1</v>
      </c>
      <c r="GE7" s="48">
        <v>2185.9</v>
      </c>
      <c r="GF7" s="48">
        <v>1259.875</v>
      </c>
      <c r="GG7" s="49">
        <v>29</v>
      </c>
      <c r="GH7" s="48">
        <v>29</v>
      </c>
      <c r="GI7" s="49">
        <v>49.8</v>
      </c>
      <c r="GJ7" s="49">
        <v>55.8</v>
      </c>
      <c r="GK7" s="49">
        <v>98</v>
      </c>
      <c r="GL7" s="49">
        <v>114</v>
      </c>
      <c r="GM7" s="49">
        <v>0</v>
      </c>
      <c r="GN7" s="48">
        <v>23.785</v>
      </c>
      <c r="GO7" s="48">
        <v>108.398</v>
      </c>
      <c r="GP7" s="49">
        <v>0</v>
      </c>
      <c r="GQ7" s="48">
        <v>3.4809999999999999</v>
      </c>
      <c r="GR7" s="49">
        <v>0</v>
      </c>
      <c r="GS7" s="48">
        <v>3.6579999999999999</v>
      </c>
      <c r="GT7" s="49">
        <v>0</v>
      </c>
      <c r="GU7" s="48">
        <v>4.4249999999999998</v>
      </c>
      <c r="GV7" s="49">
        <v>0</v>
      </c>
      <c r="GW7" s="48">
        <v>10.547000000000001</v>
      </c>
      <c r="GX7" s="48">
        <v>17.835999999999999</v>
      </c>
      <c r="GY7" s="49">
        <v>0</v>
      </c>
      <c r="GZ7" s="48">
        <v>0</v>
      </c>
      <c r="HA7" s="48">
        <v>0</v>
      </c>
      <c r="HB7" s="49">
        <v>1</v>
      </c>
      <c r="HC7" s="48">
        <v>32.238999999999997</v>
      </c>
      <c r="HD7" s="49">
        <v>90</v>
      </c>
      <c r="HE7" s="49">
        <v>0</v>
      </c>
      <c r="HF7" s="49">
        <v>0</v>
      </c>
      <c r="HG7" s="49">
        <v>87.44</v>
      </c>
      <c r="HH7" s="48">
        <v>80.7</v>
      </c>
      <c r="HI7" s="49">
        <v>0</v>
      </c>
      <c r="HJ7" s="49">
        <v>0</v>
      </c>
      <c r="HK7" s="49">
        <v>0</v>
      </c>
      <c r="HL7" s="49">
        <v>61</v>
      </c>
      <c r="HM7" s="49">
        <v>50</v>
      </c>
      <c r="HN7" s="48">
        <v>62</v>
      </c>
      <c r="HO7" s="48">
        <v>55</v>
      </c>
      <c r="HP7" s="48">
        <v>58</v>
      </c>
      <c r="HQ7" s="48">
        <v>56</v>
      </c>
      <c r="HR7" s="48">
        <v>50</v>
      </c>
      <c r="HS7" s="48">
        <v>62</v>
      </c>
      <c r="HT7" s="48">
        <v>-1.421</v>
      </c>
      <c r="HU7" s="49">
        <v>0</v>
      </c>
      <c r="HV7" s="48">
        <v>0.13100000000000001</v>
      </c>
      <c r="HW7" s="48">
        <v>42.33</v>
      </c>
      <c r="HX7" s="48">
        <v>49.07</v>
      </c>
      <c r="HY7" s="3"/>
      <c r="HZ7" s="3"/>
      <c r="IA7" s="48">
        <v>2.4620000000000002</v>
      </c>
      <c r="IB7" s="48">
        <v>100</v>
      </c>
      <c r="IC7" s="48">
        <v>18.878</v>
      </c>
      <c r="ID7" s="49">
        <v>-0.23100000000000001</v>
      </c>
      <c r="IE7" s="49">
        <v>-0.125</v>
      </c>
      <c r="IF7" s="48">
        <v>817.7</v>
      </c>
      <c r="IG7" s="48">
        <v>670.3</v>
      </c>
      <c r="IH7" s="48">
        <v>812.6</v>
      </c>
      <c r="II7" s="48">
        <v>686.9</v>
      </c>
      <c r="IJ7" s="49">
        <v>5.0000000000000001E-3</v>
      </c>
      <c r="IK7" s="48">
        <v>2.5000000000000001E-2</v>
      </c>
      <c r="IL7" s="49">
        <v>160.32400000000001</v>
      </c>
      <c r="IM7" s="49">
        <v>160.32400000000001</v>
      </c>
      <c r="IN7" s="49">
        <v>16.867000000000001</v>
      </c>
      <c r="IO7" s="48">
        <v>0.19700000000000001</v>
      </c>
      <c r="IP7" s="49">
        <v>9.6</v>
      </c>
      <c r="IQ7" s="48">
        <v>3.0000000000000001E-3</v>
      </c>
      <c r="IR7" s="48">
        <v>-1E-3</v>
      </c>
    </row>
    <row r="8" spans="2:252" x14ac:dyDescent="0.25">
      <c r="B8" s="2" t="s">
        <v>409</v>
      </c>
      <c r="C8" s="2" t="s">
        <v>42</v>
      </c>
      <c r="D8" s="57">
        <v>2.5193287037037037E-3</v>
      </c>
      <c r="E8" s="48">
        <v>217.67</v>
      </c>
      <c r="F8" s="48">
        <v>328</v>
      </c>
      <c r="G8" s="49">
        <v>5.96</v>
      </c>
      <c r="H8" s="48">
        <v>25.3</v>
      </c>
      <c r="I8" s="49">
        <v>0</v>
      </c>
      <c r="J8" s="48">
        <v>17.600000000000001</v>
      </c>
      <c r="K8" s="49">
        <v>6</v>
      </c>
      <c r="L8" s="49">
        <v>6</v>
      </c>
      <c r="M8" s="49">
        <v>7</v>
      </c>
      <c r="N8" s="49">
        <v>2</v>
      </c>
      <c r="O8" s="49">
        <v>3</v>
      </c>
      <c r="P8" s="49">
        <v>0.48499999999999999</v>
      </c>
      <c r="Q8" s="48">
        <v>1.0349999999999999</v>
      </c>
      <c r="R8" s="49">
        <v>0.52500000000000002</v>
      </c>
      <c r="S8" s="48">
        <v>0.16700000000000001</v>
      </c>
      <c r="T8" s="48">
        <v>63.63</v>
      </c>
      <c r="U8" s="48">
        <v>60.412999999999997</v>
      </c>
      <c r="V8" s="48">
        <v>228.34</v>
      </c>
      <c r="W8" s="48">
        <v>253.34</v>
      </c>
      <c r="X8" s="48">
        <v>152.5</v>
      </c>
      <c r="Y8" s="48">
        <v>200</v>
      </c>
      <c r="Z8" s="48">
        <v>378.25</v>
      </c>
      <c r="AA8" s="48">
        <v>405.65</v>
      </c>
      <c r="AB8" s="48">
        <v>273.27</v>
      </c>
      <c r="AC8" s="48">
        <v>344.6</v>
      </c>
      <c r="AD8" s="48">
        <v>1.8169999999999999</v>
      </c>
      <c r="AE8" s="48">
        <v>1.8260000000000001</v>
      </c>
      <c r="AF8" s="48">
        <v>1.8149999999999999</v>
      </c>
      <c r="AG8" s="48">
        <v>1.8420000000000001</v>
      </c>
      <c r="AH8" s="48">
        <v>75.290000000000006</v>
      </c>
      <c r="AI8" s="48">
        <v>66.900000000000006</v>
      </c>
      <c r="AJ8" s="48">
        <v>97.17</v>
      </c>
      <c r="AK8" s="48">
        <v>95.71</v>
      </c>
      <c r="AL8" s="48">
        <v>664.58299999999997</v>
      </c>
      <c r="AM8" s="48">
        <v>670.80499999999995</v>
      </c>
      <c r="AN8" s="48">
        <v>830.21900000000005</v>
      </c>
      <c r="AO8" s="48">
        <v>804.73599999999999</v>
      </c>
      <c r="AP8" s="48">
        <v>1.4239999999999999</v>
      </c>
      <c r="AQ8" s="48">
        <v>1.8939999999999999</v>
      </c>
      <c r="AR8" s="48">
        <v>41.542000000000002</v>
      </c>
      <c r="AS8" s="48">
        <v>38.468000000000004</v>
      </c>
      <c r="AT8" s="48">
        <v>82</v>
      </c>
      <c r="AU8" s="48">
        <v>117</v>
      </c>
      <c r="AV8" s="48">
        <v>1.6445000000000001</v>
      </c>
      <c r="AW8" s="48">
        <v>4.8011999999999997</v>
      </c>
      <c r="AX8" s="48">
        <v>1018.8</v>
      </c>
      <c r="AY8" s="48">
        <v>2.4300000000000002</v>
      </c>
      <c r="AZ8" s="49">
        <v>5.5</v>
      </c>
      <c r="BA8" s="48">
        <v>134.56100000000001</v>
      </c>
      <c r="BB8" s="48">
        <v>132.79400000000001</v>
      </c>
      <c r="BC8" s="48">
        <v>7746</v>
      </c>
      <c r="BD8" s="48">
        <v>88.75</v>
      </c>
      <c r="BE8" s="49">
        <v>17.77</v>
      </c>
      <c r="BF8" s="48">
        <v>13.445</v>
      </c>
      <c r="BG8" s="49">
        <v>29.62</v>
      </c>
      <c r="BH8" s="48">
        <v>28.21</v>
      </c>
      <c r="BI8" s="3"/>
      <c r="BJ8" s="3"/>
      <c r="BK8" s="3"/>
      <c r="BL8" s="3"/>
      <c r="BM8" s="3"/>
      <c r="BN8" s="48">
        <v>98.903999999999996</v>
      </c>
      <c r="BO8" s="48">
        <v>99.575999999999993</v>
      </c>
      <c r="BP8" s="48">
        <v>116.42400000000001</v>
      </c>
      <c r="BQ8" s="48">
        <v>121.11199999999999</v>
      </c>
      <c r="BR8" s="3"/>
      <c r="BS8" s="48">
        <v>25.1</v>
      </c>
      <c r="BT8" s="49">
        <v>7454.5680000000002</v>
      </c>
      <c r="BU8" s="48">
        <v>51.231999999999999</v>
      </c>
      <c r="BV8" s="48">
        <v>53.42</v>
      </c>
      <c r="BW8" s="48">
        <v>55.561999999999998</v>
      </c>
      <c r="BX8" s="49">
        <v>57.28</v>
      </c>
      <c r="BY8" s="48">
        <v>1.4710000000000001</v>
      </c>
      <c r="BZ8" s="48">
        <v>2.5880000000000001</v>
      </c>
      <c r="CA8" s="48">
        <v>3.34</v>
      </c>
      <c r="CB8" s="48">
        <v>3.04</v>
      </c>
      <c r="CC8" s="48">
        <v>1.1339999999999999</v>
      </c>
      <c r="CD8" s="49">
        <v>2.3959999999999999</v>
      </c>
      <c r="CE8" s="48">
        <v>1.3149999999999999</v>
      </c>
      <c r="CF8" s="48">
        <v>2.133</v>
      </c>
      <c r="CG8" s="49">
        <v>13.736000000000001</v>
      </c>
      <c r="CH8" s="48">
        <v>13.553000000000001</v>
      </c>
      <c r="CI8" s="48">
        <v>4.7960000000000003</v>
      </c>
      <c r="CJ8" s="49">
        <v>3.718</v>
      </c>
      <c r="CK8" s="48">
        <v>1.548</v>
      </c>
      <c r="CL8" s="48">
        <v>0.1</v>
      </c>
      <c r="CM8" s="48">
        <v>0.6</v>
      </c>
      <c r="CN8" s="49">
        <v>0</v>
      </c>
      <c r="CO8" s="49">
        <v>0</v>
      </c>
      <c r="CP8" s="48">
        <v>94.066000000000003</v>
      </c>
      <c r="CQ8" s="48">
        <v>96</v>
      </c>
      <c r="CR8" s="48">
        <v>106.97799999999999</v>
      </c>
      <c r="CS8" s="48">
        <v>114.32</v>
      </c>
      <c r="CT8" s="48">
        <v>0.32800000000000001</v>
      </c>
      <c r="CU8" s="48">
        <v>0.6</v>
      </c>
      <c r="CV8" s="48">
        <v>1.198</v>
      </c>
      <c r="CW8" s="48">
        <v>1.1020000000000001</v>
      </c>
      <c r="CX8" s="48">
        <v>1.6020000000000001</v>
      </c>
      <c r="CY8" s="48">
        <v>0.3</v>
      </c>
      <c r="CZ8" s="48">
        <v>1.403</v>
      </c>
      <c r="DA8" s="48">
        <v>0.89700000000000002</v>
      </c>
      <c r="DB8" s="48">
        <v>1.3979999999999999</v>
      </c>
      <c r="DC8" s="49">
        <v>0</v>
      </c>
      <c r="DD8" s="49">
        <v>0</v>
      </c>
      <c r="DE8" s="48">
        <v>0.183</v>
      </c>
      <c r="DF8" s="48">
        <v>5.2999999999999999E-2</v>
      </c>
      <c r="DG8" s="48">
        <v>0.65800000000000003</v>
      </c>
      <c r="DH8" s="48">
        <v>1.79</v>
      </c>
      <c r="DI8" s="48">
        <v>0.70299999999999996</v>
      </c>
      <c r="DJ8" s="48">
        <v>9.2999999999999999E-2</v>
      </c>
      <c r="DK8" s="48">
        <v>0.69599999999999995</v>
      </c>
      <c r="DL8" s="49">
        <v>0.41499999999999998</v>
      </c>
      <c r="DM8" s="48">
        <v>0.46300000000000002</v>
      </c>
      <c r="DN8" s="49">
        <v>0.64300000000000002</v>
      </c>
      <c r="DO8" s="48">
        <v>0.36699999999999999</v>
      </c>
      <c r="DP8" s="48">
        <v>65.436000000000007</v>
      </c>
      <c r="DQ8" s="48">
        <v>60.472000000000001</v>
      </c>
      <c r="DR8" s="48">
        <v>53.27</v>
      </c>
      <c r="DS8" s="48">
        <v>51.088999999999999</v>
      </c>
      <c r="DT8" s="48">
        <v>6.24</v>
      </c>
      <c r="DU8" s="48">
        <v>6.18</v>
      </c>
      <c r="DV8" s="48">
        <v>11.57</v>
      </c>
      <c r="DW8" s="49">
        <v>8.94</v>
      </c>
      <c r="DX8" s="48">
        <v>6.61</v>
      </c>
      <c r="DY8" s="48">
        <v>6.41</v>
      </c>
      <c r="DZ8" s="48">
        <v>11.19</v>
      </c>
      <c r="EA8" s="49">
        <v>8.7200000000000006</v>
      </c>
      <c r="EB8" s="48">
        <v>42.06</v>
      </c>
      <c r="EC8" s="49">
        <v>41.72</v>
      </c>
      <c r="ED8" s="49">
        <v>35.130000000000003</v>
      </c>
      <c r="EE8" s="48">
        <v>37.43</v>
      </c>
      <c r="EF8" s="48">
        <v>45.09</v>
      </c>
      <c r="EG8" s="48">
        <v>45.69</v>
      </c>
      <c r="EH8" s="48">
        <v>42.11</v>
      </c>
      <c r="EI8" s="48">
        <v>44.91</v>
      </c>
      <c r="EJ8" s="48">
        <v>6.7839999999999998</v>
      </c>
      <c r="EK8" s="49">
        <v>62.843000000000004</v>
      </c>
      <c r="EL8" s="48">
        <v>2.2000000000000002</v>
      </c>
      <c r="EM8" s="49">
        <v>1.8</v>
      </c>
      <c r="EN8" s="48">
        <v>1.2</v>
      </c>
      <c r="EO8" s="48">
        <v>1.21</v>
      </c>
      <c r="EP8" s="48">
        <v>-105.054</v>
      </c>
      <c r="EQ8" s="48">
        <v>-3.3410000000000002</v>
      </c>
      <c r="ER8" s="48">
        <v>82.41</v>
      </c>
      <c r="ES8" s="49">
        <v>1.52</v>
      </c>
      <c r="ET8" s="48">
        <v>1.6120000000000001</v>
      </c>
      <c r="EU8" s="49">
        <v>1.456</v>
      </c>
      <c r="EV8" s="49">
        <v>7.9749999999999996</v>
      </c>
      <c r="EW8" s="49">
        <v>3.097</v>
      </c>
      <c r="EX8" s="49">
        <v>73.08</v>
      </c>
      <c r="EY8" s="48">
        <v>0</v>
      </c>
      <c r="EZ8" s="49">
        <v>1.39</v>
      </c>
      <c r="FA8" s="49">
        <v>0</v>
      </c>
      <c r="FB8" s="48">
        <v>9</v>
      </c>
      <c r="FC8" s="48">
        <v>66.594999999999999</v>
      </c>
      <c r="FD8" s="48">
        <v>61.45</v>
      </c>
      <c r="FE8" s="48">
        <v>74</v>
      </c>
      <c r="FF8" s="48">
        <v>73.507000000000005</v>
      </c>
      <c r="FG8" s="48">
        <v>0.91700000000000004</v>
      </c>
      <c r="FH8" s="48">
        <v>0.91800000000000004</v>
      </c>
      <c r="FI8" s="48">
        <v>0.996</v>
      </c>
      <c r="FJ8" s="48">
        <v>0.998</v>
      </c>
      <c r="FK8" s="48">
        <v>0</v>
      </c>
      <c r="FL8" s="48">
        <v>83</v>
      </c>
      <c r="FM8" s="48">
        <v>3.76</v>
      </c>
      <c r="FN8" s="48">
        <v>-0.22</v>
      </c>
      <c r="FO8" s="48">
        <v>5.31</v>
      </c>
      <c r="FP8" s="3"/>
      <c r="FQ8" s="48">
        <v>4.55</v>
      </c>
      <c r="FR8" s="48">
        <v>4.95</v>
      </c>
      <c r="FS8" s="48">
        <v>6.6245000000000003</v>
      </c>
      <c r="FT8" s="49">
        <v>1078.9000000000001</v>
      </c>
      <c r="FU8" s="48">
        <v>5.92</v>
      </c>
      <c r="FV8" s="48">
        <v>11.69</v>
      </c>
      <c r="FW8" s="49">
        <v>3213.5</v>
      </c>
      <c r="FX8" s="48">
        <v>162700</v>
      </c>
      <c r="FY8" s="48">
        <v>163800</v>
      </c>
      <c r="FZ8" s="48">
        <v>47.283000000000001</v>
      </c>
      <c r="GA8" s="48">
        <v>47.927</v>
      </c>
      <c r="GB8" s="48">
        <v>2142.5</v>
      </c>
      <c r="GC8" s="48">
        <v>2137.4</v>
      </c>
      <c r="GD8" s="48">
        <v>2187.5</v>
      </c>
      <c r="GE8" s="48">
        <v>2170.5</v>
      </c>
      <c r="GF8" s="48">
        <v>1479.4688000000001</v>
      </c>
      <c r="GG8" s="48">
        <v>28</v>
      </c>
      <c r="GH8" s="48">
        <v>27.6</v>
      </c>
      <c r="GI8" s="48">
        <v>45.8</v>
      </c>
      <c r="GJ8" s="48">
        <v>51.2</v>
      </c>
      <c r="GK8" s="48">
        <v>99.5</v>
      </c>
      <c r="GL8" s="48">
        <v>109.1</v>
      </c>
      <c r="GM8" s="49">
        <v>0</v>
      </c>
      <c r="GN8" s="48">
        <v>25.087</v>
      </c>
      <c r="GO8" s="48">
        <v>105.054</v>
      </c>
      <c r="GP8" s="48">
        <v>0.94399999999999995</v>
      </c>
      <c r="GQ8" s="48">
        <v>1.829</v>
      </c>
      <c r="GR8" s="48">
        <v>1.2390000000000001</v>
      </c>
      <c r="GS8" s="48">
        <v>1.9470000000000001</v>
      </c>
      <c r="GT8" s="48">
        <v>0.76700000000000002</v>
      </c>
      <c r="GU8" s="48">
        <v>1.829</v>
      </c>
      <c r="GV8" s="48">
        <v>12.348000000000001</v>
      </c>
      <c r="GW8" s="48">
        <v>13.778</v>
      </c>
      <c r="GX8" s="48">
        <v>15.19</v>
      </c>
      <c r="GY8" s="49">
        <v>0</v>
      </c>
      <c r="GZ8" s="48">
        <v>0</v>
      </c>
      <c r="HA8" s="48">
        <v>0</v>
      </c>
      <c r="HB8" s="48">
        <v>0</v>
      </c>
      <c r="HC8" s="48">
        <v>36.371000000000002</v>
      </c>
      <c r="HD8" s="48">
        <v>82</v>
      </c>
      <c r="HE8" s="49">
        <v>0</v>
      </c>
      <c r="HF8" s="49">
        <v>0</v>
      </c>
      <c r="HG8" s="48">
        <v>73.91</v>
      </c>
      <c r="HH8" s="48">
        <v>80.63</v>
      </c>
      <c r="HI8" s="49">
        <v>0</v>
      </c>
      <c r="HJ8" s="49">
        <v>0</v>
      </c>
      <c r="HK8" s="49">
        <v>0</v>
      </c>
      <c r="HL8" s="48">
        <v>57</v>
      </c>
      <c r="HM8" s="48">
        <v>49</v>
      </c>
      <c r="HN8" s="48">
        <v>62</v>
      </c>
      <c r="HO8" s="48">
        <v>56</v>
      </c>
      <c r="HP8" s="48">
        <v>59</v>
      </c>
      <c r="HQ8" s="48">
        <v>57</v>
      </c>
      <c r="HR8" s="48">
        <v>50</v>
      </c>
      <c r="HS8" s="48">
        <v>70</v>
      </c>
      <c r="HT8" s="48">
        <v>-1.4155</v>
      </c>
      <c r="HU8" s="49">
        <v>0</v>
      </c>
      <c r="HV8" s="48">
        <v>0.65400000000000003</v>
      </c>
      <c r="HW8" s="49">
        <v>37.17</v>
      </c>
      <c r="HX8" s="48">
        <v>49.07</v>
      </c>
      <c r="HY8" s="48">
        <v>52.49</v>
      </c>
      <c r="HZ8" s="48">
        <v>52.49</v>
      </c>
      <c r="IA8" s="48">
        <v>2.4980000000000002</v>
      </c>
      <c r="IB8" s="49">
        <v>103</v>
      </c>
      <c r="IC8" s="48">
        <v>22.029</v>
      </c>
      <c r="ID8" s="48">
        <v>-0.39600000000000002</v>
      </c>
      <c r="IE8" s="48">
        <v>-0.23100000000000001</v>
      </c>
      <c r="IF8" s="49">
        <v>830.6</v>
      </c>
      <c r="IG8" s="49">
        <v>761.2</v>
      </c>
      <c r="IH8" s="48">
        <v>825</v>
      </c>
      <c r="II8" s="49">
        <v>770.5</v>
      </c>
      <c r="IJ8" s="48">
        <v>-3.1E-2</v>
      </c>
      <c r="IK8" s="48">
        <v>4.8000000000000001E-2</v>
      </c>
      <c r="IL8" s="48">
        <v>76.902000000000001</v>
      </c>
      <c r="IM8" s="48">
        <v>76.902000000000001</v>
      </c>
      <c r="IN8" s="48">
        <v>9.7200000000000006</v>
      </c>
      <c r="IO8" s="49">
        <v>0.39500000000000002</v>
      </c>
      <c r="IP8" s="48">
        <v>9.5</v>
      </c>
      <c r="IQ8" s="48">
        <v>5.0000000000000001E-3</v>
      </c>
      <c r="IR8" s="49">
        <v>7.0000000000000001E-3</v>
      </c>
    </row>
    <row r="9" spans="2:252" x14ac:dyDescent="0.25">
      <c r="B9" s="2" t="s">
        <v>409</v>
      </c>
      <c r="C9" s="2" t="s">
        <v>43</v>
      </c>
      <c r="D9" s="57">
        <v>2.5099537037037035E-3</v>
      </c>
      <c r="E9" s="48">
        <v>216.86</v>
      </c>
      <c r="F9" s="48">
        <v>331.06</v>
      </c>
      <c r="G9" s="48">
        <v>5.91</v>
      </c>
      <c r="H9" s="48">
        <v>25.6</v>
      </c>
      <c r="I9" s="49">
        <v>0</v>
      </c>
      <c r="J9" s="48">
        <v>18.100000000000001</v>
      </c>
      <c r="K9" s="49">
        <v>6</v>
      </c>
      <c r="L9" s="49">
        <v>6</v>
      </c>
      <c r="M9" s="49">
        <v>7</v>
      </c>
      <c r="N9" s="49">
        <v>2</v>
      </c>
      <c r="O9" s="49">
        <v>3</v>
      </c>
      <c r="P9" s="48">
        <v>0.39600000000000002</v>
      </c>
      <c r="Q9" s="48">
        <v>0.89500000000000002</v>
      </c>
      <c r="R9" s="48">
        <v>0.29499999999999998</v>
      </c>
      <c r="S9" s="48">
        <v>0.17399999999999999</v>
      </c>
      <c r="T9" s="48">
        <v>72.66</v>
      </c>
      <c r="U9" s="48">
        <v>60.43</v>
      </c>
      <c r="V9" s="48">
        <v>230</v>
      </c>
      <c r="W9" s="48">
        <v>260</v>
      </c>
      <c r="X9" s="48">
        <v>165</v>
      </c>
      <c r="Y9" s="48">
        <v>213.34</v>
      </c>
      <c r="Z9" s="49">
        <v>382.41</v>
      </c>
      <c r="AA9" s="49">
        <v>409.94</v>
      </c>
      <c r="AB9" s="49">
        <v>285.05</v>
      </c>
      <c r="AC9" s="49">
        <v>357.48</v>
      </c>
      <c r="AD9" s="48">
        <v>1.835</v>
      </c>
      <c r="AE9" s="48">
        <v>1.8420000000000001</v>
      </c>
      <c r="AF9" s="48">
        <v>1.851</v>
      </c>
      <c r="AG9" s="48">
        <v>1.8779999999999999</v>
      </c>
      <c r="AH9" s="48">
        <v>78.959999999999994</v>
      </c>
      <c r="AI9" s="48">
        <v>68.819999999999993</v>
      </c>
      <c r="AJ9" s="48">
        <v>102.52</v>
      </c>
      <c r="AK9" s="48">
        <v>100.94</v>
      </c>
      <c r="AL9" s="48">
        <v>649.79600000000005</v>
      </c>
      <c r="AM9" s="48">
        <v>664.173</v>
      </c>
      <c r="AN9" s="48">
        <v>813.44399999999996</v>
      </c>
      <c r="AO9" s="48">
        <v>796.59100000000001</v>
      </c>
      <c r="AP9" s="48">
        <v>1.4019999999999999</v>
      </c>
      <c r="AQ9" s="48">
        <v>1.89</v>
      </c>
      <c r="AR9" s="48">
        <v>42.082999999999998</v>
      </c>
      <c r="AS9" s="48">
        <v>39.183999999999997</v>
      </c>
      <c r="AT9" s="48">
        <v>83</v>
      </c>
      <c r="AU9" s="48">
        <v>119</v>
      </c>
      <c r="AV9" s="48">
        <v>1.7430000000000001</v>
      </c>
      <c r="AW9" s="49">
        <v>4.8494000000000002</v>
      </c>
      <c r="AX9" s="48">
        <v>1016.1</v>
      </c>
      <c r="AY9" s="48">
        <v>2.4</v>
      </c>
      <c r="AZ9" s="48">
        <v>5.71</v>
      </c>
      <c r="BA9" s="48">
        <v>100.06699999999999</v>
      </c>
      <c r="BB9" s="48">
        <v>99.566999999999993</v>
      </c>
      <c r="BC9" s="48">
        <v>7685</v>
      </c>
      <c r="BD9" s="48">
        <v>87.5</v>
      </c>
      <c r="BE9" s="48">
        <v>17.254999999999999</v>
      </c>
      <c r="BF9" s="48">
        <v>13.395</v>
      </c>
      <c r="BG9" s="48">
        <v>29.48</v>
      </c>
      <c r="BH9" s="48">
        <v>27.97</v>
      </c>
      <c r="BI9" s="3"/>
      <c r="BJ9" s="3"/>
      <c r="BK9" s="3"/>
      <c r="BL9" s="3"/>
      <c r="BM9" s="3"/>
      <c r="BN9" s="48">
        <v>99.944000000000003</v>
      </c>
      <c r="BO9" s="48">
        <v>102.52</v>
      </c>
      <c r="BP9" s="48">
        <v>121.752</v>
      </c>
      <c r="BQ9" s="48">
        <v>126.712</v>
      </c>
      <c r="BR9" s="3"/>
      <c r="BS9" s="48">
        <v>25.3</v>
      </c>
      <c r="BT9" s="48">
        <v>7414.8649999999998</v>
      </c>
      <c r="BU9" s="48">
        <v>51.326999999999998</v>
      </c>
      <c r="BV9" s="48">
        <v>53.289000000000001</v>
      </c>
      <c r="BW9" s="48">
        <v>55.697000000000003</v>
      </c>
      <c r="BX9" s="48">
        <v>56.863999999999997</v>
      </c>
      <c r="BY9" s="48">
        <v>1.3919999999999999</v>
      </c>
      <c r="BZ9" s="48">
        <v>2.7170000000000001</v>
      </c>
      <c r="CA9" s="48">
        <v>3.4420000000000002</v>
      </c>
      <c r="CB9" s="48">
        <v>3.0070000000000001</v>
      </c>
      <c r="CC9" s="48">
        <v>1.022</v>
      </c>
      <c r="CD9" s="48">
        <v>2.3290000000000002</v>
      </c>
      <c r="CE9" s="48">
        <v>1.3069999999999999</v>
      </c>
      <c r="CF9" s="48">
        <v>2.1150000000000002</v>
      </c>
      <c r="CG9" s="48">
        <v>13.734</v>
      </c>
      <c r="CH9" s="48">
        <v>13.557</v>
      </c>
      <c r="CI9" s="48">
        <v>4.7279999999999998</v>
      </c>
      <c r="CJ9" s="48">
        <v>3.7160000000000002</v>
      </c>
      <c r="CK9" s="49">
        <v>1.611</v>
      </c>
      <c r="CL9" s="49">
        <v>0.4</v>
      </c>
      <c r="CM9" s="48">
        <v>0.6</v>
      </c>
      <c r="CN9" s="49">
        <v>0</v>
      </c>
      <c r="CO9" s="49">
        <v>0</v>
      </c>
      <c r="CP9" s="48">
        <v>95.63</v>
      </c>
      <c r="CQ9" s="48">
        <v>98.686000000000007</v>
      </c>
      <c r="CR9" s="48">
        <v>114.602</v>
      </c>
      <c r="CS9" s="48">
        <v>120.753</v>
      </c>
      <c r="CT9" s="49">
        <v>0.38200000000000001</v>
      </c>
      <c r="CU9" s="48">
        <v>0.60099999999999998</v>
      </c>
      <c r="CV9" s="48">
        <v>1.5940000000000001</v>
      </c>
      <c r="CW9" s="48">
        <v>0.999</v>
      </c>
      <c r="CX9" s="49">
        <v>1.9</v>
      </c>
      <c r="CY9" s="48">
        <v>0.89700000000000002</v>
      </c>
      <c r="CZ9" s="48">
        <v>1.2010000000000001</v>
      </c>
      <c r="DA9" s="48">
        <v>0.4</v>
      </c>
      <c r="DB9" s="48">
        <v>1.198</v>
      </c>
      <c r="DC9" s="49">
        <v>0</v>
      </c>
      <c r="DD9" s="49">
        <v>0</v>
      </c>
      <c r="DE9" s="48">
        <v>0.17100000000000001</v>
      </c>
      <c r="DF9" s="48">
        <v>0.06</v>
      </c>
      <c r="DG9" s="48">
        <v>0.52200000000000002</v>
      </c>
      <c r="DH9" s="49">
        <v>1.8360000000000001</v>
      </c>
      <c r="DI9" s="48">
        <v>0.64800000000000002</v>
      </c>
      <c r="DJ9" s="48">
        <v>6.5000000000000002E-2</v>
      </c>
      <c r="DK9" s="48">
        <v>0.70499999999999996</v>
      </c>
      <c r="DL9" s="48">
        <v>0.41199999999999998</v>
      </c>
      <c r="DM9" s="48">
        <v>0.48299999999999998</v>
      </c>
      <c r="DN9" s="48">
        <v>0.48799999999999999</v>
      </c>
      <c r="DO9" s="48">
        <v>0.86699999999999999</v>
      </c>
      <c r="DP9" s="48">
        <v>67.932000000000002</v>
      </c>
      <c r="DQ9" s="48">
        <v>60.893000000000001</v>
      </c>
      <c r="DR9" s="49">
        <v>55.106999999999999</v>
      </c>
      <c r="DS9" s="48">
        <v>52.38</v>
      </c>
      <c r="DT9" s="48">
        <v>6.07</v>
      </c>
      <c r="DU9" s="48">
        <v>6.13</v>
      </c>
      <c r="DV9" s="48">
        <v>11.49</v>
      </c>
      <c r="DW9" s="48">
        <v>8.66</v>
      </c>
      <c r="DX9" s="48">
        <v>6.67</v>
      </c>
      <c r="DY9" s="48">
        <v>6.32</v>
      </c>
      <c r="DZ9" s="48">
        <v>11.24</v>
      </c>
      <c r="EA9" s="48">
        <v>8.32</v>
      </c>
      <c r="EB9" s="49">
        <v>42.58</v>
      </c>
      <c r="EC9" s="48">
        <v>41.12</v>
      </c>
      <c r="ED9" s="49">
        <v>35.130000000000003</v>
      </c>
      <c r="EE9" s="49">
        <v>37.53</v>
      </c>
      <c r="EF9" s="48">
        <v>44.68</v>
      </c>
      <c r="EG9" s="48">
        <v>46.43</v>
      </c>
      <c r="EH9" s="48">
        <v>42.14</v>
      </c>
      <c r="EI9" s="48">
        <v>45.49</v>
      </c>
      <c r="EJ9" s="48">
        <v>6.5659999999999998</v>
      </c>
      <c r="EK9" s="48">
        <v>62.466000000000001</v>
      </c>
      <c r="EL9" s="48">
        <v>2.25</v>
      </c>
      <c r="EM9" s="48">
        <v>1.85</v>
      </c>
      <c r="EN9" s="48">
        <v>1.2</v>
      </c>
      <c r="EO9" s="48">
        <v>1.21</v>
      </c>
      <c r="EP9" s="48">
        <v>-106.22199999999999</v>
      </c>
      <c r="EQ9" s="48">
        <v>-3.0760000000000001</v>
      </c>
      <c r="ER9" s="48">
        <v>96.426000000000002</v>
      </c>
      <c r="ES9" s="48">
        <v>1.4830000000000001</v>
      </c>
      <c r="ET9" s="48">
        <v>1.6160000000000001</v>
      </c>
      <c r="EU9" s="48">
        <v>1.4259999999999999</v>
      </c>
      <c r="EV9" s="48">
        <v>7.6040000000000001</v>
      </c>
      <c r="EW9" s="48">
        <v>2.8559999999999999</v>
      </c>
      <c r="EX9" s="48">
        <v>72.36</v>
      </c>
      <c r="EY9" s="48">
        <v>0</v>
      </c>
      <c r="EZ9" s="48">
        <v>6.0999999999999999E-2</v>
      </c>
      <c r="FA9" s="49">
        <v>0</v>
      </c>
      <c r="FB9" s="48">
        <v>8.9879999999999995</v>
      </c>
      <c r="FC9" s="48">
        <v>68.864000000000004</v>
      </c>
      <c r="FD9" s="48">
        <v>63.499000000000002</v>
      </c>
      <c r="FE9" s="48">
        <v>78.197000000000003</v>
      </c>
      <c r="FF9" s="48">
        <v>77.284000000000006</v>
      </c>
      <c r="FG9" s="48">
        <v>0.91400000000000003</v>
      </c>
      <c r="FH9" s="48">
        <v>0.91400000000000003</v>
      </c>
      <c r="FI9" s="48">
        <v>0.995</v>
      </c>
      <c r="FJ9" s="48">
        <v>0.997</v>
      </c>
      <c r="FK9" s="48">
        <v>0</v>
      </c>
      <c r="FL9" s="48">
        <v>83</v>
      </c>
      <c r="FM9" s="48">
        <v>3.73</v>
      </c>
      <c r="FN9" s="49">
        <v>-0.63</v>
      </c>
      <c r="FO9" s="48">
        <v>5.39</v>
      </c>
      <c r="FP9" s="3"/>
      <c r="FQ9" s="48">
        <v>4.55</v>
      </c>
      <c r="FR9" s="49">
        <v>4.75</v>
      </c>
      <c r="FS9" s="49">
        <v>6.6820000000000004</v>
      </c>
      <c r="FT9" s="48">
        <v>1069.8</v>
      </c>
      <c r="FU9" s="48">
        <v>6.33</v>
      </c>
      <c r="FV9" s="48">
        <v>17.61</v>
      </c>
      <c r="FW9" s="48">
        <v>3049.5</v>
      </c>
      <c r="FX9" s="48">
        <v>163000</v>
      </c>
      <c r="FY9" s="48">
        <v>164800</v>
      </c>
      <c r="FZ9" s="48">
        <v>47.055</v>
      </c>
      <c r="GA9" s="48">
        <v>47.64</v>
      </c>
      <c r="GB9" s="48">
        <v>2135.6</v>
      </c>
      <c r="GC9" s="49">
        <v>2352.4</v>
      </c>
      <c r="GD9" s="49">
        <v>2258.1999999999998</v>
      </c>
      <c r="GE9" s="49">
        <v>2352.4</v>
      </c>
      <c r="GF9" s="48">
        <v>1472.7969000000001</v>
      </c>
      <c r="GG9" s="48">
        <v>28</v>
      </c>
      <c r="GH9" s="48">
        <v>28.1</v>
      </c>
      <c r="GI9" s="48">
        <v>45.2</v>
      </c>
      <c r="GJ9" s="48">
        <v>50</v>
      </c>
      <c r="GK9" s="48">
        <v>99.5</v>
      </c>
      <c r="GL9" s="48">
        <v>112.6</v>
      </c>
      <c r="GM9" s="49">
        <v>0</v>
      </c>
      <c r="GN9" s="49">
        <v>25.27</v>
      </c>
      <c r="GO9" s="48">
        <v>106.22199999999999</v>
      </c>
      <c r="GP9" s="48">
        <v>0.76700000000000002</v>
      </c>
      <c r="GQ9" s="48">
        <v>1.829</v>
      </c>
      <c r="GR9" s="48">
        <v>1.2390000000000001</v>
      </c>
      <c r="GS9" s="48">
        <v>1.9470000000000001</v>
      </c>
      <c r="GT9" s="48">
        <v>0.76700000000000002</v>
      </c>
      <c r="GU9" s="48">
        <v>1.829</v>
      </c>
      <c r="GV9" s="48">
        <v>12.74</v>
      </c>
      <c r="GW9" s="48">
        <v>13.787000000000001</v>
      </c>
      <c r="GX9" s="48">
        <v>14.896000000000001</v>
      </c>
      <c r="GY9" s="49">
        <v>0</v>
      </c>
      <c r="GZ9" s="48">
        <v>0</v>
      </c>
      <c r="HA9" s="48">
        <v>0</v>
      </c>
      <c r="HB9" s="48">
        <v>0</v>
      </c>
      <c r="HC9" s="48">
        <v>36.348999999999997</v>
      </c>
      <c r="HD9" s="48">
        <v>78</v>
      </c>
      <c r="HE9" s="49">
        <v>0</v>
      </c>
      <c r="HF9" s="49">
        <v>0</v>
      </c>
      <c r="HG9" s="48">
        <v>72.31</v>
      </c>
      <c r="HH9" s="48">
        <v>80.55</v>
      </c>
      <c r="HI9" s="49">
        <v>0</v>
      </c>
      <c r="HJ9" s="49">
        <v>0</v>
      </c>
      <c r="HK9" s="49">
        <v>0</v>
      </c>
      <c r="HL9" s="48">
        <v>57</v>
      </c>
      <c r="HM9" s="48">
        <v>49</v>
      </c>
      <c r="HN9" s="48">
        <v>63</v>
      </c>
      <c r="HO9" s="48">
        <v>57</v>
      </c>
      <c r="HP9" s="48">
        <v>60</v>
      </c>
      <c r="HQ9" s="48">
        <v>58</v>
      </c>
      <c r="HR9" s="48">
        <v>51</v>
      </c>
      <c r="HS9" s="48">
        <v>70</v>
      </c>
      <c r="HT9" s="49">
        <v>-1.4315</v>
      </c>
      <c r="HU9" s="49">
        <v>0</v>
      </c>
      <c r="HV9" s="49">
        <v>0.73699999999999999</v>
      </c>
      <c r="HW9" s="49">
        <v>37.17</v>
      </c>
      <c r="HX9" s="48">
        <v>51.76</v>
      </c>
      <c r="HY9" s="48">
        <v>52.13</v>
      </c>
      <c r="HZ9" s="48">
        <v>52.13</v>
      </c>
      <c r="IA9" s="48">
        <v>2.7130000000000001</v>
      </c>
      <c r="IB9" s="49">
        <v>103</v>
      </c>
      <c r="IC9" s="49">
        <v>22.186</v>
      </c>
      <c r="ID9" s="48">
        <v>-0.42099999999999999</v>
      </c>
      <c r="IE9" s="48">
        <v>-0.23400000000000001</v>
      </c>
      <c r="IF9" s="48">
        <v>820.1</v>
      </c>
      <c r="IG9" s="48">
        <v>759.7</v>
      </c>
      <c r="IH9" s="49">
        <v>830.7</v>
      </c>
      <c r="II9" s="49">
        <v>770.5</v>
      </c>
      <c r="IJ9" s="48">
        <v>-3.3000000000000002E-2</v>
      </c>
      <c r="IK9" s="49">
        <v>5.7000000000000002E-2</v>
      </c>
      <c r="IL9" s="48">
        <v>76.620999999999995</v>
      </c>
      <c r="IM9" s="48">
        <v>76.620999999999995</v>
      </c>
      <c r="IN9" s="48">
        <v>11.426</v>
      </c>
      <c r="IO9" s="48">
        <v>0.35099999999999998</v>
      </c>
      <c r="IP9" s="48">
        <v>9.3800000000000008</v>
      </c>
      <c r="IQ9" s="48">
        <v>4.0000000000000001E-3</v>
      </c>
      <c r="IR9" s="48">
        <v>1E-3</v>
      </c>
    </row>
    <row r="10" spans="2:252" x14ac:dyDescent="0.25">
      <c r="B10" s="2" t="s">
        <v>409</v>
      </c>
      <c r="C10" s="58" t="s">
        <v>44</v>
      </c>
      <c r="D10" s="59">
        <v>2.5057870370370368E-3</v>
      </c>
      <c r="E10" s="48">
        <v>216.5</v>
      </c>
      <c r="F10" s="49">
        <v>331.68</v>
      </c>
      <c r="G10" s="48">
        <v>5.9</v>
      </c>
      <c r="H10" s="49">
        <v>25.7</v>
      </c>
      <c r="I10" s="49">
        <v>0</v>
      </c>
      <c r="J10" s="48">
        <v>16.8</v>
      </c>
      <c r="K10" s="49">
        <v>6</v>
      </c>
      <c r="L10" s="49">
        <v>6</v>
      </c>
      <c r="M10" s="49">
        <v>7</v>
      </c>
      <c r="N10" s="49">
        <v>2</v>
      </c>
      <c r="O10" s="49">
        <v>3</v>
      </c>
      <c r="P10" s="48">
        <v>0.38200000000000001</v>
      </c>
      <c r="Q10" s="48">
        <v>0.73099999999999998</v>
      </c>
      <c r="R10" s="48">
        <v>0.46200000000000002</v>
      </c>
      <c r="S10" s="48">
        <v>0.20100000000000001</v>
      </c>
      <c r="T10" s="48">
        <v>70.56</v>
      </c>
      <c r="U10" s="48">
        <v>60.451999999999998</v>
      </c>
      <c r="V10" s="48">
        <v>245</v>
      </c>
      <c r="W10" s="48">
        <v>278.33999999999997</v>
      </c>
      <c r="X10" s="48">
        <v>170</v>
      </c>
      <c r="Y10" s="48">
        <v>216.66</v>
      </c>
      <c r="Z10" s="48">
        <v>381.35</v>
      </c>
      <c r="AA10" s="48">
        <v>407.83</v>
      </c>
      <c r="AB10" s="48">
        <v>270.57</v>
      </c>
      <c r="AC10" s="48">
        <v>342.74</v>
      </c>
      <c r="AD10" s="48">
        <v>1.835</v>
      </c>
      <c r="AE10" s="48">
        <v>1.8440000000000001</v>
      </c>
      <c r="AF10" s="48">
        <v>1.8580000000000001</v>
      </c>
      <c r="AG10" s="48">
        <v>1.8779999999999999</v>
      </c>
      <c r="AH10" s="48">
        <v>78.61</v>
      </c>
      <c r="AI10" s="48">
        <v>68.77</v>
      </c>
      <c r="AJ10" s="48">
        <v>101.74</v>
      </c>
      <c r="AK10" s="48">
        <v>100.8</v>
      </c>
      <c r="AL10" s="48">
        <v>659.96</v>
      </c>
      <c r="AM10" s="48">
        <v>671.26199999999994</v>
      </c>
      <c r="AN10" s="49">
        <v>855.08600000000001</v>
      </c>
      <c r="AO10" s="48">
        <v>782.95399999999995</v>
      </c>
      <c r="AP10" s="48">
        <v>1.4039999999999999</v>
      </c>
      <c r="AQ10" s="48">
        <v>1.8759999999999999</v>
      </c>
      <c r="AR10" s="49">
        <v>42.274000000000001</v>
      </c>
      <c r="AS10" s="49">
        <v>39.247</v>
      </c>
      <c r="AT10" s="48">
        <v>83</v>
      </c>
      <c r="AU10" s="48">
        <v>119</v>
      </c>
      <c r="AV10" s="48">
        <v>1.6595</v>
      </c>
      <c r="AW10" s="48">
        <v>4.8063000000000002</v>
      </c>
      <c r="AX10" s="48">
        <v>1015.3</v>
      </c>
      <c r="AY10" s="48">
        <v>2.4300000000000002</v>
      </c>
      <c r="AZ10" s="48">
        <v>5.53</v>
      </c>
      <c r="BA10" s="48">
        <v>95.2</v>
      </c>
      <c r="BB10" s="48">
        <v>91.725999999999999</v>
      </c>
      <c r="BC10" s="49">
        <v>7860</v>
      </c>
      <c r="BD10" s="48">
        <v>88.75</v>
      </c>
      <c r="BE10" s="48">
        <v>15.93</v>
      </c>
      <c r="BF10" s="48">
        <v>14.9</v>
      </c>
      <c r="BG10" s="48">
        <v>28.46</v>
      </c>
      <c r="BH10" s="49">
        <v>31.4</v>
      </c>
      <c r="BI10" s="3"/>
      <c r="BJ10" s="3"/>
      <c r="BK10" s="3"/>
      <c r="BL10" s="3"/>
      <c r="BM10" s="3"/>
      <c r="BN10" s="48">
        <v>103.032</v>
      </c>
      <c r="BO10" s="48">
        <v>107.08</v>
      </c>
      <c r="BP10" s="48">
        <v>122.024</v>
      </c>
      <c r="BQ10" s="48">
        <v>126.88800000000001</v>
      </c>
      <c r="BR10" s="3"/>
      <c r="BS10" s="49">
        <v>25.5</v>
      </c>
      <c r="BT10" s="48">
        <v>7381.6769999999997</v>
      </c>
      <c r="BU10" s="48">
        <v>51.085000000000001</v>
      </c>
      <c r="BV10" s="48">
        <v>52.597999999999999</v>
      </c>
      <c r="BW10" s="48">
        <v>54.244</v>
      </c>
      <c r="BX10" s="48">
        <v>56.256999999999998</v>
      </c>
      <c r="BY10" s="48">
        <v>1.589</v>
      </c>
      <c r="BZ10" s="49">
        <v>2.9889999999999999</v>
      </c>
      <c r="CA10" s="49">
        <v>3.6190000000000002</v>
      </c>
      <c r="CB10" s="48">
        <v>3.137</v>
      </c>
      <c r="CC10" s="48">
        <v>0.81699999999999995</v>
      </c>
      <c r="CD10" s="48">
        <v>2.2349999999999999</v>
      </c>
      <c r="CE10" s="48">
        <v>1.3220000000000001</v>
      </c>
      <c r="CF10" s="48">
        <v>2.141</v>
      </c>
      <c r="CG10" s="48">
        <v>13.734</v>
      </c>
      <c r="CH10" s="48">
        <v>13.602</v>
      </c>
      <c r="CI10" s="48">
        <v>4.5720000000000001</v>
      </c>
      <c r="CJ10" s="48">
        <v>3.5019999999999998</v>
      </c>
      <c r="CK10" s="48">
        <v>1.603</v>
      </c>
      <c r="CL10" s="48">
        <v>0</v>
      </c>
      <c r="CM10" s="49">
        <v>2.8</v>
      </c>
      <c r="CN10" s="49">
        <v>0</v>
      </c>
      <c r="CO10" s="49">
        <v>0</v>
      </c>
      <c r="CP10" s="48">
        <v>96.852999999999994</v>
      </c>
      <c r="CQ10" s="48">
        <v>99.968999999999994</v>
      </c>
      <c r="CR10" s="48">
        <v>114.70399999999999</v>
      </c>
      <c r="CS10" s="48">
        <v>120.866</v>
      </c>
      <c r="CT10" s="48">
        <v>0.252</v>
      </c>
      <c r="CU10" s="49">
        <v>1.1040000000000001</v>
      </c>
      <c r="CV10" s="49">
        <v>2.101</v>
      </c>
      <c r="CW10" s="49">
        <v>1.4970000000000001</v>
      </c>
      <c r="CX10" s="48">
        <v>1.8</v>
      </c>
      <c r="CY10" s="49">
        <v>1.2050000000000001</v>
      </c>
      <c r="CZ10" s="48">
        <v>0.9</v>
      </c>
      <c r="DA10" s="49">
        <v>1.5</v>
      </c>
      <c r="DB10" s="49">
        <v>2.0979999999999999</v>
      </c>
      <c r="DC10" s="49">
        <v>0</v>
      </c>
      <c r="DD10" s="49">
        <v>0</v>
      </c>
      <c r="DE10" s="49">
        <v>0.20200000000000001</v>
      </c>
      <c r="DF10" s="48">
        <v>8.6999999999999994E-2</v>
      </c>
      <c r="DG10" s="49">
        <v>0.92</v>
      </c>
      <c r="DH10" s="48">
        <v>1.732</v>
      </c>
      <c r="DI10" s="48">
        <v>0.79900000000000004</v>
      </c>
      <c r="DJ10" s="48">
        <v>0.14699999999999999</v>
      </c>
      <c r="DK10" s="49">
        <v>0.82099999999999995</v>
      </c>
      <c r="DL10" s="48">
        <v>0.41299999999999998</v>
      </c>
      <c r="DM10" s="48">
        <v>0.42799999999999999</v>
      </c>
      <c r="DN10" s="48">
        <v>0.374</v>
      </c>
      <c r="DO10" s="48">
        <v>0.41699999999999998</v>
      </c>
      <c r="DP10" s="48">
        <v>68.281000000000006</v>
      </c>
      <c r="DQ10" s="48">
        <v>59.500999999999998</v>
      </c>
      <c r="DR10" s="48">
        <v>54.378</v>
      </c>
      <c r="DS10" s="49">
        <v>53.454000000000001</v>
      </c>
      <c r="DT10" s="49">
        <v>6.37</v>
      </c>
      <c r="DU10" s="49">
        <v>6.63</v>
      </c>
      <c r="DV10" s="49">
        <v>12.2</v>
      </c>
      <c r="DW10" s="48">
        <v>8.77</v>
      </c>
      <c r="DX10" s="49">
        <v>6.88</v>
      </c>
      <c r="DY10" s="49">
        <v>7.04</v>
      </c>
      <c r="DZ10" s="49">
        <v>11.6</v>
      </c>
      <c r="EA10" s="48">
        <v>8.5500000000000007</v>
      </c>
      <c r="EB10" s="48">
        <v>42.14</v>
      </c>
      <c r="EC10" s="48">
        <v>41.35</v>
      </c>
      <c r="ED10" s="48">
        <v>34.53</v>
      </c>
      <c r="EE10" s="48">
        <v>37.46</v>
      </c>
      <c r="EF10" s="48">
        <v>44.6</v>
      </c>
      <c r="EG10" s="48">
        <v>44.98</v>
      </c>
      <c r="EH10" s="48">
        <v>41.67</v>
      </c>
      <c r="EI10" s="48">
        <v>45.23</v>
      </c>
      <c r="EJ10" s="48">
        <v>6.734</v>
      </c>
      <c r="EK10" s="48">
        <v>62.48</v>
      </c>
      <c r="EL10" s="48">
        <v>2.25</v>
      </c>
      <c r="EM10" s="48">
        <v>1.85</v>
      </c>
      <c r="EN10" s="48">
        <v>1.21</v>
      </c>
      <c r="EO10" s="48">
        <v>1.21</v>
      </c>
      <c r="EP10" s="49">
        <v>-112.062</v>
      </c>
      <c r="EQ10" s="48">
        <v>-3.0550000000000002</v>
      </c>
      <c r="ER10" s="49">
        <v>113.07</v>
      </c>
      <c r="ES10" s="48">
        <v>1.44</v>
      </c>
      <c r="ET10" s="49">
        <v>1.6220000000000001</v>
      </c>
      <c r="EU10" s="48">
        <v>1.4059999999999999</v>
      </c>
      <c r="EV10" s="48">
        <v>7.6059999999999999</v>
      </c>
      <c r="EW10" s="48">
        <v>2.823</v>
      </c>
      <c r="EX10" s="48">
        <v>72.22</v>
      </c>
      <c r="EY10" s="48">
        <v>0</v>
      </c>
      <c r="EZ10" s="48">
        <v>0</v>
      </c>
      <c r="FA10" s="49">
        <v>0</v>
      </c>
      <c r="FB10" s="48">
        <v>8.9819999999999993</v>
      </c>
      <c r="FC10" s="48">
        <v>69.757000000000005</v>
      </c>
      <c r="FD10" s="48">
        <v>64.521000000000001</v>
      </c>
      <c r="FE10" s="48">
        <v>79.534999999999997</v>
      </c>
      <c r="FF10" s="48">
        <v>78.593999999999994</v>
      </c>
      <c r="FG10" s="48">
        <v>0.91600000000000004</v>
      </c>
      <c r="FH10" s="48">
        <v>0.91500000000000004</v>
      </c>
      <c r="FI10" s="48">
        <v>0.995</v>
      </c>
      <c r="FJ10" s="48">
        <v>0.997</v>
      </c>
      <c r="FK10" s="48">
        <v>0</v>
      </c>
      <c r="FL10" s="48">
        <v>83</v>
      </c>
      <c r="FM10" s="48">
        <v>3.72</v>
      </c>
      <c r="FN10" s="48">
        <v>-0.56000000000000005</v>
      </c>
      <c r="FO10" s="48">
        <v>5.5</v>
      </c>
      <c r="FP10" s="48">
        <v>4.55</v>
      </c>
      <c r="FQ10" s="48">
        <v>4.5</v>
      </c>
      <c r="FR10" s="48">
        <v>5.05</v>
      </c>
      <c r="FS10" s="48">
        <v>6.6055000000000001</v>
      </c>
      <c r="FT10" s="48">
        <v>1078.7</v>
      </c>
      <c r="FU10" s="49">
        <v>6.36</v>
      </c>
      <c r="FV10" s="48">
        <v>23.51</v>
      </c>
      <c r="FW10" s="48">
        <v>3189.5</v>
      </c>
      <c r="FX10" s="48">
        <v>162700</v>
      </c>
      <c r="FY10" s="48">
        <v>163200</v>
      </c>
      <c r="FZ10" s="48">
        <v>47.341000000000001</v>
      </c>
      <c r="GA10" s="48">
        <v>47.637999999999998</v>
      </c>
      <c r="GB10" s="48">
        <v>2156.6</v>
      </c>
      <c r="GC10" s="48">
        <v>2168.3000000000002</v>
      </c>
      <c r="GD10" s="48">
        <v>2215.1999999999998</v>
      </c>
      <c r="GE10" s="48">
        <v>2217</v>
      </c>
      <c r="GF10" s="49">
        <v>1621.5625</v>
      </c>
      <c r="GG10" s="49">
        <v>29</v>
      </c>
      <c r="GH10" s="48">
        <v>28.6</v>
      </c>
      <c r="GI10" s="48">
        <v>45.6</v>
      </c>
      <c r="GJ10" s="48">
        <v>50.5</v>
      </c>
      <c r="GK10" s="48">
        <v>99.5</v>
      </c>
      <c r="GL10" s="48">
        <v>109.2</v>
      </c>
      <c r="GM10" s="49">
        <v>0</v>
      </c>
      <c r="GN10" s="48">
        <v>22.712</v>
      </c>
      <c r="GO10" s="49">
        <v>113.07</v>
      </c>
      <c r="GP10" s="48">
        <v>0.53100000000000003</v>
      </c>
      <c r="GQ10" s="48">
        <v>1.829</v>
      </c>
      <c r="GR10" s="48">
        <v>1.298</v>
      </c>
      <c r="GS10" s="48">
        <v>2.0059999999999998</v>
      </c>
      <c r="GT10" s="48">
        <v>0.70799999999999996</v>
      </c>
      <c r="GU10" s="48">
        <v>1.829</v>
      </c>
      <c r="GV10" s="48">
        <v>12.641999999999999</v>
      </c>
      <c r="GW10" s="49">
        <v>13.81</v>
      </c>
      <c r="GX10" s="48">
        <v>14.994</v>
      </c>
      <c r="GY10" s="49">
        <v>0</v>
      </c>
      <c r="GZ10" s="48">
        <v>0</v>
      </c>
      <c r="HA10" s="48">
        <v>0</v>
      </c>
      <c r="HB10" s="48">
        <v>0</v>
      </c>
      <c r="HC10" s="49">
        <v>36.390999999999998</v>
      </c>
      <c r="HD10" s="48">
        <v>82</v>
      </c>
      <c r="HE10" s="49">
        <v>0</v>
      </c>
      <c r="HF10" s="49">
        <v>0</v>
      </c>
      <c r="HG10" s="48">
        <v>74.790000000000006</v>
      </c>
      <c r="HH10" s="49">
        <v>80.97</v>
      </c>
      <c r="HI10" s="49">
        <v>0</v>
      </c>
      <c r="HJ10" s="49">
        <v>0</v>
      </c>
      <c r="HK10" s="49">
        <v>0</v>
      </c>
      <c r="HL10" s="48">
        <v>58</v>
      </c>
      <c r="HM10" s="49">
        <v>50</v>
      </c>
      <c r="HN10" s="49">
        <v>64</v>
      </c>
      <c r="HO10" s="48">
        <v>57</v>
      </c>
      <c r="HP10" s="49">
        <v>61</v>
      </c>
      <c r="HQ10" s="49">
        <v>59</v>
      </c>
      <c r="HR10" s="48">
        <v>51</v>
      </c>
      <c r="HS10" s="49">
        <v>82</v>
      </c>
      <c r="HT10" s="48">
        <v>-1.4035</v>
      </c>
      <c r="HU10" s="49">
        <v>0</v>
      </c>
      <c r="HV10" s="48">
        <v>0.72399999999999998</v>
      </c>
      <c r="HW10" s="48">
        <v>38.119999999999997</v>
      </c>
      <c r="HX10" s="49">
        <v>48.18</v>
      </c>
      <c r="HY10" s="49">
        <v>52.59</v>
      </c>
      <c r="HZ10" s="49">
        <v>52.59</v>
      </c>
      <c r="IA10" s="48">
        <v>2.6120000000000001</v>
      </c>
      <c r="IB10" s="49">
        <v>103</v>
      </c>
      <c r="IC10" s="48">
        <v>22.08</v>
      </c>
      <c r="ID10" s="48">
        <v>-0.41599999999999998</v>
      </c>
      <c r="IE10" s="48">
        <v>-0.23499999999999999</v>
      </c>
      <c r="IF10" s="48">
        <v>802.3</v>
      </c>
      <c r="IG10" s="48">
        <v>757.4</v>
      </c>
      <c r="IH10" s="48">
        <v>815.1</v>
      </c>
      <c r="II10" s="48">
        <v>769.1</v>
      </c>
      <c r="IJ10" s="48">
        <v>-1.6E-2</v>
      </c>
      <c r="IK10" s="48">
        <v>3.7999999999999999E-2</v>
      </c>
      <c r="IL10" s="48">
        <v>77.326999999999998</v>
      </c>
      <c r="IM10" s="48">
        <v>77.326999999999998</v>
      </c>
      <c r="IN10" s="48">
        <v>11.754</v>
      </c>
      <c r="IO10" s="48">
        <v>0.26800000000000002</v>
      </c>
      <c r="IP10" s="48">
        <v>9.35</v>
      </c>
      <c r="IQ10" s="49">
        <v>8.9999999999999993E-3</v>
      </c>
      <c r="IR10" s="49">
        <v>7.0000000000000001E-3</v>
      </c>
    </row>
    <row r="11" spans="2:252" x14ac:dyDescent="0.25">
      <c r="B11" s="2" t="s">
        <v>409</v>
      </c>
      <c r="C11" s="2" t="s">
        <v>45</v>
      </c>
      <c r="D11" s="57">
        <v>2.9621527777777784E-3</v>
      </c>
      <c r="E11" s="48">
        <v>255.928</v>
      </c>
      <c r="F11" s="48">
        <v>330.06</v>
      </c>
      <c r="G11" s="48">
        <v>-23.51</v>
      </c>
      <c r="H11" s="48">
        <v>25.6</v>
      </c>
      <c r="I11" s="49">
        <v>0</v>
      </c>
      <c r="J11" s="48">
        <v>27.2</v>
      </c>
      <c r="K11" s="49">
        <v>6</v>
      </c>
      <c r="L11" s="49">
        <v>6</v>
      </c>
      <c r="M11" s="49">
        <v>7</v>
      </c>
      <c r="N11" s="49">
        <v>2</v>
      </c>
      <c r="O11" s="49">
        <v>3</v>
      </c>
      <c r="P11" s="48">
        <v>0.46899999999999997</v>
      </c>
      <c r="Q11" s="49">
        <v>1.0569999999999999</v>
      </c>
      <c r="R11" s="48">
        <v>0.214</v>
      </c>
      <c r="S11" s="49">
        <v>0.28199999999999997</v>
      </c>
      <c r="T11" s="49">
        <v>74.3</v>
      </c>
      <c r="U11" s="48">
        <v>60.576000000000001</v>
      </c>
      <c r="V11" s="48">
        <v>230</v>
      </c>
      <c r="W11" s="48">
        <v>261.66000000000003</v>
      </c>
      <c r="X11" s="48">
        <v>165</v>
      </c>
      <c r="Y11" s="48">
        <v>208.34</v>
      </c>
      <c r="Z11" s="48">
        <v>369.09</v>
      </c>
      <c r="AA11" s="48">
        <v>395.64</v>
      </c>
      <c r="AB11" s="48">
        <v>274.7</v>
      </c>
      <c r="AC11" s="48">
        <v>339.75</v>
      </c>
      <c r="AD11" s="49">
        <v>1.855</v>
      </c>
      <c r="AE11" s="49">
        <v>1.861</v>
      </c>
      <c r="AF11" s="49">
        <v>1.88</v>
      </c>
      <c r="AG11" s="49">
        <v>1.9019999999999999</v>
      </c>
      <c r="AH11" s="49">
        <v>81.040000000000006</v>
      </c>
      <c r="AI11" s="49">
        <v>70.540000000000006</v>
      </c>
      <c r="AJ11" s="49">
        <v>104.46</v>
      </c>
      <c r="AK11" s="49">
        <v>102.85</v>
      </c>
      <c r="AL11" s="49">
        <v>692.88699999999994</v>
      </c>
      <c r="AM11" s="49">
        <v>707.35400000000004</v>
      </c>
      <c r="AN11" s="48">
        <v>850.84299999999996</v>
      </c>
      <c r="AO11" s="49">
        <v>859.53499999999997</v>
      </c>
      <c r="AP11" s="48">
        <v>1.4039999999999999</v>
      </c>
      <c r="AQ11" s="48">
        <v>1.87</v>
      </c>
      <c r="AR11" s="48">
        <v>41.984000000000002</v>
      </c>
      <c r="AS11" s="48">
        <v>38.508000000000003</v>
      </c>
      <c r="AT11" s="48">
        <v>83</v>
      </c>
      <c r="AU11" s="49">
        <v>120</v>
      </c>
      <c r="AV11" s="49">
        <v>1.5085</v>
      </c>
      <c r="AW11" s="48">
        <v>4.6585999999999999</v>
      </c>
      <c r="AX11" s="48">
        <v>1015.6</v>
      </c>
      <c r="AY11" s="48">
        <v>2.4300000000000002</v>
      </c>
      <c r="AZ11" s="48">
        <v>5.64</v>
      </c>
      <c r="BA11" s="48">
        <v>69.400000000000006</v>
      </c>
      <c r="BB11" s="48">
        <v>69.400000000000006</v>
      </c>
      <c r="BC11" s="48">
        <v>7698</v>
      </c>
      <c r="BD11" s="49">
        <v>89</v>
      </c>
      <c r="BE11" s="48">
        <v>17.57</v>
      </c>
      <c r="BF11" s="49">
        <v>15.065</v>
      </c>
      <c r="BG11" s="48">
        <v>29.29</v>
      </c>
      <c r="BH11" s="48">
        <v>27.78</v>
      </c>
      <c r="BI11" s="49">
        <v>65.841999999999999</v>
      </c>
      <c r="BJ11" s="49">
        <v>82.007000000000005</v>
      </c>
      <c r="BK11" s="49">
        <v>64.132999999999996</v>
      </c>
      <c r="BL11" s="49">
        <v>78.867999999999995</v>
      </c>
      <c r="BM11" s="49">
        <v>79.977999999999994</v>
      </c>
      <c r="BN11" s="48">
        <v>117.464</v>
      </c>
      <c r="BO11" s="48">
        <v>120.47199999999999</v>
      </c>
      <c r="BP11" s="49">
        <v>132.77600000000001</v>
      </c>
      <c r="BQ11" s="49">
        <v>134.136</v>
      </c>
      <c r="BR11" s="49">
        <v>59.98</v>
      </c>
      <c r="BS11" s="48">
        <v>25.4</v>
      </c>
      <c r="BT11" s="48">
        <v>7389.9120000000003</v>
      </c>
      <c r="BU11" s="48">
        <v>51.503999999999998</v>
      </c>
      <c r="BV11" s="48">
        <v>51.771999999999998</v>
      </c>
      <c r="BW11" s="48">
        <v>54.317</v>
      </c>
      <c r="BX11" s="48">
        <v>57.076000000000001</v>
      </c>
      <c r="BY11" s="49">
        <v>1.744</v>
      </c>
      <c r="BZ11" s="48">
        <v>2.8769999999999998</v>
      </c>
      <c r="CA11" s="48">
        <v>3.3220000000000001</v>
      </c>
      <c r="CB11" s="49">
        <v>3.53</v>
      </c>
      <c r="CC11" s="49">
        <v>1.1419999999999999</v>
      </c>
      <c r="CD11" s="48">
        <v>2.323</v>
      </c>
      <c r="CE11" s="48">
        <v>1.2929999999999999</v>
      </c>
      <c r="CF11" s="48">
        <v>2.0920000000000001</v>
      </c>
      <c r="CG11" s="48">
        <v>13.718999999999999</v>
      </c>
      <c r="CH11" s="48">
        <v>10.382999999999999</v>
      </c>
      <c r="CI11" s="3"/>
      <c r="CJ11" s="3"/>
      <c r="CK11" s="3"/>
      <c r="CL11" s="48">
        <v>0.1</v>
      </c>
      <c r="CM11" s="48">
        <v>0</v>
      </c>
      <c r="CN11" s="49">
        <v>0</v>
      </c>
      <c r="CO11" s="49">
        <v>0</v>
      </c>
      <c r="CP11" s="48">
        <v>96.768000000000001</v>
      </c>
      <c r="CQ11" s="48">
        <v>99.141000000000005</v>
      </c>
      <c r="CR11" s="49">
        <v>116.035</v>
      </c>
      <c r="CS11" s="49">
        <v>121.15300000000001</v>
      </c>
      <c r="CT11" s="48">
        <v>0.312</v>
      </c>
      <c r="CU11" s="48">
        <v>0.70099999999999996</v>
      </c>
      <c r="CV11" s="48">
        <v>1.2010000000000001</v>
      </c>
      <c r="CW11" s="48">
        <v>1.198</v>
      </c>
      <c r="CX11" s="48">
        <v>1.5</v>
      </c>
      <c r="CY11" s="48">
        <v>1.002</v>
      </c>
      <c r="CZ11" s="49">
        <v>1.7989999999999999</v>
      </c>
      <c r="DA11" s="48">
        <v>0.79900000000000004</v>
      </c>
      <c r="DB11" s="48">
        <v>1.7030000000000001</v>
      </c>
      <c r="DC11" s="49">
        <v>0</v>
      </c>
      <c r="DD11" s="49">
        <v>0</v>
      </c>
      <c r="DE11" s="48">
        <v>0.18</v>
      </c>
      <c r="DF11" s="49">
        <v>0.104</v>
      </c>
      <c r="DG11" s="48">
        <v>0.216</v>
      </c>
      <c r="DH11" s="48">
        <v>1.829</v>
      </c>
      <c r="DI11" s="49">
        <v>0.81699999999999995</v>
      </c>
      <c r="DJ11" s="48">
        <v>3.1E-2</v>
      </c>
      <c r="DK11" s="48">
        <v>0.79100000000000004</v>
      </c>
      <c r="DL11" s="48">
        <v>0.40400000000000003</v>
      </c>
      <c r="DM11" s="48">
        <v>0.45800000000000002</v>
      </c>
      <c r="DN11" s="48">
        <v>-2.528</v>
      </c>
      <c r="DO11" s="48">
        <v>0.29399999999999998</v>
      </c>
      <c r="DP11" s="49">
        <v>68.653000000000006</v>
      </c>
      <c r="DQ11" s="49">
        <v>61.756999999999998</v>
      </c>
      <c r="DR11" s="48">
        <v>53.162999999999997</v>
      </c>
      <c r="DS11" s="48">
        <v>53.389000000000003</v>
      </c>
      <c r="DT11" s="48">
        <v>6.19</v>
      </c>
      <c r="DU11" s="48">
        <v>6.48</v>
      </c>
      <c r="DV11" s="48">
        <v>10.59</v>
      </c>
      <c r="DW11" s="48">
        <v>8.3000000000000007</v>
      </c>
      <c r="DX11" s="48">
        <v>6.31</v>
      </c>
      <c r="DY11" s="48">
        <v>6.69</v>
      </c>
      <c r="DZ11" s="48">
        <v>10.199999999999999</v>
      </c>
      <c r="EA11" s="48">
        <v>8.24</v>
      </c>
      <c r="EB11" s="48">
        <v>40.65</v>
      </c>
      <c r="EC11" s="48">
        <v>39.89</v>
      </c>
      <c r="ED11" s="48">
        <v>33.31</v>
      </c>
      <c r="EE11" s="48">
        <v>34.76</v>
      </c>
      <c r="EF11" s="48">
        <v>46.85</v>
      </c>
      <c r="EG11" s="48">
        <v>46.94</v>
      </c>
      <c r="EH11" s="48">
        <v>45.9</v>
      </c>
      <c r="EI11" s="48">
        <v>48.7</v>
      </c>
      <c r="EJ11" s="49">
        <v>6.8579999999999997</v>
      </c>
      <c r="EK11" s="48">
        <v>62.610999999999997</v>
      </c>
      <c r="EL11" s="48">
        <v>2.2999999999999998</v>
      </c>
      <c r="EM11" s="48">
        <v>1.85</v>
      </c>
      <c r="EN11" s="49">
        <v>1.22</v>
      </c>
      <c r="EO11" s="49">
        <v>1.24</v>
      </c>
      <c r="EP11" s="48">
        <v>-100.96599999999999</v>
      </c>
      <c r="EQ11" s="48">
        <v>-2.8220000000000001</v>
      </c>
      <c r="ER11" s="48">
        <v>110.44199999999999</v>
      </c>
      <c r="ES11" s="48">
        <v>1.4259999999999999</v>
      </c>
      <c r="ET11" s="48">
        <v>1.59</v>
      </c>
      <c r="EU11" s="48">
        <v>1.393</v>
      </c>
      <c r="EV11" s="48">
        <v>7.7350000000000003</v>
      </c>
      <c r="EW11" s="48">
        <v>2.9289999999999998</v>
      </c>
      <c r="EX11" s="48">
        <v>71.02</v>
      </c>
      <c r="EY11" s="49">
        <v>1.9E-2</v>
      </c>
      <c r="EZ11" s="48">
        <v>0</v>
      </c>
      <c r="FA11" s="49">
        <v>0</v>
      </c>
      <c r="FB11" s="49">
        <v>9.0470000000000006</v>
      </c>
      <c r="FC11" s="49">
        <v>70.337999999999994</v>
      </c>
      <c r="FD11" s="49">
        <v>64.778000000000006</v>
      </c>
      <c r="FE11" s="49">
        <v>80.358000000000004</v>
      </c>
      <c r="FF11" s="49">
        <v>79.242999999999995</v>
      </c>
      <c r="FG11" s="49">
        <v>0.98299999999999998</v>
      </c>
      <c r="FH11" s="49">
        <v>1.01</v>
      </c>
      <c r="FI11" s="48">
        <v>0.995</v>
      </c>
      <c r="FJ11" s="48">
        <v>0.997</v>
      </c>
      <c r="FK11" s="48">
        <v>0</v>
      </c>
      <c r="FL11" s="48">
        <v>83</v>
      </c>
      <c r="FM11" s="49">
        <v>3.84</v>
      </c>
      <c r="FN11" s="48">
        <v>-0.37</v>
      </c>
      <c r="FO11" s="49">
        <v>5.28</v>
      </c>
      <c r="FP11" s="48">
        <v>3.7</v>
      </c>
      <c r="FQ11" s="48">
        <v>4.55</v>
      </c>
      <c r="FR11" s="48">
        <v>4.8499999999999996</v>
      </c>
      <c r="FS11" s="48">
        <v>6.5759999999999996</v>
      </c>
      <c r="FT11" s="48">
        <v>1071.5</v>
      </c>
      <c r="FU11" s="48">
        <v>6.32</v>
      </c>
      <c r="FV11" s="49">
        <v>29.36</v>
      </c>
      <c r="FW11" s="48">
        <v>3158.5</v>
      </c>
      <c r="FX11" s="48">
        <v>165000</v>
      </c>
      <c r="FY11" s="48">
        <v>164300</v>
      </c>
      <c r="FZ11" s="48">
        <v>47.021999999999998</v>
      </c>
      <c r="GA11" s="48">
        <v>47.345999999999997</v>
      </c>
      <c r="GB11" s="48">
        <v>2169</v>
      </c>
      <c r="GC11" s="48">
        <v>2171.6</v>
      </c>
      <c r="GD11" s="48">
        <v>2179.6999999999998</v>
      </c>
      <c r="GE11" s="48">
        <v>2262.9</v>
      </c>
      <c r="GF11" s="48">
        <v>1357.8280999999999</v>
      </c>
      <c r="GG11" s="49">
        <v>29</v>
      </c>
      <c r="GH11" s="49">
        <v>29.2</v>
      </c>
      <c r="GI11" s="48">
        <v>45.5</v>
      </c>
      <c r="GJ11" s="48">
        <v>50.9</v>
      </c>
      <c r="GK11" s="48">
        <v>98.5</v>
      </c>
      <c r="GL11" s="48">
        <v>109.5</v>
      </c>
      <c r="GM11" s="49">
        <v>0</v>
      </c>
      <c r="GN11" s="48">
        <v>24.843</v>
      </c>
      <c r="GO11" s="48">
        <v>110.44199999999999</v>
      </c>
      <c r="GP11" s="49">
        <v>0</v>
      </c>
      <c r="GQ11" s="49">
        <v>5.782</v>
      </c>
      <c r="GR11" s="49">
        <v>0</v>
      </c>
      <c r="GS11" s="49">
        <v>4.8380000000000001</v>
      </c>
      <c r="GT11" s="49">
        <v>0</v>
      </c>
      <c r="GU11" s="49">
        <v>5.9589999999999996</v>
      </c>
      <c r="GV11" s="49">
        <v>0</v>
      </c>
      <c r="GW11" s="48">
        <v>12.455</v>
      </c>
      <c r="GX11" s="49">
        <v>20.972000000000001</v>
      </c>
      <c r="GY11" s="49">
        <v>0</v>
      </c>
      <c r="GZ11" s="49">
        <v>0.68400000000000005</v>
      </c>
      <c r="HA11" s="49">
        <v>24.99</v>
      </c>
      <c r="HB11" s="49">
        <v>1</v>
      </c>
      <c r="HC11" s="48">
        <v>33.935000000000002</v>
      </c>
      <c r="HD11" s="48">
        <v>86</v>
      </c>
      <c r="HE11" s="49">
        <v>0</v>
      </c>
      <c r="HF11" s="49">
        <v>0</v>
      </c>
      <c r="HG11" s="48">
        <v>73.73</v>
      </c>
      <c r="HH11" s="48">
        <v>80.81</v>
      </c>
      <c r="HI11" s="49">
        <v>0</v>
      </c>
      <c r="HJ11" s="49">
        <v>0</v>
      </c>
      <c r="HK11" s="49">
        <v>0</v>
      </c>
      <c r="HL11" s="48">
        <v>57</v>
      </c>
      <c r="HM11" s="49">
        <v>50</v>
      </c>
      <c r="HN11" s="49">
        <v>64</v>
      </c>
      <c r="HO11" s="49">
        <v>58</v>
      </c>
      <c r="HP11" s="49">
        <v>61</v>
      </c>
      <c r="HQ11" s="49">
        <v>59</v>
      </c>
      <c r="HR11" s="49">
        <v>52</v>
      </c>
      <c r="HS11" s="48">
        <v>62</v>
      </c>
      <c r="HT11" s="48">
        <v>-1.407</v>
      </c>
      <c r="HU11" s="49">
        <v>0</v>
      </c>
      <c r="HV11" s="48">
        <v>0.40200000000000002</v>
      </c>
      <c r="HW11" s="48">
        <v>38.119999999999997</v>
      </c>
      <c r="HX11" s="49">
        <v>48.18</v>
      </c>
      <c r="HY11" s="3"/>
      <c r="HZ11" s="3"/>
      <c r="IA11" s="49">
        <v>2.8069999999999999</v>
      </c>
      <c r="IB11" s="49">
        <v>103</v>
      </c>
      <c r="IC11" s="48">
        <v>21.882999999999999</v>
      </c>
      <c r="ID11" s="48">
        <v>-0.30599999999999999</v>
      </c>
      <c r="IE11" s="48">
        <v>-0.17100000000000001</v>
      </c>
      <c r="IF11" s="48">
        <v>819.2</v>
      </c>
      <c r="IG11" s="48">
        <v>734.1</v>
      </c>
      <c r="IH11" s="48">
        <v>815.4</v>
      </c>
      <c r="II11" s="48">
        <v>748.2</v>
      </c>
      <c r="IJ11" s="48">
        <v>-3.7999999999999999E-2</v>
      </c>
      <c r="IK11" s="48">
        <v>2E-3</v>
      </c>
      <c r="IL11" s="48">
        <v>95.932000000000002</v>
      </c>
      <c r="IM11" s="48">
        <v>95.932000000000002</v>
      </c>
      <c r="IN11" s="48">
        <v>14.2</v>
      </c>
      <c r="IO11" s="48">
        <v>0.22600000000000001</v>
      </c>
      <c r="IP11" s="48">
        <v>9.24</v>
      </c>
      <c r="IQ11" s="48">
        <v>0</v>
      </c>
      <c r="IR11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FB3FB-31BE-4743-9CAA-1DB6D026D0DF}">
  <sheetPr codeName="Sheet4"/>
  <dimension ref="B1:IR11"/>
  <sheetViews>
    <sheetView tabSelected="1"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358</v>
      </c>
      <c r="C1" t="s">
        <v>410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x14ac:dyDescent="0.25">
      <c r="B7" s="2" t="s">
        <v>409</v>
      </c>
      <c r="C7" s="2" t="s">
        <v>41</v>
      </c>
      <c r="D7" s="57">
        <v>3.457638888888889E-3</v>
      </c>
      <c r="E7" s="48">
        <v>298.74400000000003</v>
      </c>
      <c r="F7" s="48">
        <v>328.48</v>
      </c>
      <c r="G7" s="48">
        <v>5.76</v>
      </c>
      <c r="H7" s="48">
        <v>25.6</v>
      </c>
      <c r="I7" s="49">
        <v>0</v>
      </c>
      <c r="J7" s="48">
        <v>71.400000000000006</v>
      </c>
      <c r="K7" s="49">
        <v>6</v>
      </c>
      <c r="L7" s="49">
        <v>6</v>
      </c>
      <c r="M7" s="49">
        <v>7</v>
      </c>
      <c r="N7" s="49">
        <v>2</v>
      </c>
      <c r="O7" s="49">
        <v>3</v>
      </c>
      <c r="P7" s="48">
        <v>0.44700000000000001</v>
      </c>
      <c r="Q7" s="48">
        <v>0.76900000000000002</v>
      </c>
      <c r="R7" s="48">
        <v>0.49</v>
      </c>
      <c r="S7" s="49">
        <v>0.35299999999999998</v>
      </c>
      <c r="T7" s="48">
        <v>55.09</v>
      </c>
      <c r="U7" s="49">
        <v>60.917000000000002</v>
      </c>
      <c r="V7" s="48">
        <v>218.34</v>
      </c>
      <c r="W7" s="48">
        <v>235</v>
      </c>
      <c r="X7" s="48">
        <v>140</v>
      </c>
      <c r="Y7" s="48">
        <v>167.5</v>
      </c>
      <c r="Z7" s="48">
        <v>343.51</v>
      </c>
      <c r="AA7" s="48">
        <v>366.32</v>
      </c>
      <c r="AB7" s="48">
        <v>219.12</v>
      </c>
      <c r="AC7" s="48">
        <v>270.56</v>
      </c>
      <c r="AD7" s="48">
        <v>1.823</v>
      </c>
      <c r="AE7" s="48">
        <v>1.8360000000000001</v>
      </c>
      <c r="AF7" s="48">
        <v>1.8049999999999999</v>
      </c>
      <c r="AG7" s="48">
        <v>1.831</v>
      </c>
      <c r="AH7" s="48">
        <v>70.37</v>
      </c>
      <c r="AI7" s="48">
        <v>62.51</v>
      </c>
      <c r="AJ7" s="48">
        <v>90.16</v>
      </c>
      <c r="AK7" s="48">
        <v>89.29</v>
      </c>
      <c r="AL7" s="48">
        <v>619.399</v>
      </c>
      <c r="AM7" s="48">
        <v>664.77800000000002</v>
      </c>
      <c r="AN7" s="48">
        <v>805.03300000000002</v>
      </c>
      <c r="AO7" s="48">
        <v>771.17899999999997</v>
      </c>
      <c r="AP7" s="49">
        <v>1.429</v>
      </c>
      <c r="AQ7" s="48">
        <v>1.8979999999999999</v>
      </c>
      <c r="AR7" s="49">
        <v>43.402999999999999</v>
      </c>
      <c r="AS7" s="49">
        <v>40.890999999999998</v>
      </c>
      <c r="AT7" s="49">
        <v>84</v>
      </c>
      <c r="AU7" s="48">
        <v>116</v>
      </c>
      <c r="AV7" s="48">
        <v>1.5805</v>
      </c>
      <c r="AW7" s="48">
        <v>4.4134000000000002</v>
      </c>
      <c r="AX7" s="49">
        <v>1020.1</v>
      </c>
      <c r="AY7" s="49">
        <v>2.89</v>
      </c>
      <c r="AZ7" s="49">
        <v>4.41</v>
      </c>
      <c r="BA7" s="49">
        <v>65.602000000000004</v>
      </c>
      <c r="BB7" s="49">
        <v>66.3</v>
      </c>
      <c r="BC7" s="48">
        <v>7769</v>
      </c>
      <c r="BD7" s="48">
        <v>89</v>
      </c>
      <c r="BE7" s="48">
        <v>15.565</v>
      </c>
      <c r="BF7" s="48">
        <v>13.205</v>
      </c>
      <c r="BG7" s="48">
        <v>28.31</v>
      </c>
      <c r="BH7" s="49">
        <v>29.84</v>
      </c>
      <c r="BI7" s="49">
        <v>65.328999999999994</v>
      </c>
      <c r="BJ7" s="48">
        <v>80.89</v>
      </c>
      <c r="BK7" s="49">
        <v>63.683999999999997</v>
      </c>
      <c r="BL7" s="48">
        <v>78.507000000000005</v>
      </c>
      <c r="BM7" s="48">
        <v>78.298000000000002</v>
      </c>
      <c r="BN7" s="49">
        <v>133.672</v>
      </c>
      <c r="BO7" s="49">
        <v>139.68799999999999</v>
      </c>
      <c r="BP7" s="48">
        <v>129.72</v>
      </c>
      <c r="BQ7" s="48">
        <v>131.864</v>
      </c>
      <c r="BR7" s="48">
        <v>57.972000000000001</v>
      </c>
      <c r="BS7" s="48">
        <v>25.3</v>
      </c>
      <c r="BT7" s="48">
        <v>7194.3829999999998</v>
      </c>
      <c r="BU7" s="49">
        <v>54.183</v>
      </c>
      <c r="BV7" s="49">
        <v>55.414999999999999</v>
      </c>
      <c r="BW7" s="49">
        <v>55.636000000000003</v>
      </c>
      <c r="BX7" s="48">
        <v>56.11</v>
      </c>
      <c r="BY7" s="48">
        <v>1.4390000000000001</v>
      </c>
      <c r="BZ7" s="48">
        <v>2.218</v>
      </c>
      <c r="CA7" s="48">
        <v>2.9670000000000001</v>
      </c>
      <c r="CB7" s="48">
        <v>2.9329999999999998</v>
      </c>
      <c r="CC7" s="48">
        <v>1.048</v>
      </c>
      <c r="CD7" s="48">
        <v>2.4630000000000001</v>
      </c>
      <c r="CE7" s="49">
        <v>1.381</v>
      </c>
      <c r="CF7" s="49">
        <v>2.2040000000000002</v>
      </c>
      <c r="CG7" s="48">
        <v>13.555</v>
      </c>
      <c r="CH7" s="49">
        <v>9.91</v>
      </c>
      <c r="CI7" s="49">
        <v>4.8250000000000002</v>
      </c>
      <c r="CJ7" s="49">
        <v>4.01</v>
      </c>
      <c r="CK7" s="48">
        <v>1.0489999999999999</v>
      </c>
      <c r="CL7" s="48">
        <v>0.1</v>
      </c>
      <c r="CM7" s="48">
        <v>0.4</v>
      </c>
      <c r="CN7" s="49">
        <v>0</v>
      </c>
      <c r="CO7" s="49">
        <v>0</v>
      </c>
      <c r="CP7" s="49">
        <v>109.23399999999999</v>
      </c>
      <c r="CQ7" s="49">
        <v>112.61799999999999</v>
      </c>
      <c r="CR7" s="48">
        <v>110.258</v>
      </c>
      <c r="CS7" s="48">
        <v>113.425</v>
      </c>
      <c r="CT7" s="48">
        <v>0.27500000000000002</v>
      </c>
      <c r="CU7" s="49">
        <v>1.5</v>
      </c>
      <c r="CV7" s="49">
        <v>2.0939999999999999</v>
      </c>
      <c r="CW7" s="48">
        <v>1.8009999999999999</v>
      </c>
      <c r="CX7" s="49">
        <v>2.194</v>
      </c>
      <c r="CY7" s="48">
        <v>0.89800000000000002</v>
      </c>
      <c r="CZ7" s="48">
        <v>1.6</v>
      </c>
      <c r="DA7" s="48">
        <v>0.89900000000000002</v>
      </c>
      <c r="DB7" s="48">
        <v>1.8</v>
      </c>
      <c r="DC7" s="49">
        <v>0</v>
      </c>
      <c r="DD7" s="49">
        <v>0</v>
      </c>
      <c r="DE7" s="48">
        <v>0.16700000000000001</v>
      </c>
      <c r="DF7" s="49">
        <v>0.105</v>
      </c>
      <c r="DG7" s="48">
        <v>0.28199999999999997</v>
      </c>
      <c r="DH7" s="48">
        <v>1.55</v>
      </c>
      <c r="DI7" s="49">
        <v>0.94</v>
      </c>
      <c r="DJ7" s="48">
        <v>9.5000000000000001E-2</v>
      </c>
      <c r="DK7" s="48">
        <v>0.77300000000000002</v>
      </c>
      <c r="DL7" s="49">
        <v>0.41099999999999998</v>
      </c>
      <c r="DM7" s="48">
        <v>0.50600000000000001</v>
      </c>
      <c r="DN7" s="48">
        <v>2.5000000000000001E-2</v>
      </c>
      <c r="DO7" s="49">
        <v>0.42899999999999999</v>
      </c>
      <c r="DP7" s="48">
        <v>63.33</v>
      </c>
      <c r="DQ7" s="48">
        <v>59.701999999999998</v>
      </c>
      <c r="DR7" s="49">
        <v>55.33</v>
      </c>
      <c r="DS7" s="48">
        <v>52.33</v>
      </c>
      <c r="DT7" s="48">
        <v>3.69</v>
      </c>
      <c r="DU7" s="48">
        <v>4.53</v>
      </c>
      <c r="DV7" s="48">
        <v>7.28</v>
      </c>
      <c r="DW7" s="48">
        <v>5.54</v>
      </c>
      <c r="DX7" s="48">
        <v>3.99</v>
      </c>
      <c r="DY7" s="48">
        <v>4.54</v>
      </c>
      <c r="DZ7" s="48">
        <v>6.7</v>
      </c>
      <c r="EA7" s="48">
        <v>5.21</v>
      </c>
      <c r="EB7" s="48">
        <v>35.17</v>
      </c>
      <c r="EC7" s="48">
        <v>34.65</v>
      </c>
      <c r="ED7" s="48">
        <v>29.74</v>
      </c>
      <c r="EE7" s="48">
        <v>33.25</v>
      </c>
      <c r="EF7" s="49">
        <v>57.14</v>
      </c>
      <c r="EG7" s="48">
        <v>56.28</v>
      </c>
      <c r="EH7" s="48">
        <v>56.27</v>
      </c>
      <c r="EI7" s="48">
        <v>55.99</v>
      </c>
      <c r="EJ7" s="48">
        <v>6.556</v>
      </c>
      <c r="EK7" s="48">
        <v>61.942999999999998</v>
      </c>
      <c r="EL7" s="49">
        <v>2.7</v>
      </c>
      <c r="EM7" s="48">
        <v>1.85</v>
      </c>
      <c r="EN7" s="48">
        <v>1.19</v>
      </c>
      <c r="EO7" s="48">
        <v>1.2</v>
      </c>
      <c r="EP7" s="48">
        <v>-101.842</v>
      </c>
      <c r="EQ7" s="48">
        <v>-1.84</v>
      </c>
      <c r="ER7" s="49">
        <v>99.054000000000002</v>
      </c>
      <c r="ES7" s="48">
        <v>1.244</v>
      </c>
      <c r="ET7" s="48">
        <v>1.304</v>
      </c>
      <c r="EU7" s="48">
        <v>1.2130000000000001</v>
      </c>
      <c r="EV7" s="48">
        <v>7.5670000000000002</v>
      </c>
      <c r="EW7" s="48">
        <v>2.661</v>
      </c>
      <c r="EX7" s="48">
        <v>-287.76</v>
      </c>
      <c r="EY7" s="48">
        <v>0</v>
      </c>
      <c r="EZ7" s="48">
        <v>0</v>
      </c>
      <c r="FA7" s="49">
        <v>0</v>
      </c>
      <c r="FB7" s="48">
        <v>7.9720000000000004</v>
      </c>
      <c r="FC7" s="48">
        <v>68.778000000000006</v>
      </c>
      <c r="FD7" s="48">
        <v>64.200999999999993</v>
      </c>
      <c r="FE7" s="49">
        <v>76.14</v>
      </c>
      <c r="FF7" s="49">
        <v>75.125</v>
      </c>
      <c r="FG7" s="48">
        <v>0.96299999999999997</v>
      </c>
      <c r="FH7" s="48">
        <v>0.96799999999999997</v>
      </c>
      <c r="FI7" s="48">
        <v>0.998</v>
      </c>
      <c r="FJ7" s="48">
        <v>1.0009999999999999</v>
      </c>
      <c r="FK7" s="49">
        <v>0.10100000000000001</v>
      </c>
      <c r="FL7" s="49">
        <v>86</v>
      </c>
      <c r="FM7" s="49">
        <v>3.72</v>
      </c>
      <c r="FN7" s="48">
        <v>-0.41</v>
      </c>
      <c r="FO7" s="49">
        <v>4.4400000000000004</v>
      </c>
      <c r="FP7" s="49">
        <v>0.55000000000000004</v>
      </c>
      <c r="FQ7" s="49">
        <v>4.3499999999999996</v>
      </c>
      <c r="FR7" s="48">
        <v>5</v>
      </c>
      <c r="FS7" s="49">
        <v>6.5220000000000002</v>
      </c>
      <c r="FT7" s="48">
        <v>1075.5</v>
      </c>
      <c r="FU7" s="49">
        <v>6.41</v>
      </c>
      <c r="FV7" s="48">
        <v>5.76</v>
      </c>
      <c r="FW7" s="49">
        <v>3046</v>
      </c>
      <c r="FX7" s="49">
        <v>163000</v>
      </c>
      <c r="FY7" s="49">
        <v>163900</v>
      </c>
      <c r="FZ7" s="49">
        <v>47.970999999999997</v>
      </c>
      <c r="GA7" s="48">
        <v>48.171999999999997</v>
      </c>
      <c r="GB7" s="48">
        <v>2162.4</v>
      </c>
      <c r="GC7" s="48">
        <v>2164</v>
      </c>
      <c r="GD7" s="48">
        <v>2263.8000000000002</v>
      </c>
      <c r="GE7" s="48">
        <v>2262.1999999999998</v>
      </c>
      <c r="GF7" s="48">
        <v>1409.2655999999999</v>
      </c>
      <c r="GG7" s="49">
        <v>30</v>
      </c>
      <c r="GH7" s="48">
        <v>29.7</v>
      </c>
      <c r="GI7" s="49">
        <v>50.5</v>
      </c>
      <c r="GJ7" s="48">
        <v>55.8</v>
      </c>
      <c r="GK7" s="49">
        <v>97</v>
      </c>
      <c r="GL7" s="48">
        <v>111.1</v>
      </c>
      <c r="GM7" s="49">
        <v>0</v>
      </c>
      <c r="GN7" s="48">
        <v>23.843</v>
      </c>
      <c r="GO7" s="48">
        <v>101.842</v>
      </c>
      <c r="GP7" s="49">
        <v>0</v>
      </c>
      <c r="GQ7" s="48">
        <v>3.8940000000000001</v>
      </c>
      <c r="GR7" s="49">
        <v>0</v>
      </c>
      <c r="GS7" s="48">
        <v>4.0119999999999996</v>
      </c>
      <c r="GT7" s="49">
        <v>0</v>
      </c>
      <c r="GU7" s="48">
        <v>4.1890000000000001</v>
      </c>
      <c r="GV7" s="49">
        <v>0</v>
      </c>
      <c r="GW7" s="49">
        <v>0.02</v>
      </c>
      <c r="GX7" s="49">
        <v>19.795999999999999</v>
      </c>
      <c r="GY7" s="49">
        <v>0</v>
      </c>
      <c r="GZ7" s="48">
        <v>10.821999999999999</v>
      </c>
      <c r="HA7" s="48">
        <v>20.58</v>
      </c>
      <c r="HB7" s="49">
        <v>1</v>
      </c>
      <c r="HC7" s="48">
        <v>33.64</v>
      </c>
      <c r="HD7" s="49">
        <v>90</v>
      </c>
      <c r="HE7" s="49">
        <v>0</v>
      </c>
      <c r="HF7" s="49">
        <v>0</v>
      </c>
      <c r="HG7" s="49">
        <v>78.459999999999994</v>
      </c>
      <c r="HH7" s="49">
        <v>100</v>
      </c>
      <c r="HI7" s="49">
        <v>0</v>
      </c>
      <c r="HJ7" s="49">
        <v>0</v>
      </c>
      <c r="HK7" s="49">
        <v>0</v>
      </c>
      <c r="HL7" s="49">
        <v>63</v>
      </c>
      <c r="HM7" s="49">
        <v>51</v>
      </c>
      <c r="HN7" s="48">
        <v>64</v>
      </c>
      <c r="HO7" s="48">
        <v>57</v>
      </c>
      <c r="HP7" s="48">
        <v>61</v>
      </c>
      <c r="HQ7" s="49">
        <v>59</v>
      </c>
      <c r="HR7" s="48">
        <v>53</v>
      </c>
      <c r="HS7" s="49">
        <v>70</v>
      </c>
      <c r="HT7" s="48">
        <v>-1.4139999999999999</v>
      </c>
      <c r="HU7" s="49">
        <v>0</v>
      </c>
      <c r="HV7" s="48">
        <v>0.24199999999999999</v>
      </c>
      <c r="HW7" s="48">
        <v>42.11</v>
      </c>
      <c r="HX7" s="48">
        <v>45.08</v>
      </c>
      <c r="HY7" s="3"/>
      <c r="HZ7" s="3"/>
      <c r="IA7" s="48">
        <v>2.6850000000000001</v>
      </c>
      <c r="IB7" s="48">
        <v>100</v>
      </c>
      <c r="IC7" s="48">
        <v>19.13</v>
      </c>
      <c r="ID7" s="48">
        <v>-0.154</v>
      </c>
      <c r="IE7" s="48">
        <v>-8.1000000000000003E-2</v>
      </c>
      <c r="IF7" s="48">
        <v>805.9</v>
      </c>
      <c r="IG7" s="48">
        <v>670.6</v>
      </c>
      <c r="IH7" s="48">
        <v>807.1</v>
      </c>
      <c r="II7" s="48">
        <v>685.2</v>
      </c>
      <c r="IJ7" s="48">
        <v>-1E-3</v>
      </c>
      <c r="IK7" s="48">
        <v>7.0000000000000001E-3</v>
      </c>
      <c r="IL7" s="48">
        <v>154.096</v>
      </c>
      <c r="IM7" s="48">
        <v>154.096</v>
      </c>
      <c r="IN7" s="48">
        <v>14.9</v>
      </c>
      <c r="IO7" s="48">
        <v>0.159</v>
      </c>
      <c r="IP7" s="49">
        <v>9.31</v>
      </c>
      <c r="IQ7" s="48">
        <v>8.9999999999999993E-3</v>
      </c>
      <c r="IR7" s="48">
        <v>4.0000000000000001E-3</v>
      </c>
    </row>
    <row r="8" spans="2:252" x14ac:dyDescent="0.25">
      <c r="B8" s="2" t="s">
        <v>409</v>
      </c>
      <c r="C8" s="2" t="s">
        <v>42</v>
      </c>
      <c r="D8" s="57">
        <v>3.1888888888888891E-3</v>
      </c>
      <c r="E8" s="48">
        <v>275.56</v>
      </c>
      <c r="F8" s="49">
        <v>331.93</v>
      </c>
      <c r="G8" s="48">
        <v>5.59</v>
      </c>
      <c r="H8" s="49">
        <v>25.8</v>
      </c>
      <c r="I8" s="49">
        <v>0</v>
      </c>
      <c r="J8" s="48">
        <v>10.4</v>
      </c>
      <c r="K8" s="49">
        <v>6</v>
      </c>
      <c r="L8" s="49">
        <v>6</v>
      </c>
      <c r="M8" s="49">
        <v>7</v>
      </c>
      <c r="N8" s="49">
        <v>2</v>
      </c>
      <c r="O8" s="49">
        <v>3</v>
      </c>
      <c r="P8" s="49">
        <v>0.66</v>
      </c>
      <c r="Q8" s="48">
        <v>0.90500000000000003</v>
      </c>
      <c r="R8" s="49">
        <v>0.71599999999999997</v>
      </c>
      <c r="S8" s="3"/>
      <c r="T8" s="48">
        <v>62.41</v>
      </c>
      <c r="U8" s="48">
        <v>60.054000000000002</v>
      </c>
      <c r="V8" s="48">
        <v>203.34</v>
      </c>
      <c r="W8" s="48">
        <v>231.66</v>
      </c>
      <c r="X8" s="48">
        <v>185</v>
      </c>
      <c r="Y8" s="48">
        <v>220</v>
      </c>
      <c r="Z8" s="48">
        <v>382.33</v>
      </c>
      <c r="AA8" s="49">
        <v>409.23</v>
      </c>
      <c r="AB8" s="49">
        <v>297.18</v>
      </c>
      <c r="AC8" s="49">
        <v>358.71</v>
      </c>
      <c r="AD8" s="49">
        <v>1.8380000000000001</v>
      </c>
      <c r="AE8" s="49">
        <v>1.843</v>
      </c>
      <c r="AF8" s="49">
        <v>1.843</v>
      </c>
      <c r="AG8" s="49">
        <v>1.8580000000000001</v>
      </c>
      <c r="AH8" s="49">
        <v>75.8</v>
      </c>
      <c r="AI8" s="49">
        <v>67.16</v>
      </c>
      <c r="AJ8" s="49">
        <v>96.45</v>
      </c>
      <c r="AK8" s="49">
        <v>93.85</v>
      </c>
      <c r="AL8" s="49">
        <v>758.51599999999996</v>
      </c>
      <c r="AM8" s="49">
        <v>705.95600000000002</v>
      </c>
      <c r="AN8" s="48">
        <v>928.68299999999999</v>
      </c>
      <c r="AO8" s="49">
        <v>816.32500000000005</v>
      </c>
      <c r="AP8" s="48">
        <v>1.3939999999999999</v>
      </c>
      <c r="AQ8" s="49">
        <v>1.905</v>
      </c>
      <c r="AR8" s="48">
        <v>42.44</v>
      </c>
      <c r="AS8" s="48">
        <v>38.563000000000002</v>
      </c>
      <c r="AT8" s="48">
        <v>83</v>
      </c>
      <c r="AU8" s="49">
        <v>118</v>
      </c>
      <c r="AV8" s="48">
        <v>2.2519999999999998</v>
      </c>
      <c r="AW8" s="48">
        <v>4.4794</v>
      </c>
      <c r="AX8" s="48">
        <v>1018.3</v>
      </c>
      <c r="AY8" s="48">
        <v>2.48</v>
      </c>
      <c r="AZ8" s="48">
        <v>4.8899999999999997</v>
      </c>
      <c r="BA8" s="48">
        <v>70.903000000000006</v>
      </c>
      <c r="BB8" s="48">
        <v>72.739000000000004</v>
      </c>
      <c r="BC8" s="48">
        <v>7787</v>
      </c>
      <c r="BD8" s="48">
        <v>88.75</v>
      </c>
      <c r="BE8" s="49">
        <v>17</v>
      </c>
      <c r="BF8" s="49">
        <v>15.654999999999999</v>
      </c>
      <c r="BG8" s="49">
        <v>31.25</v>
      </c>
      <c r="BH8" s="48">
        <v>29.46</v>
      </c>
      <c r="BI8" s="3"/>
      <c r="BJ8" s="3"/>
      <c r="BK8" s="3"/>
      <c r="BL8" s="3"/>
      <c r="BM8" s="3"/>
      <c r="BN8" s="48">
        <v>128.072</v>
      </c>
      <c r="BO8" s="48">
        <v>130.26400000000001</v>
      </c>
      <c r="BP8" s="49">
        <v>148.52000000000001</v>
      </c>
      <c r="BQ8" s="48">
        <v>147.624</v>
      </c>
      <c r="BR8" s="3"/>
      <c r="BS8" s="49">
        <v>25.4</v>
      </c>
      <c r="BT8" s="48">
        <v>7138.2610000000004</v>
      </c>
      <c r="BU8" s="48">
        <v>46.683999999999997</v>
      </c>
      <c r="BV8" s="48">
        <v>54.206000000000003</v>
      </c>
      <c r="BW8" s="48">
        <v>54.902000000000001</v>
      </c>
      <c r="BX8" s="48">
        <v>56.42</v>
      </c>
      <c r="BY8" s="48">
        <v>1.363</v>
      </c>
      <c r="BZ8" s="49">
        <v>3.0859999999999999</v>
      </c>
      <c r="CA8" s="48">
        <v>3.008</v>
      </c>
      <c r="CB8" s="49">
        <v>4.0579999999999998</v>
      </c>
      <c r="CC8" s="49">
        <v>1.1859999999999999</v>
      </c>
      <c r="CD8" s="48">
        <v>2.5</v>
      </c>
      <c r="CE8" s="48">
        <v>1.3089999999999999</v>
      </c>
      <c r="CF8" s="48">
        <v>2.15</v>
      </c>
      <c r="CG8" s="49">
        <v>13.76</v>
      </c>
      <c r="CH8" s="48">
        <v>13.574999999999999</v>
      </c>
      <c r="CI8" s="48">
        <v>4.4850000000000003</v>
      </c>
      <c r="CJ8" s="48">
        <v>3.2109999999999999</v>
      </c>
      <c r="CK8" s="48">
        <v>1.37</v>
      </c>
      <c r="CL8" s="48">
        <v>0.2</v>
      </c>
      <c r="CM8" s="48">
        <v>0.1</v>
      </c>
      <c r="CN8" s="49">
        <v>0</v>
      </c>
      <c r="CO8" s="49">
        <v>0</v>
      </c>
      <c r="CP8" s="48">
        <v>109.16</v>
      </c>
      <c r="CQ8" s="48">
        <v>110.755</v>
      </c>
      <c r="CR8" s="49">
        <v>124.80800000000001</v>
      </c>
      <c r="CS8" s="48">
        <v>126.488</v>
      </c>
      <c r="CT8" s="48">
        <v>0.40300000000000002</v>
      </c>
      <c r="CU8" s="48">
        <v>0.79800000000000004</v>
      </c>
      <c r="CV8" s="48">
        <v>1.198</v>
      </c>
      <c r="CW8" s="48">
        <v>1.796</v>
      </c>
      <c r="CX8" s="48">
        <v>2.0009999999999999</v>
      </c>
      <c r="CY8" s="49">
        <v>0.998</v>
      </c>
      <c r="CZ8" s="48">
        <v>1.595</v>
      </c>
      <c r="DA8" s="48">
        <v>1</v>
      </c>
      <c r="DB8" s="48">
        <v>1.5029999999999999</v>
      </c>
      <c r="DC8" s="49">
        <v>0</v>
      </c>
      <c r="DD8" s="49">
        <v>0</v>
      </c>
      <c r="DE8" s="48">
        <v>0.17699999999999999</v>
      </c>
      <c r="DF8" s="48">
        <v>0.08</v>
      </c>
      <c r="DG8" s="48">
        <v>0.28999999999999998</v>
      </c>
      <c r="DH8" s="48">
        <v>1.7629999999999999</v>
      </c>
      <c r="DI8" s="48">
        <v>0.93899999999999995</v>
      </c>
      <c r="DJ8" s="48">
        <v>9.1999999999999998E-2</v>
      </c>
      <c r="DK8" s="49">
        <v>1.032</v>
      </c>
      <c r="DL8" s="48">
        <v>0.39500000000000002</v>
      </c>
      <c r="DM8" s="48">
        <v>0.38500000000000001</v>
      </c>
      <c r="DN8" s="48">
        <v>0.109</v>
      </c>
      <c r="DO8" s="48">
        <v>-0.30599999999999999</v>
      </c>
      <c r="DP8" s="49">
        <v>65.257000000000005</v>
      </c>
      <c r="DQ8" s="49">
        <v>62.396999999999998</v>
      </c>
      <c r="DR8" s="48">
        <v>55.161999999999999</v>
      </c>
      <c r="DS8" s="49">
        <v>52.654000000000003</v>
      </c>
      <c r="DT8" s="48">
        <v>4.6399999999999997</v>
      </c>
      <c r="DU8" s="48">
        <v>4.3099999999999996</v>
      </c>
      <c r="DV8" s="48">
        <v>7.72</v>
      </c>
      <c r="DW8" s="48">
        <v>5.63</v>
      </c>
      <c r="DX8" s="48">
        <v>4.57</v>
      </c>
      <c r="DY8" s="48">
        <v>4.62</v>
      </c>
      <c r="DZ8" s="48">
        <v>7.27</v>
      </c>
      <c r="EA8" s="48">
        <v>5.6</v>
      </c>
      <c r="EB8" s="48">
        <v>42.2</v>
      </c>
      <c r="EC8" s="48">
        <v>42.5</v>
      </c>
      <c r="ED8" s="48">
        <v>35.380000000000003</v>
      </c>
      <c r="EE8" s="48">
        <v>38.06</v>
      </c>
      <c r="EF8" s="48">
        <v>48.58</v>
      </c>
      <c r="EG8" s="48">
        <v>48.57</v>
      </c>
      <c r="EH8" s="48">
        <v>49.62</v>
      </c>
      <c r="EI8" s="48">
        <v>50.71</v>
      </c>
      <c r="EJ8" s="48">
        <v>7.165</v>
      </c>
      <c r="EK8" s="48">
        <v>62.25</v>
      </c>
      <c r="EL8" s="48">
        <v>2.25</v>
      </c>
      <c r="EM8" s="48">
        <v>1.8</v>
      </c>
      <c r="EN8" s="48">
        <v>1.44</v>
      </c>
      <c r="EO8" s="48">
        <v>1.43</v>
      </c>
      <c r="EP8" s="49">
        <v>-133.96199999999999</v>
      </c>
      <c r="EQ8" s="48">
        <v>-2.3439999999999999</v>
      </c>
      <c r="ER8" s="48">
        <v>88.834000000000003</v>
      </c>
      <c r="ES8" s="49">
        <v>1.5409999999999999</v>
      </c>
      <c r="ET8" s="48">
        <v>1.6279999999999999</v>
      </c>
      <c r="EU8" s="49">
        <v>1.5109999999999999</v>
      </c>
      <c r="EV8" s="48">
        <v>7.468</v>
      </c>
      <c r="EW8" s="48">
        <v>2.8439999999999999</v>
      </c>
      <c r="EX8" s="48">
        <v>66.959999999999994</v>
      </c>
      <c r="EY8" s="48">
        <v>0</v>
      </c>
      <c r="EZ8" s="48">
        <v>1.0999999999999999E-2</v>
      </c>
      <c r="FA8" s="49">
        <v>0</v>
      </c>
      <c r="FB8" s="48">
        <v>9.1010000000000009</v>
      </c>
      <c r="FC8" s="49">
        <v>69.546000000000006</v>
      </c>
      <c r="FD8" s="49">
        <v>64.260000000000005</v>
      </c>
      <c r="FE8" s="48">
        <v>76.045000000000002</v>
      </c>
      <c r="FF8" s="48">
        <v>74.302000000000007</v>
      </c>
      <c r="FG8" s="48">
        <v>0.91700000000000004</v>
      </c>
      <c r="FH8" s="48">
        <v>0.91900000000000004</v>
      </c>
      <c r="FI8" s="48">
        <v>0.99299999999999999</v>
      </c>
      <c r="FJ8" s="48">
        <v>0.998</v>
      </c>
      <c r="FK8" s="48">
        <v>0</v>
      </c>
      <c r="FL8" s="48">
        <v>83</v>
      </c>
      <c r="FM8" s="48">
        <v>3.7</v>
      </c>
      <c r="FN8" s="48">
        <v>0.05</v>
      </c>
      <c r="FO8" s="48">
        <v>4.99</v>
      </c>
      <c r="FP8" s="48">
        <v>4.3499999999999996</v>
      </c>
      <c r="FQ8" s="48">
        <v>4.5</v>
      </c>
      <c r="FR8" s="49">
        <v>4.9000000000000004</v>
      </c>
      <c r="FS8" s="48">
        <v>6.4335000000000004</v>
      </c>
      <c r="FT8" s="49">
        <v>1076.3</v>
      </c>
      <c r="FU8" s="48">
        <v>6.21</v>
      </c>
      <c r="FV8" s="48">
        <v>11.35</v>
      </c>
      <c r="FW8" s="48">
        <v>2888.5</v>
      </c>
      <c r="FX8" s="48">
        <v>159400</v>
      </c>
      <c r="FY8" s="48">
        <v>161300</v>
      </c>
      <c r="FZ8" s="48">
        <v>47.689</v>
      </c>
      <c r="GA8" s="48">
        <v>48.408999999999999</v>
      </c>
      <c r="GB8" s="48">
        <v>2145.6</v>
      </c>
      <c r="GC8" s="48">
        <v>2146.1</v>
      </c>
      <c r="GD8" s="48">
        <v>2162.6</v>
      </c>
      <c r="GE8" s="49">
        <v>2305.4</v>
      </c>
      <c r="GF8" s="48">
        <v>1527.5155999999999</v>
      </c>
      <c r="GG8" s="48">
        <v>29</v>
      </c>
      <c r="GH8" s="48">
        <v>28.6</v>
      </c>
      <c r="GI8" s="48">
        <v>46.7</v>
      </c>
      <c r="GJ8" s="48">
        <v>52.4</v>
      </c>
      <c r="GK8" s="48">
        <v>99.5</v>
      </c>
      <c r="GL8" s="49">
        <v>114.4</v>
      </c>
      <c r="GM8" s="49">
        <v>0</v>
      </c>
      <c r="GN8" s="48">
        <v>24.821000000000002</v>
      </c>
      <c r="GO8" s="49">
        <v>133.96199999999999</v>
      </c>
      <c r="GP8" s="48">
        <v>0.94399999999999995</v>
      </c>
      <c r="GQ8" s="48">
        <v>1.8879999999999999</v>
      </c>
      <c r="GR8" s="48">
        <v>1.298</v>
      </c>
      <c r="GS8" s="48">
        <v>2.0059999999999998</v>
      </c>
      <c r="GT8" s="48">
        <v>1.0029999999999999</v>
      </c>
      <c r="GU8" s="48">
        <v>1.829</v>
      </c>
      <c r="GV8" s="49">
        <v>0</v>
      </c>
      <c r="GW8" s="48">
        <v>0</v>
      </c>
      <c r="GX8" s="48">
        <v>0</v>
      </c>
      <c r="GY8" s="48">
        <v>12.25</v>
      </c>
      <c r="GZ8" s="49">
        <v>13.794</v>
      </c>
      <c r="HA8" s="48">
        <v>15.19</v>
      </c>
      <c r="HB8" s="48">
        <v>0</v>
      </c>
      <c r="HC8" s="48">
        <v>36.237000000000002</v>
      </c>
      <c r="HD8" s="49">
        <v>90</v>
      </c>
      <c r="HE8" s="49">
        <v>0</v>
      </c>
      <c r="HF8" s="49">
        <v>0</v>
      </c>
      <c r="HG8" s="48">
        <v>70.53</v>
      </c>
      <c r="HH8" s="48">
        <v>80.099999999999994</v>
      </c>
      <c r="HI8" s="49">
        <v>0</v>
      </c>
      <c r="HJ8" s="49">
        <v>0</v>
      </c>
      <c r="HK8" s="49">
        <v>0</v>
      </c>
      <c r="HL8" s="48">
        <v>60</v>
      </c>
      <c r="HM8" s="49">
        <v>51</v>
      </c>
      <c r="HN8" s="48">
        <v>64</v>
      </c>
      <c r="HO8" s="49">
        <v>58</v>
      </c>
      <c r="HP8" s="49">
        <v>62</v>
      </c>
      <c r="HQ8" s="49">
        <v>59</v>
      </c>
      <c r="HR8" s="48">
        <v>53</v>
      </c>
      <c r="HS8" s="49">
        <v>70</v>
      </c>
      <c r="HT8" s="48">
        <v>-1.4515</v>
      </c>
      <c r="HU8" s="49">
        <v>0</v>
      </c>
      <c r="HV8" s="49">
        <v>0.442</v>
      </c>
      <c r="HW8" s="48">
        <v>41.09</v>
      </c>
      <c r="HX8" s="48">
        <v>45.08</v>
      </c>
      <c r="HY8" s="3"/>
      <c r="HZ8" s="3"/>
      <c r="IA8" s="48">
        <v>2.7229999999999999</v>
      </c>
      <c r="IB8" s="48">
        <v>101</v>
      </c>
      <c r="IC8" s="48">
        <v>20.940999999999999</v>
      </c>
      <c r="ID8" s="48">
        <v>-0.22600000000000001</v>
      </c>
      <c r="IE8" s="48">
        <v>-0.124</v>
      </c>
      <c r="IF8" s="48">
        <v>806.3</v>
      </c>
      <c r="IG8" s="48">
        <v>694.2</v>
      </c>
      <c r="IH8" s="48">
        <v>815.3</v>
      </c>
      <c r="II8" s="48">
        <v>709.4</v>
      </c>
      <c r="IJ8" s="48">
        <v>-8.0000000000000002E-3</v>
      </c>
      <c r="IK8" s="49">
        <v>5.1999999999999998E-2</v>
      </c>
      <c r="IL8" s="48">
        <v>153.63</v>
      </c>
      <c r="IM8" s="48">
        <v>153.63</v>
      </c>
      <c r="IN8" s="48">
        <v>15.512</v>
      </c>
      <c r="IO8" s="48">
        <v>0.28899999999999998</v>
      </c>
      <c r="IP8" s="48">
        <v>9.14</v>
      </c>
      <c r="IQ8" s="48">
        <v>6.0000000000000001E-3</v>
      </c>
      <c r="IR8" s="48">
        <v>6.0000000000000001E-3</v>
      </c>
    </row>
    <row r="9" spans="2:252" x14ac:dyDescent="0.25">
      <c r="B9" s="2" t="s">
        <v>409</v>
      </c>
      <c r="C9" s="2" t="s">
        <v>43</v>
      </c>
      <c r="D9" s="57">
        <v>2.83125E-3</v>
      </c>
      <c r="E9" s="48">
        <v>244.68</v>
      </c>
      <c r="F9" s="48">
        <v>329.08</v>
      </c>
      <c r="G9" s="48">
        <v>5.74</v>
      </c>
      <c r="H9" s="48">
        <v>25.5</v>
      </c>
      <c r="I9" s="49">
        <v>0</v>
      </c>
      <c r="J9" s="48">
        <v>15</v>
      </c>
      <c r="K9" s="49">
        <v>6</v>
      </c>
      <c r="L9" s="49">
        <v>6</v>
      </c>
      <c r="M9" s="49">
        <v>7</v>
      </c>
      <c r="N9" s="49">
        <v>2</v>
      </c>
      <c r="O9" s="49">
        <v>3</v>
      </c>
      <c r="P9" s="48">
        <v>0.58799999999999997</v>
      </c>
      <c r="Q9" s="48">
        <v>1.1240000000000001</v>
      </c>
      <c r="R9" s="48">
        <v>0.48799999999999999</v>
      </c>
      <c r="S9" s="48">
        <v>0.29799999999999999</v>
      </c>
      <c r="T9" s="48">
        <v>73.3</v>
      </c>
      <c r="U9" s="48">
        <v>60.319000000000003</v>
      </c>
      <c r="V9" s="48">
        <v>225</v>
      </c>
      <c r="W9" s="48">
        <v>248.34</v>
      </c>
      <c r="X9" s="48">
        <v>162.5</v>
      </c>
      <c r="Y9" s="48">
        <v>210</v>
      </c>
      <c r="Z9" s="48">
        <v>364.18</v>
      </c>
      <c r="AA9" s="48">
        <v>389.95</v>
      </c>
      <c r="AB9" s="48">
        <v>274.14</v>
      </c>
      <c r="AC9" s="48">
        <v>351.72</v>
      </c>
      <c r="AD9" s="48">
        <v>1.796</v>
      </c>
      <c r="AE9" s="48">
        <v>1.8029999999999999</v>
      </c>
      <c r="AF9" s="48">
        <v>1.8069999999999999</v>
      </c>
      <c r="AG9" s="48">
        <v>1.821</v>
      </c>
      <c r="AH9" s="48">
        <v>68.77</v>
      </c>
      <c r="AI9" s="48">
        <v>60.6</v>
      </c>
      <c r="AJ9" s="48">
        <v>89.33</v>
      </c>
      <c r="AK9" s="48">
        <v>86.66</v>
      </c>
      <c r="AL9" s="48">
        <v>642.25</v>
      </c>
      <c r="AM9" s="48">
        <v>644.29600000000005</v>
      </c>
      <c r="AN9" s="48">
        <v>810.471</v>
      </c>
      <c r="AO9" s="48">
        <v>762.37699999999995</v>
      </c>
      <c r="AP9" s="48">
        <v>1.413</v>
      </c>
      <c r="AQ9" s="48">
        <v>1.8740000000000001</v>
      </c>
      <c r="AR9" s="48">
        <v>40.372</v>
      </c>
      <c r="AS9" s="48">
        <v>37.076000000000001</v>
      </c>
      <c r="AT9" s="48">
        <v>82</v>
      </c>
      <c r="AU9" s="48">
        <v>115</v>
      </c>
      <c r="AV9" s="48">
        <v>1.8485</v>
      </c>
      <c r="AW9" s="48">
        <v>4.5849000000000002</v>
      </c>
      <c r="AX9" s="48">
        <v>1014.2</v>
      </c>
      <c r="AY9" s="48">
        <v>2.41</v>
      </c>
      <c r="AZ9" s="48">
        <v>4.8600000000000003</v>
      </c>
      <c r="BA9" s="48">
        <v>73.822000000000003</v>
      </c>
      <c r="BB9" s="48">
        <v>73.900000000000006</v>
      </c>
      <c r="BC9" s="48">
        <v>7670</v>
      </c>
      <c r="BD9" s="49">
        <v>89.25</v>
      </c>
      <c r="BE9" s="48">
        <v>15.715</v>
      </c>
      <c r="BF9" s="48">
        <v>14.22</v>
      </c>
      <c r="BG9" s="48">
        <v>28.9</v>
      </c>
      <c r="BH9" s="48">
        <v>26.04</v>
      </c>
      <c r="BI9" s="3"/>
      <c r="BJ9" s="3"/>
      <c r="BK9" s="3"/>
      <c r="BL9" s="3"/>
      <c r="BM9" s="3"/>
      <c r="BN9" s="48">
        <v>115.048</v>
      </c>
      <c r="BO9" s="48">
        <v>117.64</v>
      </c>
      <c r="BP9" s="48">
        <v>137.36799999999999</v>
      </c>
      <c r="BQ9" s="48">
        <v>140.96799999999999</v>
      </c>
      <c r="BR9" s="3"/>
      <c r="BS9" s="48">
        <v>25.2</v>
      </c>
      <c r="BT9" s="48">
        <v>7142.442</v>
      </c>
      <c r="BU9" s="48">
        <v>47.988999999999997</v>
      </c>
      <c r="BV9" s="48">
        <v>54.753999999999998</v>
      </c>
      <c r="BW9" s="48">
        <v>54.097999999999999</v>
      </c>
      <c r="BX9" s="48">
        <v>57.225000000000001</v>
      </c>
      <c r="BY9" s="48">
        <v>1.43</v>
      </c>
      <c r="BZ9" s="48">
        <v>2.782</v>
      </c>
      <c r="CA9" s="48">
        <v>2.7330000000000001</v>
      </c>
      <c r="CB9" s="48">
        <v>3.3969999999999998</v>
      </c>
      <c r="CC9" s="48">
        <v>1.0489999999999999</v>
      </c>
      <c r="CD9" s="48">
        <v>2.2890000000000001</v>
      </c>
      <c r="CE9" s="48">
        <v>1.2669999999999999</v>
      </c>
      <c r="CF9" s="48">
        <v>2.0619999999999998</v>
      </c>
      <c r="CG9" s="48">
        <v>13.749000000000001</v>
      </c>
      <c r="CH9" s="48">
        <v>13.56</v>
      </c>
      <c r="CI9" s="48">
        <v>4.6950000000000003</v>
      </c>
      <c r="CJ9" s="48">
        <v>3.7309999999999999</v>
      </c>
      <c r="CK9" s="49">
        <v>1.6619999999999999</v>
      </c>
      <c r="CL9" s="49">
        <v>0.5</v>
      </c>
      <c r="CM9" s="49">
        <v>0.9</v>
      </c>
      <c r="CN9" s="49">
        <v>0</v>
      </c>
      <c r="CO9" s="49">
        <v>0</v>
      </c>
      <c r="CP9" s="48">
        <v>100.672</v>
      </c>
      <c r="CQ9" s="48">
        <v>103.505</v>
      </c>
      <c r="CR9" s="48">
        <v>122.47799999999999</v>
      </c>
      <c r="CS9" s="49">
        <v>127.776</v>
      </c>
      <c r="CT9" s="49">
        <v>0.47</v>
      </c>
      <c r="CU9" s="48">
        <v>0.89900000000000002</v>
      </c>
      <c r="CV9" s="48">
        <v>1.9990000000000001</v>
      </c>
      <c r="CW9" s="48">
        <v>1.9019999999999999</v>
      </c>
      <c r="CX9" s="48">
        <v>1.8979999999999999</v>
      </c>
      <c r="CY9" s="48">
        <v>0.7</v>
      </c>
      <c r="CZ9" s="48">
        <v>1.6</v>
      </c>
      <c r="DA9" s="49">
        <v>1.3009999999999999</v>
      </c>
      <c r="DB9" s="49">
        <v>2.2050000000000001</v>
      </c>
      <c r="DC9" s="49">
        <v>0</v>
      </c>
      <c r="DD9" s="49">
        <v>0</v>
      </c>
      <c r="DE9" s="48">
        <v>0.186</v>
      </c>
      <c r="DF9" s="48">
        <v>7.3999999999999996E-2</v>
      </c>
      <c r="DG9" s="49">
        <v>0.66800000000000004</v>
      </c>
      <c r="DH9" s="48">
        <v>1.478</v>
      </c>
      <c r="DI9" s="48">
        <v>0.73599999999999999</v>
      </c>
      <c r="DJ9" s="49">
        <v>0.187</v>
      </c>
      <c r="DK9" s="48">
        <v>0.95399999999999996</v>
      </c>
      <c r="DL9" s="48">
        <v>0.41</v>
      </c>
      <c r="DM9" s="48">
        <v>0.39400000000000002</v>
      </c>
      <c r="DN9" s="48">
        <v>-0.999</v>
      </c>
      <c r="DO9" s="48">
        <v>0.31900000000000001</v>
      </c>
      <c r="DP9" s="48">
        <v>62.857999999999997</v>
      </c>
      <c r="DQ9" s="48">
        <v>61.436999999999998</v>
      </c>
      <c r="DR9" s="48">
        <v>53.933</v>
      </c>
      <c r="DS9" s="48">
        <v>52.085999999999999</v>
      </c>
      <c r="DT9" s="48">
        <v>4.9800000000000004</v>
      </c>
      <c r="DU9" s="48">
        <v>4.84</v>
      </c>
      <c r="DV9" s="48">
        <v>8.91</v>
      </c>
      <c r="DW9" s="48">
        <v>6.77</v>
      </c>
      <c r="DX9" s="48">
        <v>5.1100000000000003</v>
      </c>
      <c r="DY9" s="48">
        <v>4.96</v>
      </c>
      <c r="DZ9" s="48">
        <v>8.3000000000000007</v>
      </c>
      <c r="EA9" s="48">
        <v>6.57</v>
      </c>
      <c r="EB9" s="48">
        <v>42.46</v>
      </c>
      <c r="EC9" s="49">
        <v>42.63</v>
      </c>
      <c r="ED9" s="49">
        <v>36.17</v>
      </c>
      <c r="EE9" s="49">
        <v>38.75</v>
      </c>
      <c r="EF9" s="48">
        <v>47.44</v>
      </c>
      <c r="EG9" s="48">
        <v>47.57</v>
      </c>
      <c r="EH9" s="48">
        <v>46.62</v>
      </c>
      <c r="EI9" s="48">
        <v>47.92</v>
      </c>
      <c r="EJ9" s="48">
        <v>7.024</v>
      </c>
      <c r="EK9" s="48">
        <v>62.633000000000003</v>
      </c>
      <c r="EL9" s="48">
        <v>2.2000000000000002</v>
      </c>
      <c r="EM9" s="49">
        <v>1.75</v>
      </c>
      <c r="EN9" s="48">
        <v>1.25</v>
      </c>
      <c r="EO9" s="48">
        <v>1.25</v>
      </c>
      <c r="EP9" s="48">
        <v>-98.046000000000006</v>
      </c>
      <c r="EQ9" s="48">
        <v>-2.617</v>
      </c>
      <c r="ER9" s="48">
        <v>82.41</v>
      </c>
      <c r="ES9" s="48">
        <v>1.516</v>
      </c>
      <c r="ET9" s="49">
        <v>1.633</v>
      </c>
      <c r="EU9" s="48">
        <v>1.4810000000000001</v>
      </c>
      <c r="EV9" s="49">
        <v>7.6680000000000001</v>
      </c>
      <c r="EW9" s="48">
        <v>2.867</v>
      </c>
      <c r="EX9" s="48">
        <v>69.06</v>
      </c>
      <c r="EY9" s="49">
        <v>9.9000000000000005E-2</v>
      </c>
      <c r="EZ9" s="49">
        <v>1.9450000000000001</v>
      </c>
      <c r="FA9" s="49">
        <v>0</v>
      </c>
      <c r="FB9" s="48">
        <v>9.0980000000000008</v>
      </c>
      <c r="FC9" s="48">
        <v>67.37</v>
      </c>
      <c r="FD9" s="48">
        <v>62.777000000000001</v>
      </c>
      <c r="FE9" s="48">
        <v>74.984999999999999</v>
      </c>
      <c r="FF9" s="48">
        <v>73.225999999999999</v>
      </c>
      <c r="FG9" s="48">
        <v>0.92300000000000004</v>
      </c>
      <c r="FH9" s="48">
        <v>0.92300000000000004</v>
      </c>
      <c r="FI9" s="48">
        <v>0.998</v>
      </c>
      <c r="FJ9" s="48">
        <v>1.002</v>
      </c>
      <c r="FK9" s="48">
        <v>0</v>
      </c>
      <c r="FL9" s="48">
        <v>83</v>
      </c>
      <c r="FM9" s="48">
        <v>3.54</v>
      </c>
      <c r="FN9" s="49">
        <v>-0.71</v>
      </c>
      <c r="FO9" s="48">
        <v>5.16</v>
      </c>
      <c r="FP9" s="48">
        <v>4.5999999999999996</v>
      </c>
      <c r="FQ9" s="48">
        <v>4.55</v>
      </c>
      <c r="FR9" s="48">
        <v>5.05</v>
      </c>
      <c r="FS9" s="48">
        <v>6.3710000000000004</v>
      </c>
      <c r="FT9" s="48">
        <v>1069.7</v>
      </c>
      <c r="FU9" s="48">
        <v>6.05</v>
      </c>
      <c r="FV9" s="48">
        <v>17.09</v>
      </c>
      <c r="FW9" s="48">
        <v>2961.5</v>
      </c>
      <c r="FX9" s="48">
        <v>160700</v>
      </c>
      <c r="FY9" s="48">
        <v>161200</v>
      </c>
      <c r="FZ9" s="48">
        <v>47.750999999999998</v>
      </c>
      <c r="GA9" s="49">
        <v>48.534999999999997</v>
      </c>
      <c r="GB9" s="48">
        <v>2151.3000000000002</v>
      </c>
      <c r="GC9" s="48">
        <v>2154.1999999999998</v>
      </c>
      <c r="GD9" s="48">
        <v>2170.3000000000002</v>
      </c>
      <c r="GE9" s="48">
        <v>2172.6999999999998</v>
      </c>
      <c r="GF9" s="49">
        <v>1658.1719000000001</v>
      </c>
      <c r="GG9" s="48">
        <v>29</v>
      </c>
      <c r="GH9" s="48">
        <v>29.1</v>
      </c>
      <c r="GI9" s="48">
        <v>46.9</v>
      </c>
      <c r="GJ9" s="48">
        <v>52.4</v>
      </c>
      <c r="GK9" s="48">
        <v>99.5</v>
      </c>
      <c r="GL9" s="48">
        <v>108.1</v>
      </c>
      <c r="GM9" s="49">
        <v>0</v>
      </c>
      <c r="GN9" s="49">
        <v>26.094000000000001</v>
      </c>
      <c r="GO9" s="48">
        <v>98.046000000000006</v>
      </c>
      <c r="GP9" s="48">
        <v>0.88500000000000001</v>
      </c>
      <c r="GQ9" s="48">
        <v>1.9470000000000001</v>
      </c>
      <c r="GR9" s="48">
        <v>1.298</v>
      </c>
      <c r="GS9" s="48">
        <v>2.0059999999999998</v>
      </c>
      <c r="GT9" s="48">
        <v>0.76700000000000002</v>
      </c>
      <c r="GU9" s="48">
        <v>1.829</v>
      </c>
      <c r="GV9" s="49">
        <v>0</v>
      </c>
      <c r="GW9" s="48">
        <v>0</v>
      </c>
      <c r="GX9" s="48">
        <v>0</v>
      </c>
      <c r="GY9" s="48">
        <v>11.858000000000001</v>
      </c>
      <c r="GZ9" s="48">
        <v>13.75</v>
      </c>
      <c r="HA9" s="48">
        <v>15.68</v>
      </c>
      <c r="HB9" s="48">
        <v>0</v>
      </c>
      <c r="HC9" s="49">
        <v>36.314999999999998</v>
      </c>
      <c r="HD9" s="48">
        <v>86</v>
      </c>
      <c r="HE9" s="49">
        <v>0</v>
      </c>
      <c r="HF9" s="49">
        <v>0</v>
      </c>
      <c r="HG9" s="48">
        <v>70.41</v>
      </c>
      <c r="HH9" s="48">
        <v>79.760000000000005</v>
      </c>
      <c r="HI9" s="49">
        <v>0</v>
      </c>
      <c r="HJ9" s="49">
        <v>0</v>
      </c>
      <c r="HK9" s="49">
        <v>0</v>
      </c>
      <c r="HL9" s="48">
        <v>61</v>
      </c>
      <c r="HM9" s="48">
        <v>50</v>
      </c>
      <c r="HN9" s="48">
        <v>64</v>
      </c>
      <c r="HO9" s="49">
        <v>58</v>
      </c>
      <c r="HP9" s="48">
        <v>61</v>
      </c>
      <c r="HQ9" s="49">
        <v>59</v>
      </c>
      <c r="HR9" s="48">
        <v>53</v>
      </c>
      <c r="HS9" s="48">
        <v>62</v>
      </c>
      <c r="HT9" s="48">
        <v>-1.456</v>
      </c>
      <c r="HU9" s="49">
        <v>0</v>
      </c>
      <c r="HV9" s="48">
        <v>9.6000000000000002E-2</v>
      </c>
      <c r="HW9" s="49">
        <v>35.299999999999997</v>
      </c>
      <c r="HX9" s="48">
        <v>46</v>
      </c>
      <c r="HY9" s="49">
        <v>56.22</v>
      </c>
      <c r="HZ9" s="49">
        <v>56.22</v>
      </c>
      <c r="IA9" s="49">
        <v>3.0070000000000001</v>
      </c>
      <c r="IB9" s="48">
        <v>101</v>
      </c>
      <c r="IC9" s="48">
        <v>20.481000000000002</v>
      </c>
      <c r="ID9" s="48">
        <v>-0.11700000000000001</v>
      </c>
      <c r="IE9" s="48">
        <v>-6.3E-2</v>
      </c>
      <c r="IF9" s="48">
        <v>807.1</v>
      </c>
      <c r="IG9" s="48">
        <v>739.4</v>
      </c>
      <c r="IH9" s="49">
        <v>827.3</v>
      </c>
      <c r="II9" s="48">
        <v>751.9</v>
      </c>
      <c r="IJ9" s="49">
        <v>2E-3</v>
      </c>
      <c r="IK9" s="48">
        <v>3.2000000000000001E-2</v>
      </c>
      <c r="IL9" s="48">
        <v>105.727</v>
      </c>
      <c r="IM9" s="48">
        <v>105.727</v>
      </c>
      <c r="IN9" s="48">
        <v>12.699</v>
      </c>
      <c r="IO9" s="48">
        <v>0.36299999999999999</v>
      </c>
      <c r="IP9" s="48">
        <v>9.15</v>
      </c>
      <c r="IQ9" s="48">
        <v>2E-3</v>
      </c>
      <c r="IR9" s="48">
        <v>4.0000000000000001E-3</v>
      </c>
    </row>
    <row r="10" spans="2:252" x14ac:dyDescent="0.25">
      <c r="B10" s="2" t="s">
        <v>409</v>
      </c>
      <c r="C10" s="58" t="s">
        <v>44</v>
      </c>
      <c r="D10" s="59">
        <v>2.5331018518518519E-3</v>
      </c>
      <c r="E10" s="48">
        <v>218.9</v>
      </c>
      <c r="F10" s="48">
        <v>329.12</v>
      </c>
      <c r="G10" s="49">
        <v>6.04</v>
      </c>
      <c r="H10" s="48">
        <v>25.3</v>
      </c>
      <c r="I10" s="49">
        <v>0</v>
      </c>
      <c r="J10" s="48">
        <v>10.4</v>
      </c>
      <c r="K10" s="49">
        <v>6</v>
      </c>
      <c r="L10" s="49">
        <v>6</v>
      </c>
      <c r="M10" s="49">
        <v>7</v>
      </c>
      <c r="N10" s="49">
        <v>2</v>
      </c>
      <c r="O10" s="49">
        <v>3</v>
      </c>
      <c r="P10" s="48">
        <v>0.40799999999999997</v>
      </c>
      <c r="Q10" s="49">
        <v>1.1819999999999999</v>
      </c>
      <c r="R10" s="48">
        <v>0.12</v>
      </c>
      <c r="S10" s="48">
        <v>2.3E-2</v>
      </c>
      <c r="T10" s="49">
        <v>76.39</v>
      </c>
      <c r="U10" s="48">
        <v>60.238</v>
      </c>
      <c r="V10" s="48">
        <v>228.34</v>
      </c>
      <c r="W10" s="48">
        <v>248.34</v>
      </c>
      <c r="X10" s="48">
        <v>150</v>
      </c>
      <c r="Y10" s="48">
        <v>200</v>
      </c>
      <c r="Z10" s="49">
        <v>384</v>
      </c>
      <c r="AA10" s="48">
        <v>407.3</v>
      </c>
      <c r="AB10" s="48">
        <v>280.67</v>
      </c>
      <c r="AC10" s="48">
        <v>357.44</v>
      </c>
      <c r="AD10" s="48">
        <v>1.7969999999999999</v>
      </c>
      <c r="AE10" s="48">
        <v>1.8080000000000001</v>
      </c>
      <c r="AF10" s="48">
        <v>1.819</v>
      </c>
      <c r="AG10" s="48">
        <v>1.8320000000000001</v>
      </c>
      <c r="AH10" s="48">
        <v>71.59</v>
      </c>
      <c r="AI10" s="48">
        <v>63.1</v>
      </c>
      <c r="AJ10" s="48">
        <v>93.1</v>
      </c>
      <c r="AK10" s="48">
        <v>91.14</v>
      </c>
      <c r="AL10" s="48">
        <v>660.23900000000003</v>
      </c>
      <c r="AM10" s="48">
        <v>674.15499999999997</v>
      </c>
      <c r="AN10" s="48">
        <v>848.44200000000001</v>
      </c>
      <c r="AO10" s="48">
        <v>798.87699999999995</v>
      </c>
      <c r="AP10" s="48">
        <v>1.3959999999999999</v>
      </c>
      <c r="AQ10" s="48">
        <v>1.869</v>
      </c>
      <c r="AR10" s="48">
        <v>41.786000000000001</v>
      </c>
      <c r="AS10" s="48">
        <v>38.802999999999997</v>
      </c>
      <c r="AT10" s="48">
        <v>83</v>
      </c>
      <c r="AU10" s="48">
        <v>115</v>
      </c>
      <c r="AV10" s="49">
        <v>1.3839999999999999</v>
      </c>
      <c r="AW10" s="49">
        <v>4.7634999999999996</v>
      </c>
      <c r="AX10" s="48">
        <v>1013.4</v>
      </c>
      <c r="AY10" s="48">
        <v>2.46</v>
      </c>
      <c r="AZ10" s="48">
        <v>4.8899999999999997</v>
      </c>
      <c r="BA10" s="48">
        <v>95.126000000000005</v>
      </c>
      <c r="BB10" s="48">
        <v>95.466999999999999</v>
      </c>
      <c r="BC10" s="49">
        <v>7795</v>
      </c>
      <c r="BD10" s="49">
        <v>89.25</v>
      </c>
      <c r="BE10" s="48">
        <v>14.62</v>
      </c>
      <c r="BF10" s="48">
        <v>11.74</v>
      </c>
      <c r="BG10" s="48">
        <v>29.75</v>
      </c>
      <c r="BH10" s="48">
        <v>29.03</v>
      </c>
      <c r="BI10" s="3"/>
      <c r="BJ10" s="3"/>
      <c r="BK10" s="3"/>
      <c r="BL10" s="3"/>
      <c r="BM10" s="3"/>
      <c r="BN10" s="48">
        <v>102.392</v>
      </c>
      <c r="BO10" s="48">
        <v>104.024</v>
      </c>
      <c r="BP10" s="48">
        <v>124.712</v>
      </c>
      <c r="BQ10" s="48">
        <v>130.12</v>
      </c>
      <c r="BR10" s="3"/>
      <c r="BS10" s="48">
        <v>25</v>
      </c>
      <c r="BT10" s="49">
        <v>7236.0479999999998</v>
      </c>
      <c r="BU10" s="48">
        <v>50.600999999999999</v>
      </c>
      <c r="BV10" s="48">
        <v>53.741999999999997</v>
      </c>
      <c r="BW10" s="48">
        <v>54.762</v>
      </c>
      <c r="BX10" s="48">
        <v>56.462000000000003</v>
      </c>
      <c r="BY10" s="49">
        <v>1.6639999999999999</v>
      </c>
      <c r="BZ10" s="48">
        <v>3.008</v>
      </c>
      <c r="CA10" s="49">
        <v>3.6259999999999999</v>
      </c>
      <c r="CB10" s="48">
        <v>4.0110000000000001</v>
      </c>
      <c r="CC10" s="48">
        <v>0.96599999999999997</v>
      </c>
      <c r="CD10" s="48">
        <v>2.2530000000000001</v>
      </c>
      <c r="CE10" s="48">
        <v>1.29</v>
      </c>
      <c r="CF10" s="48">
        <v>2.141</v>
      </c>
      <c r="CG10" s="48">
        <v>13.738</v>
      </c>
      <c r="CH10" s="48">
        <v>13.531000000000001</v>
      </c>
      <c r="CI10" s="48">
        <v>3.3180000000000001</v>
      </c>
      <c r="CJ10" s="48">
        <v>2.8860000000000001</v>
      </c>
      <c r="CK10" s="48">
        <v>1.1599999999999999</v>
      </c>
      <c r="CL10" s="48">
        <v>0.1</v>
      </c>
      <c r="CM10" s="48">
        <v>0.6</v>
      </c>
      <c r="CN10" s="49">
        <v>0</v>
      </c>
      <c r="CO10" s="49">
        <v>0</v>
      </c>
      <c r="CP10" s="48">
        <v>95.433000000000007</v>
      </c>
      <c r="CQ10" s="48">
        <v>97.16</v>
      </c>
      <c r="CR10" s="48">
        <v>113.148</v>
      </c>
      <c r="CS10" s="48">
        <v>120.87</v>
      </c>
      <c r="CT10" s="48">
        <v>0.40799999999999997</v>
      </c>
      <c r="CU10" s="48">
        <v>0.79700000000000004</v>
      </c>
      <c r="CV10" s="48">
        <v>1.4990000000000001</v>
      </c>
      <c r="CW10" s="48">
        <v>1.401</v>
      </c>
      <c r="CX10" s="48">
        <v>1.8029999999999999</v>
      </c>
      <c r="CY10" s="48">
        <v>0.80100000000000005</v>
      </c>
      <c r="CZ10" s="49">
        <v>2.198</v>
      </c>
      <c r="DA10" s="48">
        <v>0.9</v>
      </c>
      <c r="DB10" s="48">
        <v>1.298</v>
      </c>
      <c r="DC10" s="49">
        <v>0</v>
      </c>
      <c r="DD10" s="49">
        <v>0</v>
      </c>
      <c r="DE10" s="49">
        <v>0.19600000000000001</v>
      </c>
      <c r="DF10" s="48">
        <v>5.5E-2</v>
      </c>
      <c r="DG10" s="48">
        <v>0.58499999999999996</v>
      </c>
      <c r="DH10" s="49">
        <v>2.129</v>
      </c>
      <c r="DI10" s="48">
        <v>0.879</v>
      </c>
      <c r="DJ10" s="48">
        <v>0.11799999999999999</v>
      </c>
      <c r="DK10" s="48">
        <v>0.79700000000000004</v>
      </c>
      <c r="DL10" s="48">
        <v>0.41</v>
      </c>
      <c r="DM10" s="49">
        <v>0.621</v>
      </c>
      <c r="DN10" s="48">
        <v>0.45500000000000002</v>
      </c>
      <c r="DO10" s="48">
        <v>0.35599999999999998</v>
      </c>
      <c r="DP10" s="48">
        <v>64.346999999999994</v>
      </c>
      <c r="DQ10" s="48">
        <v>62.231000000000002</v>
      </c>
      <c r="DR10" s="48">
        <v>53.908000000000001</v>
      </c>
      <c r="DS10" s="48">
        <v>51.756</v>
      </c>
      <c r="DT10" s="49">
        <v>6.13</v>
      </c>
      <c r="DU10" s="49">
        <v>5.93</v>
      </c>
      <c r="DV10" s="49">
        <v>11.6</v>
      </c>
      <c r="DW10" s="49">
        <v>8.52</v>
      </c>
      <c r="DX10" s="49">
        <v>6.37</v>
      </c>
      <c r="DY10" s="49">
        <v>6.28</v>
      </c>
      <c r="DZ10" s="49">
        <v>11.07</v>
      </c>
      <c r="EA10" s="49">
        <v>8.26</v>
      </c>
      <c r="EB10" s="49">
        <v>42.62</v>
      </c>
      <c r="EC10" s="48">
        <v>42.17</v>
      </c>
      <c r="ED10" s="48">
        <v>35.020000000000003</v>
      </c>
      <c r="EE10" s="48">
        <v>37.9</v>
      </c>
      <c r="EF10" s="48">
        <v>44.87</v>
      </c>
      <c r="EG10" s="48">
        <v>45.63</v>
      </c>
      <c r="EH10" s="48">
        <v>42.3</v>
      </c>
      <c r="EI10" s="48">
        <v>45.32</v>
      </c>
      <c r="EJ10" s="48">
        <v>6.6779999999999999</v>
      </c>
      <c r="EK10" s="49">
        <v>62.843000000000004</v>
      </c>
      <c r="EL10" s="48">
        <v>2.2999999999999998</v>
      </c>
      <c r="EM10" s="48">
        <v>1.85</v>
      </c>
      <c r="EN10" s="48">
        <v>1.2</v>
      </c>
      <c r="EO10" s="48">
        <v>1.2</v>
      </c>
      <c r="EP10" s="48">
        <v>-103.886</v>
      </c>
      <c r="EQ10" s="48">
        <v>-2.9950000000000001</v>
      </c>
      <c r="ER10" s="48">
        <v>98.762</v>
      </c>
      <c r="ES10" s="48">
        <v>1.4670000000000001</v>
      </c>
      <c r="ET10" s="48">
        <v>1.63</v>
      </c>
      <c r="EU10" s="48">
        <v>1.4330000000000001</v>
      </c>
      <c r="EV10" s="48">
        <v>7.556</v>
      </c>
      <c r="EW10" s="48">
        <v>2.77</v>
      </c>
      <c r="EX10" s="49">
        <v>74.22</v>
      </c>
      <c r="EY10" s="48">
        <v>4.1000000000000002E-2</v>
      </c>
      <c r="EZ10" s="48">
        <v>0</v>
      </c>
      <c r="FA10" s="49">
        <v>0</v>
      </c>
      <c r="FB10" s="48">
        <v>9.1120000000000001</v>
      </c>
      <c r="FC10" s="48">
        <v>65.772999999999996</v>
      </c>
      <c r="FD10" s="48">
        <v>61.332999999999998</v>
      </c>
      <c r="FE10" s="48">
        <v>74.186000000000007</v>
      </c>
      <c r="FF10" s="48">
        <v>72.84</v>
      </c>
      <c r="FG10" s="48">
        <v>0.92100000000000004</v>
      </c>
      <c r="FH10" s="48">
        <v>0.92200000000000004</v>
      </c>
      <c r="FI10" s="48">
        <v>0.997</v>
      </c>
      <c r="FJ10" s="48">
        <v>1.002</v>
      </c>
      <c r="FK10" s="48">
        <v>0</v>
      </c>
      <c r="FL10" s="48">
        <v>83</v>
      </c>
      <c r="FM10" s="48">
        <v>3.67</v>
      </c>
      <c r="FN10" s="48">
        <v>-0.7</v>
      </c>
      <c r="FO10" s="48">
        <v>4.83</v>
      </c>
      <c r="FP10" s="3"/>
      <c r="FQ10" s="48">
        <v>4.95</v>
      </c>
      <c r="FR10" s="48">
        <v>5.05</v>
      </c>
      <c r="FS10" s="48">
        <v>6.4489999999999998</v>
      </c>
      <c r="FT10" s="48">
        <v>1071.7</v>
      </c>
      <c r="FU10" s="48">
        <v>6.37</v>
      </c>
      <c r="FV10" s="48">
        <v>23.13</v>
      </c>
      <c r="FW10" s="48">
        <v>2962.5</v>
      </c>
      <c r="FX10" s="48">
        <v>160400</v>
      </c>
      <c r="FY10" s="48">
        <v>162500</v>
      </c>
      <c r="FZ10" s="48">
        <v>46.911000000000001</v>
      </c>
      <c r="GA10" s="48">
        <v>47.918999999999997</v>
      </c>
      <c r="GB10" s="49">
        <v>2166.6</v>
      </c>
      <c r="GC10" s="48">
        <v>2166.4</v>
      </c>
      <c r="GD10" s="48">
        <v>2206.4</v>
      </c>
      <c r="GE10" s="48">
        <v>2207.9</v>
      </c>
      <c r="GF10" s="48">
        <v>1381.9375</v>
      </c>
      <c r="GG10" s="48">
        <v>29</v>
      </c>
      <c r="GH10" s="48">
        <v>29.5</v>
      </c>
      <c r="GI10" s="48">
        <v>45.7</v>
      </c>
      <c r="GJ10" s="48">
        <v>51.3</v>
      </c>
      <c r="GK10" s="48">
        <v>99.5</v>
      </c>
      <c r="GL10" s="48">
        <v>107.6</v>
      </c>
      <c r="GM10" s="49">
        <v>0</v>
      </c>
      <c r="GN10" s="48">
        <v>25.363</v>
      </c>
      <c r="GO10" s="48">
        <v>103.886</v>
      </c>
      <c r="GP10" s="48">
        <v>0.76700000000000002</v>
      </c>
      <c r="GQ10" s="48">
        <v>1.8879999999999999</v>
      </c>
      <c r="GR10" s="48">
        <v>1.2390000000000001</v>
      </c>
      <c r="GS10" s="48">
        <v>2.0649999999999999</v>
      </c>
      <c r="GT10" s="48">
        <v>0.76700000000000002</v>
      </c>
      <c r="GU10" s="48">
        <v>1.8879999999999999</v>
      </c>
      <c r="GV10" s="49">
        <v>0</v>
      </c>
      <c r="GW10" s="48">
        <v>0</v>
      </c>
      <c r="GX10" s="48">
        <v>0</v>
      </c>
      <c r="GY10" s="48">
        <v>12.151999999999999</v>
      </c>
      <c r="GZ10" s="48">
        <v>13.644</v>
      </c>
      <c r="HA10" s="48">
        <v>15.288</v>
      </c>
      <c r="HB10" s="48">
        <v>0</v>
      </c>
      <c r="HC10" s="48">
        <v>36.124000000000002</v>
      </c>
      <c r="HD10" s="48">
        <v>82</v>
      </c>
      <c r="HE10" s="49">
        <v>0</v>
      </c>
      <c r="HF10" s="49">
        <v>0</v>
      </c>
      <c r="HG10" s="48">
        <v>71.73</v>
      </c>
      <c r="HH10" s="48">
        <v>80.22</v>
      </c>
      <c r="HI10" s="49">
        <v>0</v>
      </c>
      <c r="HJ10" s="49">
        <v>0</v>
      </c>
      <c r="HK10" s="49">
        <v>0</v>
      </c>
      <c r="HL10" s="48">
        <v>59</v>
      </c>
      <c r="HM10" s="48">
        <v>50</v>
      </c>
      <c r="HN10" s="48">
        <v>64</v>
      </c>
      <c r="HO10" s="49">
        <v>58</v>
      </c>
      <c r="HP10" s="49">
        <v>62</v>
      </c>
      <c r="HQ10" s="49">
        <v>59</v>
      </c>
      <c r="HR10" s="48">
        <v>53</v>
      </c>
      <c r="HS10" s="48">
        <v>62</v>
      </c>
      <c r="HT10" s="49">
        <v>-1.4575</v>
      </c>
      <c r="HU10" s="49">
        <v>0</v>
      </c>
      <c r="HV10" s="48">
        <v>0.374</v>
      </c>
      <c r="HW10" s="49">
        <v>35.299999999999997</v>
      </c>
      <c r="HX10" s="49">
        <v>42.68</v>
      </c>
      <c r="HY10" s="3"/>
      <c r="HZ10" s="3"/>
      <c r="IA10" s="48">
        <v>2.7069999999999999</v>
      </c>
      <c r="IB10" s="49">
        <v>103</v>
      </c>
      <c r="IC10" s="49">
        <v>21.436</v>
      </c>
      <c r="ID10" s="48">
        <v>-0.14299999999999999</v>
      </c>
      <c r="IE10" s="48">
        <v>-8.4000000000000005E-2</v>
      </c>
      <c r="IF10" s="49">
        <v>807.4</v>
      </c>
      <c r="IG10" s="49">
        <v>757.1</v>
      </c>
      <c r="IH10" s="48">
        <v>806.8</v>
      </c>
      <c r="II10" s="49">
        <v>767.6</v>
      </c>
      <c r="IJ10" s="48">
        <v>-2.3E-2</v>
      </c>
      <c r="IK10" s="48">
        <v>2.1000000000000001E-2</v>
      </c>
      <c r="IL10" s="48">
        <v>75.084999999999994</v>
      </c>
      <c r="IM10" s="48">
        <v>75.084999999999994</v>
      </c>
      <c r="IN10" s="48">
        <v>10.516999999999999</v>
      </c>
      <c r="IO10" s="49">
        <v>0.52400000000000002</v>
      </c>
      <c r="IP10" s="48">
        <v>9.07</v>
      </c>
      <c r="IQ10" s="49">
        <v>1.2999999999999999E-2</v>
      </c>
      <c r="IR10" s="49">
        <v>7.0000000000000001E-3</v>
      </c>
    </row>
    <row r="11" spans="2:252" x14ac:dyDescent="0.25">
      <c r="B11" s="2" t="s">
        <v>409</v>
      </c>
      <c r="C11" s="2" t="s">
        <v>45</v>
      </c>
      <c r="D11" s="57">
        <v>5.7333333333333333E-3</v>
      </c>
      <c r="E11" s="49">
        <v>495.36200000000002</v>
      </c>
      <c r="F11" s="48">
        <v>329.95</v>
      </c>
      <c r="G11" s="48">
        <v>-23.13</v>
      </c>
      <c r="H11" s="48">
        <v>25.3</v>
      </c>
      <c r="I11" s="49">
        <v>0</v>
      </c>
      <c r="J11" s="49">
        <v>73.7</v>
      </c>
      <c r="K11" s="49">
        <v>6</v>
      </c>
      <c r="L11" s="49">
        <v>6</v>
      </c>
      <c r="M11" s="49">
        <v>7</v>
      </c>
      <c r="N11" s="49">
        <v>2</v>
      </c>
      <c r="O11" s="49">
        <v>3</v>
      </c>
      <c r="P11" s="48">
        <v>0.42799999999999999</v>
      </c>
      <c r="Q11" s="48">
        <v>0.80300000000000005</v>
      </c>
      <c r="R11" s="48">
        <v>0.17</v>
      </c>
      <c r="S11" s="3"/>
      <c r="T11" s="48">
        <v>75.92</v>
      </c>
      <c r="U11" s="48">
        <v>60.814999999999998</v>
      </c>
      <c r="V11" s="49">
        <v>70</v>
      </c>
      <c r="W11" s="49">
        <v>40</v>
      </c>
      <c r="X11" s="49">
        <v>90</v>
      </c>
      <c r="Y11" s="49">
        <v>90</v>
      </c>
      <c r="Z11" s="48">
        <v>210.16</v>
      </c>
      <c r="AA11" s="48">
        <v>222.65</v>
      </c>
      <c r="AB11" s="48">
        <v>185.1</v>
      </c>
      <c r="AC11" s="48">
        <v>221.51</v>
      </c>
      <c r="AD11" s="48">
        <v>1.7370000000000001</v>
      </c>
      <c r="AE11" s="48">
        <v>1.756</v>
      </c>
      <c r="AF11" s="48">
        <v>1.738</v>
      </c>
      <c r="AG11" s="48">
        <v>1.754</v>
      </c>
      <c r="AH11" s="48">
        <v>61.14</v>
      </c>
      <c r="AI11" s="48">
        <v>52.81</v>
      </c>
      <c r="AJ11" s="48">
        <v>77.92</v>
      </c>
      <c r="AK11" s="48">
        <v>76.45</v>
      </c>
      <c r="AL11" s="48">
        <v>694.06</v>
      </c>
      <c r="AM11" s="48">
        <v>684.577</v>
      </c>
      <c r="AN11" s="49">
        <v>973.57799999999997</v>
      </c>
      <c r="AO11" s="48">
        <v>761.73800000000006</v>
      </c>
      <c r="AP11" s="48">
        <v>1.389</v>
      </c>
      <c r="AQ11" s="48">
        <v>1.865</v>
      </c>
      <c r="AR11" s="48">
        <v>42.722999999999999</v>
      </c>
      <c r="AS11" s="48">
        <v>39.052999999999997</v>
      </c>
      <c r="AT11" s="48">
        <v>83</v>
      </c>
      <c r="AU11" s="48">
        <v>117</v>
      </c>
      <c r="AV11" s="48">
        <v>2.3290000000000002</v>
      </c>
      <c r="AW11" s="48">
        <v>4.6193999999999997</v>
      </c>
      <c r="AX11" s="48">
        <v>1012.3</v>
      </c>
      <c r="AY11" s="48">
        <v>2.4900000000000002</v>
      </c>
      <c r="AZ11" s="48">
        <v>5.16</v>
      </c>
      <c r="BA11" s="48">
        <v>69.408000000000001</v>
      </c>
      <c r="BB11" s="48">
        <v>70.703999999999994</v>
      </c>
      <c r="BC11" s="48">
        <v>7659</v>
      </c>
      <c r="BD11" s="48">
        <v>88.75</v>
      </c>
      <c r="BE11" s="48">
        <v>15.335000000000001</v>
      </c>
      <c r="BF11" s="48">
        <v>13.02</v>
      </c>
      <c r="BG11" s="48">
        <v>28.29</v>
      </c>
      <c r="BH11" s="48">
        <v>24.09</v>
      </c>
      <c r="BI11" s="48">
        <v>65.037000000000006</v>
      </c>
      <c r="BJ11" s="49">
        <v>82.475999999999999</v>
      </c>
      <c r="BK11" s="48">
        <v>63.192999999999998</v>
      </c>
      <c r="BL11" s="49">
        <v>79.593999999999994</v>
      </c>
      <c r="BM11" s="49">
        <v>79.783000000000001</v>
      </c>
      <c r="BN11" s="48">
        <v>118.92</v>
      </c>
      <c r="BO11" s="48">
        <v>121.752</v>
      </c>
      <c r="BP11" s="48">
        <v>144.24799999999999</v>
      </c>
      <c r="BQ11" s="49">
        <v>148.71199999999999</v>
      </c>
      <c r="BR11" s="49">
        <v>59.981000000000002</v>
      </c>
      <c r="BS11" s="48">
        <v>24.8</v>
      </c>
      <c r="BT11" s="48">
        <v>6739.116</v>
      </c>
      <c r="BU11" s="48">
        <v>39.86</v>
      </c>
      <c r="BV11" s="48">
        <v>53.070999999999998</v>
      </c>
      <c r="BW11" s="48">
        <v>54.241999999999997</v>
      </c>
      <c r="BX11" s="49">
        <v>57.277000000000001</v>
      </c>
      <c r="BY11" s="48">
        <v>1.3580000000000001</v>
      </c>
      <c r="BZ11" s="48">
        <v>2.9039999999999999</v>
      </c>
      <c r="CA11" s="48">
        <v>3.0630000000000002</v>
      </c>
      <c r="CB11" s="48">
        <v>3.3879999999999999</v>
      </c>
      <c r="CC11" s="48">
        <v>0.89600000000000002</v>
      </c>
      <c r="CD11" s="49">
        <v>2.5550000000000002</v>
      </c>
      <c r="CE11" s="48">
        <v>1.24</v>
      </c>
      <c r="CF11" s="48">
        <v>2.11</v>
      </c>
      <c r="CG11" s="48">
        <v>13.712999999999999</v>
      </c>
      <c r="CH11" s="48">
        <v>10.504</v>
      </c>
      <c r="CI11" s="3"/>
      <c r="CJ11" s="3"/>
      <c r="CK11" s="3"/>
      <c r="CL11" s="48">
        <v>0.3</v>
      </c>
      <c r="CM11" s="48">
        <v>0</v>
      </c>
      <c r="CN11" s="49">
        <v>0</v>
      </c>
      <c r="CO11" s="49">
        <v>0</v>
      </c>
      <c r="CP11" s="48">
        <v>94.742000000000004</v>
      </c>
      <c r="CQ11" s="48">
        <v>98.176000000000002</v>
      </c>
      <c r="CR11" s="48">
        <v>115.286</v>
      </c>
      <c r="CS11" s="48">
        <v>120.45399999999999</v>
      </c>
      <c r="CT11" s="48">
        <v>0.16</v>
      </c>
      <c r="CU11" s="48">
        <v>0.6</v>
      </c>
      <c r="CV11" s="48">
        <v>1.401</v>
      </c>
      <c r="CW11" s="49">
        <v>2.8010000000000002</v>
      </c>
      <c r="CX11" s="48">
        <v>0.998</v>
      </c>
      <c r="CY11" s="48">
        <v>0.6</v>
      </c>
      <c r="CZ11" s="48">
        <v>0.80500000000000005</v>
      </c>
      <c r="DA11" s="48">
        <v>0.59599999999999997</v>
      </c>
      <c r="DB11" s="48">
        <v>0.999</v>
      </c>
      <c r="DC11" s="49">
        <v>0</v>
      </c>
      <c r="DD11" s="49">
        <v>0</v>
      </c>
      <c r="DE11" s="48">
        <v>7.6999999999999999E-2</v>
      </c>
      <c r="DF11" s="48">
        <v>7.2999999999999995E-2</v>
      </c>
      <c r="DG11" s="48">
        <v>0.10199999999999999</v>
      </c>
      <c r="DH11" s="48">
        <v>0.71799999999999997</v>
      </c>
      <c r="DI11" s="48">
        <v>0.72299999999999998</v>
      </c>
      <c r="DJ11" s="48">
        <v>1E-3</v>
      </c>
      <c r="DK11" s="48">
        <v>0.61099999999999999</v>
      </c>
      <c r="DL11" s="48">
        <v>0.40799999999999997</v>
      </c>
      <c r="DM11" s="48">
        <v>0.48799999999999999</v>
      </c>
      <c r="DN11" s="49">
        <v>0.92900000000000005</v>
      </c>
      <c r="DO11" s="48">
        <v>0.13500000000000001</v>
      </c>
      <c r="DP11" s="48">
        <v>63.162999999999997</v>
      </c>
      <c r="DQ11" s="48">
        <v>61.527000000000001</v>
      </c>
      <c r="DR11" s="48">
        <v>55.088999999999999</v>
      </c>
      <c r="DS11" s="48">
        <v>52.372</v>
      </c>
      <c r="DT11" s="48">
        <v>1.69</v>
      </c>
      <c r="DU11" s="48">
        <v>1.59</v>
      </c>
      <c r="DV11" s="48">
        <v>2.69</v>
      </c>
      <c r="DW11" s="48">
        <v>1.88</v>
      </c>
      <c r="DX11" s="48">
        <v>1.72</v>
      </c>
      <c r="DY11" s="48">
        <v>1.72</v>
      </c>
      <c r="DZ11" s="48">
        <v>2.52</v>
      </c>
      <c r="EA11" s="48">
        <v>1.91</v>
      </c>
      <c r="EB11" s="48">
        <v>39.78</v>
      </c>
      <c r="EC11" s="48">
        <v>39.56</v>
      </c>
      <c r="ED11" s="48">
        <v>33.270000000000003</v>
      </c>
      <c r="EE11" s="48">
        <v>33.4</v>
      </c>
      <c r="EF11" s="48">
        <v>56.81</v>
      </c>
      <c r="EG11" s="49">
        <v>57.13</v>
      </c>
      <c r="EH11" s="49">
        <v>61.51</v>
      </c>
      <c r="EI11" s="49">
        <v>62.79</v>
      </c>
      <c r="EJ11" s="49">
        <v>7.2069999999999999</v>
      </c>
      <c r="EK11" s="48">
        <v>61.542999999999999</v>
      </c>
      <c r="EL11" s="48">
        <v>2.2999999999999998</v>
      </c>
      <c r="EM11" s="48">
        <v>1.9</v>
      </c>
      <c r="EN11" s="49">
        <v>1.62</v>
      </c>
      <c r="EO11" s="49">
        <v>1.6</v>
      </c>
      <c r="EP11" s="48">
        <v>-118.194</v>
      </c>
      <c r="EQ11" s="49">
        <v>-1.1120000000000001</v>
      </c>
      <c r="ER11" s="48">
        <v>93.506</v>
      </c>
      <c r="ES11" s="48">
        <v>1.498</v>
      </c>
      <c r="ET11" s="48">
        <v>1.58</v>
      </c>
      <c r="EU11" s="48">
        <v>1.48</v>
      </c>
      <c r="EV11" s="48">
        <v>7.53</v>
      </c>
      <c r="EW11" s="49">
        <v>2.9369999999999998</v>
      </c>
      <c r="EX11" s="48">
        <v>39.4</v>
      </c>
      <c r="EY11" s="48">
        <v>0</v>
      </c>
      <c r="EZ11" s="48">
        <v>0.26</v>
      </c>
      <c r="FA11" s="49">
        <v>0</v>
      </c>
      <c r="FB11" s="49">
        <v>9.2799999999999994</v>
      </c>
      <c r="FC11" s="48">
        <v>65.281999999999996</v>
      </c>
      <c r="FD11" s="48">
        <v>61.34</v>
      </c>
      <c r="FE11" s="48">
        <v>74.22</v>
      </c>
      <c r="FF11" s="48">
        <v>73.019000000000005</v>
      </c>
      <c r="FG11" s="49">
        <v>1.133</v>
      </c>
      <c r="FH11" s="49">
        <v>1.1240000000000001</v>
      </c>
      <c r="FI11" s="49">
        <v>1</v>
      </c>
      <c r="FJ11" s="49">
        <v>1.0029999999999999</v>
      </c>
      <c r="FK11" s="48">
        <v>0</v>
      </c>
      <c r="FL11" s="48">
        <v>83</v>
      </c>
      <c r="FM11" s="48">
        <v>3.48</v>
      </c>
      <c r="FN11" s="48">
        <v>0.31</v>
      </c>
      <c r="FO11" s="48">
        <v>5.2</v>
      </c>
      <c r="FP11" s="48">
        <v>4.3</v>
      </c>
      <c r="FQ11" s="48">
        <v>4.5999999999999996</v>
      </c>
      <c r="FR11" s="48">
        <v>5</v>
      </c>
      <c r="FS11" s="48">
        <v>6.4145000000000003</v>
      </c>
      <c r="FT11" s="48">
        <v>1069.3</v>
      </c>
      <c r="FU11" s="48">
        <v>6.12</v>
      </c>
      <c r="FV11" s="49">
        <v>27.1</v>
      </c>
      <c r="FW11" s="48">
        <v>2860</v>
      </c>
      <c r="FX11" s="48">
        <v>160900</v>
      </c>
      <c r="FY11" s="48">
        <v>162600</v>
      </c>
      <c r="FZ11" s="48">
        <v>46.679000000000002</v>
      </c>
      <c r="GA11" s="48">
        <v>47.765000000000001</v>
      </c>
      <c r="GB11" s="48">
        <v>2141.4</v>
      </c>
      <c r="GC11" s="49">
        <v>2188.4</v>
      </c>
      <c r="GD11" s="49">
        <v>2404.5</v>
      </c>
      <c r="GE11" s="48">
        <v>2225.4</v>
      </c>
      <c r="GF11" s="48">
        <v>1391.5</v>
      </c>
      <c r="GG11" s="49">
        <v>30</v>
      </c>
      <c r="GH11" s="49">
        <v>30.4</v>
      </c>
      <c r="GI11" s="49">
        <v>50.5</v>
      </c>
      <c r="GJ11" s="49">
        <v>57.2</v>
      </c>
      <c r="GK11" s="49">
        <v>97</v>
      </c>
      <c r="GL11" s="48">
        <v>110.2</v>
      </c>
      <c r="GM11" s="49">
        <v>0</v>
      </c>
      <c r="GN11" s="48">
        <v>23.263000000000002</v>
      </c>
      <c r="GO11" s="48">
        <v>118.194</v>
      </c>
      <c r="GP11" s="49">
        <v>0</v>
      </c>
      <c r="GQ11" s="49">
        <v>5.9</v>
      </c>
      <c r="GR11" s="49">
        <v>0</v>
      </c>
      <c r="GS11" s="49">
        <v>4.484</v>
      </c>
      <c r="GT11" s="49">
        <v>0</v>
      </c>
      <c r="GU11" s="49">
        <v>6.1360000000000001</v>
      </c>
      <c r="GV11" s="49">
        <v>0</v>
      </c>
      <c r="GW11" s="48">
        <v>6.0000000000000001E-3</v>
      </c>
      <c r="GX11" s="48">
        <v>19.501999999999999</v>
      </c>
      <c r="GY11" s="49">
        <v>0</v>
      </c>
      <c r="GZ11" s="48">
        <v>12.356</v>
      </c>
      <c r="HA11" s="49">
        <v>21.07</v>
      </c>
      <c r="HB11" s="48">
        <v>0</v>
      </c>
      <c r="HC11" s="48">
        <v>33.271999999999998</v>
      </c>
      <c r="HD11" s="49">
        <v>90</v>
      </c>
      <c r="HE11" s="49">
        <v>0</v>
      </c>
      <c r="HF11" s="49">
        <v>0</v>
      </c>
      <c r="HG11" s="48">
        <v>71.62</v>
      </c>
      <c r="HH11" s="48">
        <v>79.69</v>
      </c>
      <c r="HI11" s="49">
        <v>0</v>
      </c>
      <c r="HJ11" s="49">
        <v>0</v>
      </c>
      <c r="HK11" s="49">
        <v>0</v>
      </c>
      <c r="HL11" s="48">
        <v>59</v>
      </c>
      <c r="HM11" s="48">
        <v>50</v>
      </c>
      <c r="HN11" s="49">
        <v>65</v>
      </c>
      <c r="HO11" s="49">
        <v>58</v>
      </c>
      <c r="HP11" s="49">
        <v>62</v>
      </c>
      <c r="HQ11" s="49">
        <v>59</v>
      </c>
      <c r="HR11" s="49">
        <v>55</v>
      </c>
      <c r="HS11" s="48">
        <v>60</v>
      </c>
      <c r="HT11" s="48">
        <v>-1.4384999999999999</v>
      </c>
      <c r="HU11" s="49">
        <v>0</v>
      </c>
      <c r="HV11" s="48">
        <v>0.114</v>
      </c>
      <c r="HW11" s="48">
        <v>40.64</v>
      </c>
      <c r="HX11" s="49">
        <v>42.68</v>
      </c>
      <c r="HY11" s="3"/>
      <c r="HZ11" s="3"/>
      <c r="IA11" s="48">
        <v>2.8679999999999999</v>
      </c>
      <c r="IB11" s="48">
        <v>95</v>
      </c>
      <c r="IC11" s="48">
        <v>15.797000000000001</v>
      </c>
      <c r="ID11" s="49">
        <v>-4.5999999999999999E-2</v>
      </c>
      <c r="IE11" s="49">
        <v>-2.5999999999999999E-2</v>
      </c>
      <c r="IF11" s="48">
        <v>804.6</v>
      </c>
      <c r="IG11" s="48">
        <v>560.79999999999995</v>
      </c>
      <c r="IH11" s="48">
        <v>812.3</v>
      </c>
      <c r="II11" s="48">
        <v>584.6</v>
      </c>
      <c r="IJ11" s="48">
        <v>-1.4999999999999999E-2</v>
      </c>
      <c r="IK11" s="48">
        <v>4.0000000000000001E-3</v>
      </c>
      <c r="IL11" s="49">
        <v>393.89100000000002</v>
      </c>
      <c r="IM11" s="49">
        <v>393.89100000000002</v>
      </c>
      <c r="IN11" s="49">
        <v>23.931000000000001</v>
      </c>
      <c r="IO11" s="48">
        <v>0.129</v>
      </c>
      <c r="IP11" s="48">
        <v>9.27</v>
      </c>
      <c r="IQ11" s="48">
        <v>0</v>
      </c>
      <c r="IR11" s="48">
        <v>0</v>
      </c>
    </row>
  </sheetData>
  <mergeCells count="5">
    <mergeCell ref="BE6:DE6"/>
    <mergeCell ref="DF6:FE6"/>
    <mergeCell ref="FF6:HD6"/>
    <mergeCell ref="HE6:IR6"/>
    <mergeCell ref="B6:BD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DE99-D5B3-4EAF-AF55-1C44EEABED8C}">
  <sheetPr codeName="Sheet5"/>
  <dimension ref="B1:IR10"/>
  <sheetViews>
    <sheetView tabSelected="1" zoomScale="70" zoomScaleNormal="70" workbookViewId="0">
      <selection activeCell="D11" sqref="D11"/>
    </sheetView>
  </sheetViews>
  <sheetFormatPr defaultRowHeight="15" x14ac:dyDescent="0.25"/>
  <sheetData>
    <row r="1" spans="2:252" x14ac:dyDescent="0.25">
      <c r="B1" t="s">
        <v>358</v>
      </c>
      <c r="C1" t="s">
        <v>412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416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x14ac:dyDescent="0.25">
      <c r="B7" s="2" t="s">
        <v>409</v>
      </c>
      <c r="C7" s="2" t="s">
        <v>41</v>
      </c>
      <c r="D7" s="57">
        <v>4.3629629629629635E-3</v>
      </c>
      <c r="E7" s="49">
        <v>376.96100000000001</v>
      </c>
      <c r="F7" s="48">
        <v>329.19</v>
      </c>
      <c r="G7" s="48">
        <v>5.73</v>
      </c>
      <c r="H7" s="48">
        <v>24.9</v>
      </c>
      <c r="I7" s="49">
        <v>0.42</v>
      </c>
      <c r="J7" s="49">
        <v>153.4</v>
      </c>
      <c r="K7" s="49">
        <v>6</v>
      </c>
      <c r="L7" s="49">
        <v>6</v>
      </c>
      <c r="M7" s="49">
        <v>7</v>
      </c>
      <c r="N7" s="48">
        <v>2</v>
      </c>
      <c r="O7" s="49">
        <v>3</v>
      </c>
      <c r="P7" s="49">
        <v>0.92100000000000004</v>
      </c>
      <c r="Q7" s="49">
        <v>1.605</v>
      </c>
      <c r="R7" s="49">
        <v>0.91700000000000004</v>
      </c>
      <c r="S7" s="48">
        <v>0.65300000000000002</v>
      </c>
      <c r="T7" s="48">
        <v>76.14</v>
      </c>
      <c r="U7" s="49">
        <v>60.688000000000002</v>
      </c>
      <c r="V7" s="49">
        <v>70</v>
      </c>
      <c r="W7" s="49">
        <v>40</v>
      </c>
      <c r="X7" s="49">
        <v>80</v>
      </c>
      <c r="Y7" s="49">
        <v>90</v>
      </c>
      <c r="Z7" s="48">
        <v>241.73</v>
      </c>
      <c r="AA7" s="48">
        <v>247.09</v>
      </c>
      <c r="AB7" s="48">
        <v>193.97</v>
      </c>
      <c r="AC7" s="48">
        <v>236.91</v>
      </c>
      <c r="AD7" s="49">
        <v>1.9810000000000001</v>
      </c>
      <c r="AE7" s="49">
        <v>2.085</v>
      </c>
      <c r="AF7" s="49">
        <v>1.992</v>
      </c>
      <c r="AG7" s="49">
        <v>2.0659999999999998</v>
      </c>
      <c r="AH7" s="48">
        <v>76.36</v>
      </c>
      <c r="AI7" s="49">
        <v>71.739999999999995</v>
      </c>
      <c r="AJ7" s="48">
        <v>82.88</v>
      </c>
      <c r="AK7" s="48">
        <v>79.64</v>
      </c>
      <c r="AL7" s="48">
        <v>657.02800000000002</v>
      </c>
      <c r="AM7" s="48">
        <v>678.52300000000002</v>
      </c>
      <c r="AN7" s="48">
        <v>821.54499999999996</v>
      </c>
      <c r="AO7" s="48">
        <v>802.91099999999994</v>
      </c>
      <c r="AP7" s="49">
        <v>1.4339999999999999</v>
      </c>
      <c r="AQ7" s="49">
        <v>1.9119999999999999</v>
      </c>
      <c r="AR7" s="49">
        <v>42.494999999999997</v>
      </c>
      <c r="AS7" s="48">
        <v>37.665999999999997</v>
      </c>
      <c r="AT7" s="48">
        <v>82</v>
      </c>
      <c r="AU7" s="48">
        <v>100</v>
      </c>
      <c r="AV7" s="48">
        <v>1.8109999999999999</v>
      </c>
      <c r="AW7" s="49">
        <v>4.8564999999999996</v>
      </c>
      <c r="AX7" s="48">
        <v>1014.2</v>
      </c>
      <c r="AY7" s="49">
        <v>2.54</v>
      </c>
      <c r="AZ7" s="49">
        <v>4.46</v>
      </c>
      <c r="BA7" s="49">
        <v>66.8</v>
      </c>
      <c r="BB7" s="49">
        <v>67.5</v>
      </c>
      <c r="BC7" s="48">
        <v>7632</v>
      </c>
      <c r="BD7" s="48">
        <v>88</v>
      </c>
      <c r="BE7" s="48">
        <v>15.35</v>
      </c>
      <c r="BF7" s="48">
        <v>12.68</v>
      </c>
      <c r="BG7" s="48">
        <v>29.01</v>
      </c>
      <c r="BH7" s="48">
        <v>28.42</v>
      </c>
      <c r="BI7" s="49">
        <v>66.158000000000001</v>
      </c>
      <c r="BJ7" s="48">
        <v>79.459000000000003</v>
      </c>
      <c r="BK7" s="49">
        <v>64.751000000000005</v>
      </c>
      <c r="BL7" s="49">
        <v>77.349999999999994</v>
      </c>
      <c r="BM7" s="48">
        <v>77.313999999999993</v>
      </c>
      <c r="BN7" s="48">
        <v>80.391999999999996</v>
      </c>
      <c r="BO7" s="48">
        <v>80.087999999999994</v>
      </c>
      <c r="BP7" s="48">
        <v>96.936000000000007</v>
      </c>
      <c r="BQ7" s="48">
        <v>100.84</v>
      </c>
      <c r="BR7" s="48">
        <v>57.597999999999999</v>
      </c>
      <c r="BS7" s="48">
        <v>24.4</v>
      </c>
      <c r="BT7" s="48">
        <v>7168.4139999999998</v>
      </c>
      <c r="BU7" s="48">
        <v>46.981000000000002</v>
      </c>
      <c r="BV7" s="49">
        <v>52.865000000000002</v>
      </c>
      <c r="BW7" s="49">
        <v>53.101999999999997</v>
      </c>
      <c r="BX7" s="48">
        <v>54.655000000000001</v>
      </c>
      <c r="BY7" s="49">
        <v>1.623</v>
      </c>
      <c r="BZ7" s="48">
        <v>3.0209999999999999</v>
      </c>
      <c r="CA7" s="48">
        <v>3.4980000000000002</v>
      </c>
      <c r="CB7" s="48">
        <v>3.714</v>
      </c>
      <c r="CC7" s="48">
        <v>1.177</v>
      </c>
      <c r="CD7" s="48">
        <v>2.3439999999999999</v>
      </c>
      <c r="CE7" s="49">
        <v>1.397</v>
      </c>
      <c r="CF7" s="48">
        <v>2.1179999999999999</v>
      </c>
      <c r="CG7" s="48">
        <v>13.57</v>
      </c>
      <c r="CH7" s="49">
        <v>9.9160000000000004</v>
      </c>
      <c r="CI7" s="49">
        <v>4.7690000000000001</v>
      </c>
      <c r="CJ7" s="48">
        <v>3.544</v>
      </c>
      <c r="CK7" s="48">
        <v>1.29</v>
      </c>
      <c r="CL7" s="48">
        <v>0</v>
      </c>
      <c r="CM7" s="48">
        <v>0.1</v>
      </c>
      <c r="CN7" s="49">
        <v>0</v>
      </c>
      <c r="CO7" s="49">
        <v>0</v>
      </c>
      <c r="CP7" s="48">
        <v>60.435000000000002</v>
      </c>
      <c r="CQ7" s="48">
        <v>61.542999999999999</v>
      </c>
      <c r="CR7" s="48">
        <v>71.962999999999994</v>
      </c>
      <c r="CS7" s="48">
        <v>73.867000000000004</v>
      </c>
      <c r="CT7" s="49">
        <v>0.34</v>
      </c>
      <c r="CU7" s="49">
        <v>1.099</v>
      </c>
      <c r="CV7" s="48">
        <v>1.599</v>
      </c>
      <c r="CW7" s="49">
        <v>1.202</v>
      </c>
      <c r="CX7" s="48">
        <v>1.4</v>
      </c>
      <c r="CY7" s="48">
        <v>0.2</v>
      </c>
      <c r="CZ7" s="49">
        <v>1.3009999999999999</v>
      </c>
      <c r="DA7" s="48">
        <v>0.70099999999999996</v>
      </c>
      <c r="DB7" s="48">
        <v>1.798</v>
      </c>
      <c r="DC7" s="49">
        <v>0</v>
      </c>
      <c r="DD7" s="49">
        <v>0</v>
      </c>
      <c r="DE7" s="49">
        <v>0.32800000000000001</v>
      </c>
      <c r="DF7" s="49">
        <v>0.11</v>
      </c>
      <c r="DG7" s="48">
        <v>0.33700000000000002</v>
      </c>
      <c r="DH7" s="48">
        <v>1.889</v>
      </c>
      <c r="DI7" s="49">
        <v>1.357</v>
      </c>
      <c r="DJ7" s="49">
        <v>0.312</v>
      </c>
      <c r="DK7" s="49">
        <v>0.98699999999999999</v>
      </c>
      <c r="DL7" s="49">
        <v>0.41799999999999998</v>
      </c>
      <c r="DM7" s="48">
        <v>0.47699999999999998</v>
      </c>
      <c r="DN7" s="48">
        <v>0.45700000000000002</v>
      </c>
      <c r="DO7" s="48">
        <v>0.35899999999999999</v>
      </c>
      <c r="DP7" s="48">
        <v>65.486000000000004</v>
      </c>
      <c r="DQ7" s="48">
        <v>59.42</v>
      </c>
      <c r="DR7" s="48">
        <v>53.856999999999999</v>
      </c>
      <c r="DS7" s="48">
        <v>49.819000000000003</v>
      </c>
      <c r="DT7" s="48">
        <v>3.31</v>
      </c>
      <c r="DU7" s="48">
        <v>3.47</v>
      </c>
      <c r="DV7" s="48">
        <v>5.98</v>
      </c>
      <c r="DW7" s="48">
        <v>4.91</v>
      </c>
      <c r="DX7" s="48">
        <v>3.51</v>
      </c>
      <c r="DY7" s="48">
        <v>3.4</v>
      </c>
      <c r="DZ7" s="48">
        <v>5.61</v>
      </c>
      <c r="EA7" s="48">
        <v>4.74</v>
      </c>
      <c r="EB7" s="48">
        <v>27.12</v>
      </c>
      <c r="EC7" s="48">
        <v>26.31</v>
      </c>
      <c r="ED7" s="48">
        <v>22.82</v>
      </c>
      <c r="EE7" s="48">
        <v>24.69</v>
      </c>
      <c r="EF7" s="49">
        <v>66.06</v>
      </c>
      <c r="EG7" s="49">
        <v>66.819999999999993</v>
      </c>
      <c r="EH7" s="49">
        <v>65.58</v>
      </c>
      <c r="EI7" s="49">
        <v>65.66</v>
      </c>
      <c r="EJ7" s="48">
        <v>6.0510000000000002</v>
      </c>
      <c r="EK7" s="48">
        <v>61.331000000000003</v>
      </c>
      <c r="EL7" s="48">
        <v>2.2999999999999998</v>
      </c>
      <c r="EM7" s="49">
        <v>1.8</v>
      </c>
      <c r="EN7" s="48">
        <v>1.19</v>
      </c>
      <c r="EO7" s="49">
        <v>1.2</v>
      </c>
      <c r="EP7" s="48">
        <v>-96.001999999999995</v>
      </c>
      <c r="EQ7" s="49">
        <v>-1.177</v>
      </c>
      <c r="ER7" s="48">
        <v>93.506</v>
      </c>
      <c r="ES7" s="48">
        <v>1.423</v>
      </c>
      <c r="ET7" s="48">
        <v>1.472</v>
      </c>
      <c r="EU7" s="48">
        <v>1.3859999999999999</v>
      </c>
      <c r="EV7" s="49">
        <v>7.9329999999999998</v>
      </c>
      <c r="EW7" s="48">
        <v>3.5670000000000002</v>
      </c>
      <c r="EX7" s="48">
        <v>-250.82</v>
      </c>
      <c r="EY7" s="49">
        <v>0.98</v>
      </c>
      <c r="EZ7" s="48">
        <v>0</v>
      </c>
      <c r="FA7" s="49">
        <v>0</v>
      </c>
      <c r="FB7" s="48">
        <v>8.08</v>
      </c>
      <c r="FC7" s="49">
        <v>86.897000000000006</v>
      </c>
      <c r="FD7" s="49">
        <v>86.981999999999999</v>
      </c>
      <c r="FE7" s="49">
        <v>85.97</v>
      </c>
      <c r="FF7" s="49">
        <v>83.757000000000005</v>
      </c>
      <c r="FG7" s="48">
        <v>0.93500000000000005</v>
      </c>
      <c r="FH7" s="49">
        <v>0.93500000000000005</v>
      </c>
      <c r="FI7" s="49">
        <v>1.0029999999999999</v>
      </c>
      <c r="FJ7" s="49">
        <v>1.0049999999999999</v>
      </c>
      <c r="FK7" s="49">
        <v>0.30299999999999999</v>
      </c>
      <c r="FL7" s="48">
        <v>82</v>
      </c>
      <c r="FM7" s="48">
        <v>3.8</v>
      </c>
      <c r="FN7" s="49">
        <v>-0.22</v>
      </c>
      <c r="FO7" s="48">
        <v>4.34</v>
      </c>
      <c r="FP7" s="48">
        <v>4.5</v>
      </c>
      <c r="FQ7" s="49">
        <v>0.45</v>
      </c>
      <c r="FR7" s="48">
        <v>5.0999999999999996</v>
      </c>
      <c r="FS7" s="48">
        <v>6.4335000000000004</v>
      </c>
      <c r="FT7" s="48">
        <v>1071.4000000000001</v>
      </c>
      <c r="FU7" s="48">
        <v>6.51</v>
      </c>
      <c r="FV7" s="48">
        <v>5.73</v>
      </c>
      <c r="FW7" s="49">
        <v>3204</v>
      </c>
      <c r="FX7" s="48">
        <v>159900</v>
      </c>
      <c r="FY7" s="48">
        <v>160700</v>
      </c>
      <c r="FZ7" s="49">
        <v>47.633000000000003</v>
      </c>
      <c r="GA7" s="49">
        <v>48.204000000000001</v>
      </c>
      <c r="GB7" s="48">
        <v>2131.5</v>
      </c>
      <c r="GC7" s="48">
        <v>2136.3000000000002</v>
      </c>
      <c r="GD7" s="48">
        <v>2155.4</v>
      </c>
      <c r="GE7" s="48">
        <v>2155.6</v>
      </c>
      <c r="GF7" s="48">
        <v>1394.2655999999999</v>
      </c>
      <c r="GG7" s="49">
        <v>32</v>
      </c>
      <c r="GH7" s="49">
        <v>31.7</v>
      </c>
      <c r="GI7" s="49">
        <v>63</v>
      </c>
      <c r="GJ7" s="49">
        <v>68.099999999999994</v>
      </c>
      <c r="GK7" s="49">
        <v>95.5</v>
      </c>
      <c r="GL7" s="48">
        <v>109.9</v>
      </c>
      <c r="GM7" s="49">
        <v>0</v>
      </c>
      <c r="GN7" s="49">
        <v>24.936</v>
      </c>
      <c r="GO7" s="48">
        <v>96.001999999999995</v>
      </c>
      <c r="GP7" s="49">
        <v>0</v>
      </c>
      <c r="GQ7" s="49">
        <v>3.9529999999999998</v>
      </c>
      <c r="GR7" s="49">
        <v>0</v>
      </c>
      <c r="GS7" s="49">
        <v>4.72</v>
      </c>
      <c r="GT7" s="49">
        <v>0</v>
      </c>
      <c r="GU7" s="49">
        <v>3.8940000000000001</v>
      </c>
      <c r="GV7" s="49">
        <v>0</v>
      </c>
      <c r="GW7" s="49">
        <v>1.0999999999999999E-2</v>
      </c>
      <c r="GX7" s="49">
        <v>19.501999999999999</v>
      </c>
      <c r="GY7" s="49">
        <v>0</v>
      </c>
      <c r="GZ7" s="48">
        <v>12.454000000000001</v>
      </c>
      <c r="HA7" s="49">
        <v>19.600000000000001</v>
      </c>
      <c r="HB7" s="49">
        <v>1</v>
      </c>
      <c r="HC7" s="49">
        <v>38.941000000000003</v>
      </c>
      <c r="HD7" s="49">
        <v>86</v>
      </c>
      <c r="HE7" s="49">
        <v>0</v>
      </c>
      <c r="HF7" s="49">
        <v>0</v>
      </c>
      <c r="HG7" s="49">
        <v>88.04</v>
      </c>
      <c r="HH7" s="49">
        <v>77.650000000000006</v>
      </c>
      <c r="HI7" s="49">
        <v>0</v>
      </c>
      <c r="HJ7" s="49">
        <v>0</v>
      </c>
      <c r="HK7" s="49">
        <v>0</v>
      </c>
      <c r="HL7" s="49">
        <v>62</v>
      </c>
      <c r="HM7" s="49">
        <v>51</v>
      </c>
      <c r="HN7" s="48">
        <v>64</v>
      </c>
      <c r="HO7" s="48">
        <v>56</v>
      </c>
      <c r="HP7" s="48">
        <v>59</v>
      </c>
      <c r="HQ7" s="48">
        <v>57</v>
      </c>
      <c r="HR7" s="49">
        <v>55</v>
      </c>
      <c r="HS7" s="48">
        <v>58</v>
      </c>
      <c r="HT7" s="48">
        <v>-1.4444999999999999</v>
      </c>
      <c r="HU7" s="49">
        <v>0</v>
      </c>
      <c r="HV7" s="48">
        <v>0.497</v>
      </c>
      <c r="HW7" s="49">
        <v>36.85</v>
      </c>
      <c r="HX7" s="49">
        <v>42.22</v>
      </c>
      <c r="HY7" s="3"/>
      <c r="HZ7" s="3"/>
      <c r="IA7" s="48">
        <v>2.589</v>
      </c>
      <c r="IB7" s="48">
        <v>96</v>
      </c>
      <c r="IC7" s="48">
        <v>16.544</v>
      </c>
      <c r="ID7" s="49">
        <v>-0.34799999999999998</v>
      </c>
      <c r="IE7" s="48">
        <v>-0.193</v>
      </c>
      <c r="IF7" s="48">
        <v>801.3</v>
      </c>
      <c r="IG7" s="48">
        <v>668</v>
      </c>
      <c r="IH7" s="48">
        <v>809</v>
      </c>
      <c r="II7" s="48">
        <v>674.8</v>
      </c>
      <c r="IJ7" s="49">
        <v>-3.2000000000000001E-2</v>
      </c>
      <c r="IK7" s="48">
        <v>4.4999999999999998E-2</v>
      </c>
      <c r="IL7" s="49">
        <v>234.11799999999999</v>
      </c>
      <c r="IM7" s="49">
        <v>233.958</v>
      </c>
      <c r="IN7" s="48">
        <v>8.5009999999999994</v>
      </c>
      <c r="IO7" s="48">
        <v>0.249</v>
      </c>
      <c r="IP7" s="49">
        <v>9.16</v>
      </c>
      <c r="IQ7" s="49">
        <v>1.4999999999999999E-2</v>
      </c>
      <c r="IR7" s="48">
        <v>1E-3</v>
      </c>
    </row>
    <row r="8" spans="2:252" x14ac:dyDescent="0.25">
      <c r="B8" s="2" t="s">
        <v>409</v>
      </c>
      <c r="C8" s="2" t="s">
        <v>42</v>
      </c>
      <c r="D8" s="57">
        <v>2.4775462962962963E-3</v>
      </c>
      <c r="E8" s="48">
        <v>214.1</v>
      </c>
      <c r="F8" s="48">
        <v>333</v>
      </c>
      <c r="G8" s="48">
        <v>6.03</v>
      </c>
      <c r="H8" s="48">
        <v>25.4</v>
      </c>
      <c r="I8" s="48">
        <v>0</v>
      </c>
      <c r="J8" s="48">
        <v>12.9</v>
      </c>
      <c r="K8" s="49">
        <v>6</v>
      </c>
      <c r="L8" s="49">
        <v>6</v>
      </c>
      <c r="M8" s="49">
        <v>7</v>
      </c>
      <c r="N8" s="48">
        <v>2</v>
      </c>
      <c r="O8" s="49">
        <v>3</v>
      </c>
      <c r="P8" s="48">
        <v>0.754</v>
      </c>
      <c r="Q8" s="48">
        <v>1.337</v>
      </c>
      <c r="R8" s="48">
        <v>0.61699999999999999</v>
      </c>
      <c r="S8" s="49">
        <v>0.71099999999999997</v>
      </c>
      <c r="T8" s="48">
        <v>84.45</v>
      </c>
      <c r="U8" s="48">
        <v>60.088000000000001</v>
      </c>
      <c r="V8" s="48">
        <v>225</v>
      </c>
      <c r="W8" s="48">
        <v>245</v>
      </c>
      <c r="X8" s="48">
        <v>185</v>
      </c>
      <c r="Y8" s="48">
        <v>225</v>
      </c>
      <c r="Z8" s="49">
        <v>377.59</v>
      </c>
      <c r="AA8" s="49">
        <v>397.02</v>
      </c>
      <c r="AB8" s="49">
        <v>312.33999999999997</v>
      </c>
      <c r="AC8" s="49">
        <v>381.34</v>
      </c>
      <c r="AD8" s="48">
        <v>1.8069999999999999</v>
      </c>
      <c r="AE8" s="48">
        <v>1.8740000000000001</v>
      </c>
      <c r="AF8" s="48">
        <v>1.8460000000000001</v>
      </c>
      <c r="AG8" s="48">
        <v>1.9159999999999999</v>
      </c>
      <c r="AH8" s="48">
        <v>75.739999999999995</v>
      </c>
      <c r="AI8" s="48">
        <v>70.14</v>
      </c>
      <c r="AJ8" s="48">
        <v>103.83</v>
      </c>
      <c r="AK8" s="48">
        <v>103.79</v>
      </c>
      <c r="AL8" s="49">
        <v>702.18299999999999</v>
      </c>
      <c r="AM8" s="48">
        <v>678.93600000000004</v>
      </c>
      <c r="AN8" s="49">
        <v>937.13099999999997</v>
      </c>
      <c r="AO8" s="48">
        <v>845.59199999999998</v>
      </c>
      <c r="AP8" s="48">
        <v>1.4279999999999999</v>
      </c>
      <c r="AQ8" s="48">
        <v>1.9039999999999999</v>
      </c>
      <c r="AR8" s="48">
        <v>40.259</v>
      </c>
      <c r="AS8" s="48">
        <v>36.529000000000003</v>
      </c>
      <c r="AT8" s="49">
        <v>83</v>
      </c>
      <c r="AU8" s="48">
        <v>112</v>
      </c>
      <c r="AV8" s="48">
        <v>1.3839999999999999</v>
      </c>
      <c r="AW8" s="48">
        <v>4.7845000000000004</v>
      </c>
      <c r="AX8" s="48">
        <v>1015.9</v>
      </c>
      <c r="AY8" s="48">
        <v>2.4500000000000002</v>
      </c>
      <c r="AZ8" s="48">
        <v>4.87</v>
      </c>
      <c r="BA8" s="48">
        <v>69.813999999999993</v>
      </c>
      <c r="BB8" s="48">
        <v>69.096999999999994</v>
      </c>
      <c r="BC8" s="48">
        <v>7734</v>
      </c>
      <c r="BD8" s="48">
        <v>88.25</v>
      </c>
      <c r="BE8" s="49">
        <v>16.684999999999999</v>
      </c>
      <c r="BF8" s="48">
        <v>11.715</v>
      </c>
      <c r="BG8" s="48">
        <v>29.09</v>
      </c>
      <c r="BH8" s="48">
        <v>28.46</v>
      </c>
      <c r="BI8" s="3"/>
      <c r="BJ8" s="3"/>
      <c r="BK8" s="3"/>
      <c r="BL8" s="3"/>
      <c r="BM8" s="3"/>
      <c r="BN8" s="48">
        <v>95.671999999999997</v>
      </c>
      <c r="BO8" s="48">
        <v>95.896000000000001</v>
      </c>
      <c r="BP8" s="48">
        <v>124.84</v>
      </c>
      <c r="BQ8" s="48">
        <v>129.08000000000001</v>
      </c>
      <c r="BR8" s="3"/>
      <c r="BS8" s="48">
        <v>25.1</v>
      </c>
      <c r="BT8" s="48">
        <v>7328.8860000000004</v>
      </c>
      <c r="BU8" s="49">
        <v>49.433</v>
      </c>
      <c r="BV8" s="48">
        <v>52.183</v>
      </c>
      <c r="BW8" s="48">
        <v>52.107999999999997</v>
      </c>
      <c r="BX8" s="49">
        <v>55.768000000000001</v>
      </c>
      <c r="BY8" s="48">
        <v>1.399</v>
      </c>
      <c r="BZ8" s="48">
        <v>3.0209999999999999</v>
      </c>
      <c r="CA8" s="48">
        <v>3.8879999999999999</v>
      </c>
      <c r="CB8" s="49">
        <v>4.0949999999999998</v>
      </c>
      <c r="CC8" s="49">
        <v>1.3380000000000001</v>
      </c>
      <c r="CD8" s="49">
        <v>2.4300000000000002</v>
      </c>
      <c r="CE8" s="48">
        <v>1.371</v>
      </c>
      <c r="CF8" s="49">
        <v>2.25</v>
      </c>
      <c r="CG8" s="48">
        <v>13.733000000000001</v>
      </c>
      <c r="CH8" s="48">
        <v>13.6</v>
      </c>
      <c r="CI8" s="48">
        <v>4.5410000000000004</v>
      </c>
      <c r="CJ8" s="49">
        <v>3.7280000000000002</v>
      </c>
      <c r="CK8" s="49">
        <v>1.659</v>
      </c>
      <c r="CL8" s="48">
        <v>0</v>
      </c>
      <c r="CM8" s="48">
        <v>0.1</v>
      </c>
      <c r="CN8" s="49">
        <v>0</v>
      </c>
      <c r="CO8" s="49">
        <v>0</v>
      </c>
      <c r="CP8" s="48">
        <v>86.918999999999997</v>
      </c>
      <c r="CQ8" s="48">
        <v>88.278999999999996</v>
      </c>
      <c r="CR8" s="48">
        <v>110.631</v>
      </c>
      <c r="CS8" s="48">
        <v>116.056</v>
      </c>
      <c r="CT8" s="48">
        <v>0.28599999999999998</v>
      </c>
      <c r="CU8" s="49">
        <v>1.099</v>
      </c>
      <c r="CV8" s="48">
        <v>1.2</v>
      </c>
      <c r="CW8" s="48">
        <v>1.2010000000000001</v>
      </c>
      <c r="CX8" s="48">
        <v>1.4</v>
      </c>
      <c r="CY8" s="48">
        <v>0.499</v>
      </c>
      <c r="CZ8" s="48">
        <v>1.0980000000000001</v>
      </c>
      <c r="DA8" s="48">
        <v>0.4</v>
      </c>
      <c r="DB8" s="49">
        <v>2.2010000000000001</v>
      </c>
      <c r="DC8" s="49">
        <v>0</v>
      </c>
      <c r="DD8" s="49">
        <v>0</v>
      </c>
      <c r="DE8" s="48">
        <v>0.26</v>
      </c>
      <c r="DF8" s="48">
        <v>7.9000000000000001E-2</v>
      </c>
      <c r="DG8" s="49">
        <v>0.81</v>
      </c>
      <c r="DH8" s="49">
        <v>2.0390000000000001</v>
      </c>
      <c r="DI8" s="49">
        <v>1.357</v>
      </c>
      <c r="DJ8" s="48">
        <v>0.249</v>
      </c>
      <c r="DK8" s="48">
        <v>0.84099999999999997</v>
      </c>
      <c r="DL8" s="48">
        <v>0.41499999999999998</v>
      </c>
      <c r="DM8" s="49">
        <v>0.51100000000000001</v>
      </c>
      <c r="DN8" s="49">
        <v>0.65500000000000003</v>
      </c>
      <c r="DO8" s="49">
        <v>0.433</v>
      </c>
      <c r="DP8" s="48">
        <v>64.882999999999996</v>
      </c>
      <c r="DQ8" s="48">
        <v>59.253</v>
      </c>
      <c r="DR8" s="48">
        <v>54.563000000000002</v>
      </c>
      <c r="DS8" s="48">
        <v>50.368000000000002</v>
      </c>
      <c r="DT8" s="48">
        <v>6.53</v>
      </c>
      <c r="DU8" s="48">
        <v>6.34</v>
      </c>
      <c r="DV8" s="48">
        <v>11.92</v>
      </c>
      <c r="DW8" s="48">
        <v>9.3699999999999992</v>
      </c>
      <c r="DX8" s="48">
        <v>7.04</v>
      </c>
      <c r="DY8" s="48">
        <v>6.64</v>
      </c>
      <c r="DZ8" s="48">
        <v>11.37</v>
      </c>
      <c r="EA8" s="48">
        <v>8.99</v>
      </c>
      <c r="EB8" s="49">
        <v>42.71</v>
      </c>
      <c r="EC8" s="49">
        <v>42.31</v>
      </c>
      <c r="ED8" s="49">
        <v>34.54</v>
      </c>
      <c r="EE8" s="49">
        <v>37.79</v>
      </c>
      <c r="EF8" s="48">
        <v>43.72</v>
      </c>
      <c r="EG8" s="48">
        <v>44.7</v>
      </c>
      <c r="EH8" s="48">
        <v>42.17</v>
      </c>
      <c r="EI8" s="48">
        <v>43.86</v>
      </c>
      <c r="EJ8" s="48">
        <v>6.6420000000000003</v>
      </c>
      <c r="EK8" s="48">
        <v>62.902999999999999</v>
      </c>
      <c r="EL8" s="48">
        <v>2.25</v>
      </c>
      <c r="EM8" s="48">
        <v>1.9</v>
      </c>
      <c r="EN8" s="48">
        <v>1.17</v>
      </c>
      <c r="EO8" s="48">
        <v>1.18</v>
      </c>
      <c r="EP8" s="48">
        <v>-97.754000000000005</v>
      </c>
      <c r="EQ8" s="48">
        <v>-2.38</v>
      </c>
      <c r="ER8" s="48">
        <v>95.841999999999999</v>
      </c>
      <c r="ES8" s="49">
        <v>1.5209999999999999</v>
      </c>
      <c r="ET8" s="48">
        <v>1.61</v>
      </c>
      <c r="EU8" s="49">
        <v>1.4670000000000001</v>
      </c>
      <c r="EV8" s="48">
        <v>7.9279999999999999</v>
      </c>
      <c r="EW8" s="49">
        <v>3.6539999999999999</v>
      </c>
      <c r="EX8" s="48">
        <v>73.66</v>
      </c>
      <c r="EY8" s="48">
        <v>0</v>
      </c>
      <c r="EZ8" s="48">
        <v>0</v>
      </c>
      <c r="FA8" s="49">
        <v>0</v>
      </c>
      <c r="FB8" s="48">
        <v>8.9469999999999992</v>
      </c>
      <c r="FC8" s="48">
        <v>72.39</v>
      </c>
      <c r="FD8" s="48">
        <v>69.539000000000001</v>
      </c>
      <c r="FE8" s="48">
        <v>80.549000000000007</v>
      </c>
      <c r="FF8" s="48">
        <v>78.122</v>
      </c>
      <c r="FG8" s="48">
        <v>0.91300000000000003</v>
      </c>
      <c r="FH8" s="48">
        <v>0.91300000000000003</v>
      </c>
      <c r="FI8" s="48">
        <v>0.995</v>
      </c>
      <c r="FJ8" s="48">
        <v>1</v>
      </c>
      <c r="FK8" s="48">
        <v>0</v>
      </c>
      <c r="FL8" s="49">
        <v>83</v>
      </c>
      <c r="FM8" s="48">
        <v>3.92</v>
      </c>
      <c r="FN8" s="48">
        <v>1.33</v>
      </c>
      <c r="FO8" s="48">
        <v>4.9800000000000004</v>
      </c>
      <c r="FP8" s="3"/>
      <c r="FQ8" s="48">
        <v>4.55</v>
      </c>
      <c r="FR8" s="48">
        <v>5</v>
      </c>
      <c r="FS8" s="49">
        <v>6.6040000000000001</v>
      </c>
      <c r="FT8" s="48">
        <v>1075.8</v>
      </c>
      <c r="FU8" s="48">
        <v>6.09</v>
      </c>
      <c r="FV8" s="48">
        <v>11.76</v>
      </c>
      <c r="FW8" s="48">
        <v>3014</v>
      </c>
      <c r="FX8" s="49">
        <v>163600</v>
      </c>
      <c r="FY8" s="48">
        <v>163600</v>
      </c>
      <c r="FZ8" s="48">
        <v>47.302</v>
      </c>
      <c r="GA8" s="48">
        <v>47.9</v>
      </c>
      <c r="GB8" s="48">
        <v>2166.1</v>
      </c>
      <c r="GC8" s="49">
        <v>2167.5</v>
      </c>
      <c r="GD8" s="48">
        <v>2295.4</v>
      </c>
      <c r="GE8" s="48">
        <v>2219.1999999999998</v>
      </c>
      <c r="GF8" s="48">
        <v>1329.7344000000001</v>
      </c>
      <c r="GG8" s="48">
        <v>29</v>
      </c>
      <c r="GH8" s="48">
        <v>29.3</v>
      </c>
      <c r="GI8" s="48">
        <v>48</v>
      </c>
      <c r="GJ8" s="48">
        <v>53.6</v>
      </c>
      <c r="GK8" s="48">
        <v>99.5</v>
      </c>
      <c r="GL8" s="48">
        <v>109.8</v>
      </c>
      <c r="GM8" s="49">
        <v>0</v>
      </c>
      <c r="GN8" s="48">
        <v>23.864000000000001</v>
      </c>
      <c r="GO8" s="48">
        <v>97.754000000000005</v>
      </c>
      <c r="GP8" s="48">
        <v>1.0029999999999999</v>
      </c>
      <c r="GQ8" s="48">
        <v>1.8879999999999999</v>
      </c>
      <c r="GR8" s="48">
        <v>1.298</v>
      </c>
      <c r="GS8" s="48">
        <v>2.0059999999999998</v>
      </c>
      <c r="GT8" s="48">
        <v>0.82599999999999996</v>
      </c>
      <c r="GU8" s="48">
        <v>1.829</v>
      </c>
      <c r="GV8" s="49">
        <v>0</v>
      </c>
      <c r="GW8" s="48">
        <v>0</v>
      </c>
      <c r="GX8" s="48">
        <v>0</v>
      </c>
      <c r="GY8" s="48">
        <v>11.956</v>
      </c>
      <c r="GZ8" s="49">
        <v>13.557</v>
      </c>
      <c r="HA8" s="48">
        <v>15.778</v>
      </c>
      <c r="HB8" s="48">
        <v>0</v>
      </c>
      <c r="HC8" s="48">
        <v>36.207000000000001</v>
      </c>
      <c r="HD8" s="48">
        <v>78</v>
      </c>
      <c r="HE8" s="49">
        <v>0</v>
      </c>
      <c r="HF8" s="49">
        <v>0</v>
      </c>
      <c r="HG8" s="48">
        <v>72.260000000000005</v>
      </c>
      <c r="HH8" s="48">
        <v>77.13</v>
      </c>
      <c r="HI8" s="49">
        <v>0</v>
      </c>
      <c r="HJ8" s="49">
        <v>0</v>
      </c>
      <c r="HK8" s="49">
        <v>0</v>
      </c>
      <c r="HL8" s="48">
        <v>55</v>
      </c>
      <c r="HM8" s="49">
        <v>51</v>
      </c>
      <c r="HN8" s="48">
        <v>64</v>
      </c>
      <c r="HO8" s="48">
        <v>57</v>
      </c>
      <c r="HP8" s="48">
        <v>60</v>
      </c>
      <c r="HQ8" s="49">
        <v>59</v>
      </c>
      <c r="HR8" s="48">
        <v>54</v>
      </c>
      <c r="HS8" s="48">
        <v>62</v>
      </c>
      <c r="HT8" s="48">
        <v>-1.454</v>
      </c>
      <c r="HU8" s="49">
        <v>0</v>
      </c>
      <c r="HV8" s="48">
        <v>1.206</v>
      </c>
      <c r="HW8" s="49">
        <v>36.85</v>
      </c>
      <c r="HX8" s="49">
        <v>42.22</v>
      </c>
      <c r="HY8" s="49">
        <v>51.09</v>
      </c>
      <c r="HZ8" s="49">
        <v>51.09</v>
      </c>
      <c r="IA8" s="48">
        <v>2.7890000000000001</v>
      </c>
      <c r="IB8" s="48">
        <v>103</v>
      </c>
      <c r="IC8" s="48">
        <v>22.102</v>
      </c>
      <c r="ID8" s="48">
        <v>-0.50700000000000001</v>
      </c>
      <c r="IE8" s="48">
        <v>-0.26600000000000001</v>
      </c>
      <c r="IF8" s="48">
        <v>805.5</v>
      </c>
      <c r="IG8" s="49">
        <v>764.5</v>
      </c>
      <c r="IH8" s="48">
        <v>817.1</v>
      </c>
      <c r="II8" s="49">
        <v>775.6</v>
      </c>
      <c r="IJ8" s="48">
        <v>-0.06</v>
      </c>
      <c r="IK8" s="48">
        <v>4.9000000000000002E-2</v>
      </c>
      <c r="IL8" s="48">
        <v>72.873999999999995</v>
      </c>
      <c r="IM8" s="48">
        <v>72.873999999999995</v>
      </c>
      <c r="IN8" s="48">
        <v>11.125</v>
      </c>
      <c r="IO8" s="48">
        <v>0.442</v>
      </c>
      <c r="IP8" s="48">
        <v>8.84</v>
      </c>
      <c r="IQ8" s="48">
        <v>1.2E-2</v>
      </c>
      <c r="IR8" s="48">
        <v>0</v>
      </c>
    </row>
    <row r="9" spans="2:252" x14ac:dyDescent="0.25">
      <c r="B9" s="2" t="s">
        <v>409</v>
      </c>
      <c r="C9" s="58" t="s">
        <v>43</v>
      </c>
      <c r="D9" s="59">
        <v>2.4431712962962962E-3</v>
      </c>
      <c r="E9" s="48">
        <v>211.13</v>
      </c>
      <c r="F9" s="48">
        <v>330.24</v>
      </c>
      <c r="G9" s="49">
        <v>6.04</v>
      </c>
      <c r="H9" s="48">
        <v>25.7</v>
      </c>
      <c r="I9" s="48">
        <v>0</v>
      </c>
      <c r="J9" s="48">
        <v>13.5</v>
      </c>
      <c r="K9" s="49">
        <v>6</v>
      </c>
      <c r="L9" s="49">
        <v>6</v>
      </c>
      <c r="M9" s="49">
        <v>7</v>
      </c>
      <c r="N9" s="48">
        <v>2</v>
      </c>
      <c r="O9" s="49">
        <v>3</v>
      </c>
      <c r="P9" s="48">
        <v>0.57799999999999996</v>
      </c>
      <c r="Q9" s="48">
        <v>1.1910000000000001</v>
      </c>
      <c r="R9" s="48">
        <v>0.434</v>
      </c>
      <c r="S9" s="48">
        <v>0.373</v>
      </c>
      <c r="T9" s="49">
        <v>91.27</v>
      </c>
      <c r="U9" s="48">
        <v>60.052999999999997</v>
      </c>
      <c r="V9" s="48">
        <v>223.34</v>
      </c>
      <c r="W9" s="48">
        <v>243.34</v>
      </c>
      <c r="X9" s="48">
        <v>187.5</v>
      </c>
      <c r="Y9" s="48">
        <v>230</v>
      </c>
      <c r="Z9" s="48">
        <v>372.54</v>
      </c>
      <c r="AA9" s="48">
        <v>390.41</v>
      </c>
      <c r="AB9" s="48">
        <v>303.69</v>
      </c>
      <c r="AC9" s="48">
        <v>375.01</v>
      </c>
      <c r="AD9" s="48">
        <v>1.8</v>
      </c>
      <c r="AE9" s="48">
        <v>1.8560000000000001</v>
      </c>
      <c r="AF9" s="48">
        <v>1.877</v>
      </c>
      <c r="AG9" s="48">
        <v>1.944</v>
      </c>
      <c r="AH9" s="48">
        <v>75.88</v>
      </c>
      <c r="AI9" s="48">
        <v>69.739999999999995</v>
      </c>
      <c r="AJ9" s="48">
        <v>109.39</v>
      </c>
      <c r="AK9" s="48">
        <v>108.93</v>
      </c>
      <c r="AL9" s="48">
        <v>674.50400000000002</v>
      </c>
      <c r="AM9" s="49">
        <v>698.51099999999997</v>
      </c>
      <c r="AN9" s="48">
        <v>894.61500000000001</v>
      </c>
      <c r="AO9" s="49">
        <v>912.87699999999995</v>
      </c>
      <c r="AP9" s="48">
        <v>1.421</v>
      </c>
      <c r="AQ9" s="48">
        <v>1.8839999999999999</v>
      </c>
      <c r="AR9" s="48">
        <v>40.74</v>
      </c>
      <c r="AS9" s="48">
        <v>39.274000000000001</v>
      </c>
      <c r="AT9" s="49">
        <v>83</v>
      </c>
      <c r="AU9" s="48">
        <v>117</v>
      </c>
      <c r="AV9" s="49">
        <v>1.331</v>
      </c>
      <c r="AW9" s="48">
        <v>4.7579000000000002</v>
      </c>
      <c r="AX9" s="49">
        <v>1017</v>
      </c>
      <c r="AY9" s="48">
        <v>2.5</v>
      </c>
      <c r="AZ9" s="48">
        <v>5.07</v>
      </c>
      <c r="BA9" s="48">
        <v>128.19999999999999</v>
      </c>
      <c r="BB9" s="48">
        <v>127</v>
      </c>
      <c r="BC9" s="49">
        <v>7809</v>
      </c>
      <c r="BD9" s="49">
        <v>89.5</v>
      </c>
      <c r="BE9" s="48">
        <v>15.41</v>
      </c>
      <c r="BF9" s="49">
        <v>15.705</v>
      </c>
      <c r="BG9" s="49">
        <v>29.33</v>
      </c>
      <c r="BH9" s="48">
        <v>28.63</v>
      </c>
      <c r="BI9" s="3"/>
      <c r="BJ9" s="3"/>
      <c r="BK9" s="3"/>
      <c r="BL9" s="3"/>
      <c r="BM9" s="3"/>
      <c r="BN9" s="48">
        <v>97.24</v>
      </c>
      <c r="BO9" s="48">
        <v>97.784000000000006</v>
      </c>
      <c r="BP9" s="49">
        <v>128.93600000000001</v>
      </c>
      <c r="BQ9" s="49">
        <v>133.672</v>
      </c>
      <c r="BR9" s="3"/>
      <c r="BS9" s="48">
        <v>25.4</v>
      </c>
      <c r="BT9" s="48">
        <v>7366.5659999999998</v>
      </c>
      <c r="BU9" s="48">
        <v>48.503999999999998</v>
      </c>
      <c r="BV9" s="48">
        <v>50.57</v>
      </c>
      <c r="BW9" s="48">
        <v>52.442999999999998</v>
      </c>
      <c r="BX9" s="48">
        <v>53.673999999999999</v>
      </c>
      <c r="BY9" s="48">
        <v>1.48</v>
      </c>
      <c r="BZ9" s="49">
        <v>3.3410000000000002</v>
      </c>
      <c r="CA9" s="49">
        <v>4.1760000000000002</v>
      </c>
      <c r="CB9" s="48">
        <v>3.597</v>
      </c>
      <c r="CC9" s="48">
        <v>1.222</v>
      </c>
      <c r="CD9" s="48">
        <v>2.4249999999999998</v>
      </c>
      <c r="CE9" s="48">
        <v>1.3580000000000001</v>
      </c>
      <c r="CF9" s="48">
        <v>2.0680000000000001</v>
      </c>
      <c r="CG9" s="48">
        <v>13.727</v>
      </c>
      <c r="CH9" s="48">
        <v>13.542999999999999</v>
      </c>
      <c r="CI9" s="48">
        <v>4.3419999999999996</v>
      </c>
      <c r="CJ9" s="48">
        <v>3.407</v>
      </c>
      <c r="CK9" s="48">
        <v>1.5529999999999999</v>
      </c>
      <c r="CL9" s="48">
        <v>0.1</v>
      </c>
      <c r="CM9" s="49">
        <v>0.9</v>
      </c>
      <c r="CN9" s="49">
        <v>0</v>
      </c>
      <c r="CO9" s="49">
        <v>0</v>
      </c>
      <c r="CP9" s="48">
        <v>92.492999999999995</v>
      </c>
      <c r="CQ9" s="48">
        <v>93.641000000000005</v>
      </c>
      <c r="CR9" s="49">
        <v>121.28</v>
      </c>
      <c r="CS9" s="49">
        <v>127.18</v>
      </c>
      <c r="CT9" s="48">
        <v>0.33600000000000002</v>
      </c>
      <c r="CU9" s="48">
        <v>0.79900000000000004</v>
      </c>
      <c r="CV9" s="48">
        <v>1.5009999999999999</v>
      </c>
      <c r="CW9" s="48">
        <v>1.2010000000000001</v>
      </c>
      <c r="CX9" s="49">
        <v>2</v>
      </c>
      <c r="CY9" s="49">
        <v>1.5980000000000001</v>
      </c>
      <c r="CZ9" s="48">
        <v>1.296</v>
      </c>
      <c r="DA9" s="49">
        <v>1.3959999999999999</v>
      </c>
      <c r="DB9" s="48">
        <v>1.7989999999999999</v>
      </c>
      <c r="DC9" s="49">
        <v>0</v>
      </c>
      <c r="DD9" s="49">
        <v>0</v>
      </c>
      <c r="DE9" s="48">
        <v>0.20300000000000001</v>
      </c>
      <c r="DF9" s="48">
        <v>7.4999999999999997E-2</v>
      </c>
      <c r="DG9" s="48">
        <v>0.76800000000000002</v>
      </c>
      <c r="DH9" s="48">
        <v>1.784</v>
      </c>
      <c r="DI9" s="48">
        <v>0.99199999999999999</v>
      </c>
      <c r="DJ9" s="48">
        <v>0.217</v>
      </c>
      <c r="DK9" s="48">
        <v>0.96499999999999997</v>
      </c>
      <c r="DL9" s="48">
        <v>0.41699999999999998</v>
      </c>
      <c r="DM9" s="48">
        <v>0.16900000000000001</v>
      </c>
      <c r="DN9" s="48">
        <v>-2.3170000000000002</v>
      </c>
      <c r="DO9" s="48">
        <v>0.32600000000000001</v>
      </c>
      <c r="DP9" s="49">
        <v>67.796000000000006</v>
      </c>
      <c r="DQ9" s="48">
        <v>58.35</v>
      </c>
      <c r="DR9" s="49">
        <v>54.826000000000001</v>
      </c>
      <c r="DS9" s="49">
        <v>50.595999999999997</v>
      </c>
      <c r="DT9" s="49">
        <v>6.76</v>
      </c>
      <c r="DU9" s="49">
        <v>7.06</v>
      </c>
      <c r="DV9" s="49">
        <v>12.41</v>
      </c>
      <c r="DW9" s="49">
        <v>9.9700000000000006</v>
      </c>
      <c r="DX9" s="49">
        <v>7.14</v>
      </c>
      <c r="DY9" s="49">
        <v>7.19</v>
      </c>
      <c r="DZ9" s="49">
        <v>12</v>
      </c>
      <c r="EA9" s="49">
        <v>9.8699999999999992</v>
      </c>
      <c r="EB9" s="48">
        <v>42.1</v>
      </c>
      <c r="EC9" s="48">
        <v>40.700000000000003</v>
      </c>
      <c r="ED9" s="48">
        <v>34.29</v>
      </c>
      <c r="EE9" s="48">
        <v>36.92</v>
      </c>
      <c r="EF9" s="48">
        <v>44</v>
      </c>
      <c r="EG9" s="48">
        <v>45.06</v>
      </c>
      <c r="EH9" s="48">
        <v>41.29</v>
      </c>
      <c r="EI9" s="48">
        <v>43.25</v>
      </c>
      <c r="EJ9" s="48">
        <v>7.0289999999999999</v>
      </c>
      <c r="EK9" s="49">
        <v>62.969000000000001</v>
      </c>
      <c r="EL9" s="48">
        <v>2.2999999999999998</v>
      </c>
      <c r="EM9" s="48">
        <v>1.85</v>
      </c>
      <c r="EN9" s="48">
        <v>1.18</v>
      </c>
      <c r="EO9" s="48">
        <v>1.19</v>
      </c>
      <c r="EP9" s="48">
        <v>-101.842</v>
      </c>
      <c r="EQ9" s="48">
        <v>-2.3140000000000001</v>
      </c>
      <c r="ER9" s="49">
        <v>114.238</v>
      </c>
      <c r="ES9" s="48">
        <v>1.4690000000000001</v>
      </c>
      <c r="ET9" s="49">
        <v>1.6140000000000001</v>
      </c>
      <c r="EU9" s="48">
        <v>1.417</v>
      </c>
      <c r="EV9" s="48">
        <v>7.8940000000000001</v>
      </c>
      <c r="EW9" s="48">
        <v>3.5720000000000001</v>
      </c>
      <c r="EX9" s="49">
        <v>74.28</v>
      </c>
      <c r="EY9" s="48">
        <v>0</v>
      </c>
      <c r="EZ9" s="48">
        <v>0</v>
      </c>
      <c r="FA9" s="49">
        <v>0</v>
      </c>
      <c r="FB9" s="48">
        <v>8.9510000000000005</v>
      </c>
      <c r="FC9" s="48">
        <v>70.614999999999995</v>
      </c>
      <c r="FD9" s="48">
        <v>65.813999999999993</v>
      </c>
      <c r="FE9" s="48">
        <v>83.036000000000001</v>
      </c>
      <c r="FF9" s="48">
        <v>80.228999999999999</v>
      </c>
      <c r="FG9" s="48">
        <v>0.91600000000000004</v>
      </c>
      <c r="FH9" s="48">
        <v>0.91700000000000004</v>
      </c>
      <c r="FI9" s="48">
        <v>0.99399999999999999</v>
      </c>
      <c r="FJ9" s="48">
        <v>0.999</v>
      </c>
      <c r="FK9" s="48">
        <v>0</v>
      </c>
      <c r="FL9" s="49">
        <v>83</v>
      </c>
      <c r="FM9" s="48">
        <v>3.98</v>
      </c>
      <c r="FN9" s="48">
        <v>2.58</v>
      </c>
      <c r="FO9" s="49">
        <v>4.29</v>
      </c>
      <c r="FP9" s="3"/>
      <c r="FQ9" s="48">
        <v>4.55</v>
      </c>
      <c r="FR9" s="48">
        <v>5.05</v>
      </c>
      <c r="FS9" s="48">
        <v>6.4995000000000003</v>
      </c>
      <c r="FT9" s="49">
        <v>1077.4000000000001</v>
      </c>
      <c r="FU9" s="49">
        <v>6.53</v>
      </c>
      <c r="FV9" s="48">
        <v>17.8</v>
      </c>
      <c r="FW9" s="48">
        <v>2990.5</v>
      </c>
      <c r="FX9" s="48">
        <v>161800</v>
      </c>
      <c r="FY9" s="48">
        <v>162200</v>
      </c>
      <c r="FZ9" s="48">
        <v>46.904000000000003</v>
      </c>
      <c r="GA9" s="48">
        <v>47.741999999999997</v>
      </c>
      <c r="GB9" s="48">
        <v>2218.3000000000002</v>
      </c>
      <c r="GC9" s="48">
        <v>2146.1999999999998</v>
      </c>
      <c r="GD9" s="48">
        <v>2265.3000000000002</v>
      </c>
      <c r="GE9" s="49">
        <v>2266.1999999999998</v>
      </c>
      <c r="GF9" s="49">
        <v>1528.5313000000001</v>
      </c>
      <c r="GG9" s="48">
        <v>30</v>
      </c>
      <c r="GH9" s="48">
        <v>29.8</v>
      </c>
      <c r="GI9" s="48">
        <v>45.8</v>
      </c>
      <c r="GJ9" s="48">
        <v>50.6</v>
      </c>
      <c r="GK9" s="48">
        <v>99.5</v>
      </c>
      <c r="GL9" s="49">
        <v>110.7</v>
      </c>
      <c r="GM9" s="49">
        <v>0</v>
      </c>
      <c r="GN9" s="48">
        <v>24.25</v>
      </c>
      <c r="GO9" s="49">
        <v>114.238</v>
      </c>
      <c r="GP9" s="48">
        <v>0.47199999999999998</v>
      </c>
      <c r="GQ9" s="48">
        <v>1.8879999999999999</v>
      </c>
      <c r="GR9" s="48">
        <v>1.2390000000000001</v>
      </c>
      <c r="GS9" s="48">
        <v>1.9470000000000001</v>
      </c>
      <c r="GT9" s="48">
        <v>0.70799999999999996</v>
      </c>
      <c r="GU9" s="48">
        <v>1.8879999999999999</v>
      </c>
      <c r="GV9" s="49">
        <v>0</v>
      </c>
      <c r="GW9" s="48">
        <v>0</v>
      </c>
      <c r="GX9" s="48">
        <v>0</v>
      </c>
      <c r="GY9" s="48">
        <v>11.76</v>
      </c>
      <c r="GZ9" s="48">
        <v>13.548</v>
      </c>
      <c r="HA9" s="48">
        <v>14.896000000000001</v>
      </c>
      <c r="HB9" s="48">
        <v>0</v>
      </c>
      <c r="HC9" s="48">
        <v>36.398000000000003</v>
      </c>
      <c r="HD9" s="48">
        <v>82</v>
      </c>
      <c r="HE9" s="49">
        <v>0</v>
      </c>
      <c r="HF9" s="49">
        <v>0</v>
      </c>
      <c r="HG9" s="48">
        <v>67.400000000000006</v>
      </c>
      <c r="HH9" s="48">
        <v>76.739999999999995</v>
      </c>
      <c r="HI9" s="49">
        <v>0</v>
      </c>
      <c r="HJ9" s="49">
        <v>0</v>
      </c>
      <c r="HK9" s="49">
        <v>0</v>
      </c>
      <c r="HL9" s="48">
        <v>56</v>
      </c>
      <c r="HM9" s="48">
        <v>50</v>
      </c>
      <c r="HN9" s="48">
        <v>64</v>
      </c>
      <c r="HO9" s="49">
        <v>58</v>
      </c>
      <c r="HP9" s="48">
        <v>61</v>
      </c>
      <c r="HQ9" s="49">
        <v>59</v>
      </c>
      <c r="HR9" s="48">
        <v>54</v>
      </c>
      <c r="HS9" s="48">
        <v>62</v>
      </c>
      <c r="HT9" s="49">
        <v>-1.476</v>
      </c>
      <c r="HU9" s="49">
        <v>0</v>
      </c>
      <c r="HV9" s="49">
        <v>1.3320000000000001</v>
      </c>
      <c r="HW9" s="48">
        <v>37.61</v>
      </c>
      <c r="HX9" s="48">
        <v>44.39</v>
      </c>
      <c r="HY9" s="48">
        <v>50.68</v>
      </c>
      <c r="HZ9" s="48">
        <v>50.68</v>
      </c>
      <c r="IA9" s="49">
        <v>2.859</v>
      </c>
      <c r="IB9" s="49">
        <v>104</v>
      </c>
      <c r="IC9" s="49">
        <v>22.375</v>
      </c>
      <c r="ID9" s="48">
        <v>-0.45100000000000001</v>
      </c>
      <c r="IE9" s="48">
        <v>-0.23</v>
      </c>
      <c r="IF9" s="49">
        <v>807.6</v>
      </c>
      <c r="IG9" s="48">
        <v>760.4</v>
      </c>
      <c r="IH9" s="48">
        <v>814.1</v>
      </c>
      <c r="II9" s="48">
        <v>771.8</v>
      </c>
      <c r="IJ9" s="48">
        <v>-9.9000000000000005E-2</v>
      </c>
      <c r="IK9" s="49">
        <v>6.3E-2</v>
      </c>
      <c r="IL9" s="48">
        <v>72.069999999999993</v>
      </c>
      <c r="IM9" s="48">
        <v>72.069999999999993</v>
      </c>
      <c r="IN9" s="48">
        <v>11.542</v>
      </c>
      <c r="IO9" s="49">
        <v>0.53100000000000003</v>
      </c>
      <c r="IP9" s="48">
        <v>8.9499999999999993</v>
      </c>
      <c r="IQ9" s="48">
        <v>0.01</v>
      </c>
      <c r="IR9" s="49">
        <v>7.0000000000000001E-3</v>
      </c>
    </row>
    <row r="10" spans="2:252" x14ac:dyDescent="0.25">
      <c r="B10" s="2" t="s">
        <v>409</v>
      </c>
      <c r="C10" s="2" t="s">
        <v>44</v>
      </c>
      <c r="D10" s="57">
        <v>2.8603009259259259E-3</v>
      </c>
      <c r="E10" s="48">
        <v>247.13499999999999</v>
      </c>
      <c r="F10" s="49">
        <v>334.35</v>
      </c>
      <c r="G10" s="48">
        <v>5.76</v>
      </c>
      <c r="H10" s="49">
        <v>26</v>
      </c>
      <c r="I10" s="48">
        <v>0</v>
      </c>
      <c r="J10" s="48">
        <v>19.7</v>
      </c>
      <c r="K10" s="49">
        <v>6</v>
      </c>
      <c r="L10" s="49">
        <v>6</v>
      </c>
      <c r="M10" s="49">
        <v>7</v>
      </c>
      <c r="N10" s="49">
        <v>3</v>
      </c>
      <c r="O10" s="49">
        <v>3</v>
      </c>
      <c r="P10" s="48">
        <v>0.70899999999999996</v>
      </c>
      <c r="Q10" s="48">
        <v>1.448</v>
      </c>
      <c r="R10" s="48">
        <v>0.503</v>
      </c>
      <c r="S10" s="48">
        <v>0.48399999999999999</v>
      </c>
      <c r="T10" s="48">
        <v>83.06</v>
      </c>
      <c r="U10" s="48">
        <v>60.338000000000001</v>
      </c>
      <c r="V10" s="48">
        <v>231.66</v>
      </c>
      <c r="W10" s="48">
        <v>251.66</v>
      </c>
      <c r="X10" s="48">
        <v>175</v>
      </c>
      <c r="Y10" s="48">
        <v>221.66</v>
      </c>
      <c r="Z10" s="48">
        <v>361.01</v>
      </c>
      <c r="AA10" s="48">
        <v>376.94</v>
      </c>
      <c r="AB10" s="48">
        <v>270.36</v>
      </c>
      <c r="AC10" s="48">
        <v>338.84</v>
      </c>
      <c r="AD10" s="48">
        <v>1.7949999999999999</v>
      </c>
      <c r="AE10" s="48">
        <v>1.8580000000000001</v>
      </c>
      <c r="AF10" s="48">
        <v>1.889</v>
      </c>
      <c r="AG10" s="48">
        <v>1.9650000000000001</v>
      </c>
      <c r="AH10" s="49">
        <v>76.56</v>
      </c>
      <c r="AI10" s="48">
        <v>70.22</v>
      </c>
      <c r="AJ10" s="49">
        <v>110.17</v>
      </c>
      <c r="AK10" s="49">
        <v>111.08</v>
      </c>
      <c r="AL10" s="48">
        <v>666.33299999999997</v>
      </c>
      <c r="AM10" s="48">
        <v>675.40899999999999</v>
      </c>
      <c r="AN10" s="48">
        <v>866.96100000000001</v>
      </c>
      <c r="AO10" s="48">
        <v>847.84299999999996</v>
      </c>
      <c r="AP10" s="48">
        <v>1.41</v>
      </c>
      <c r="AQ10" s="48">
        <v>1.88</v>
      </c>
      <c r="AR10" s="48">
        <v>41.423999999999999</v>
      </c>
      <c r="AS10" s="49">
        <v>40.418999999999997</v>
      </c>
      <c r="AT10" s="49">
        <v>83</v>
      </c>
      <c r="AU10" s="49">
        <v>119</v>
      </c>
      <c r="AV10" s="48">
        <v>1.361</v>
      </c>
      <c r="AW10" s="48">
        <v>4.5216000000000003</v>
      </c>
      <c r="AX10" s="48">
        <v>1014.8</v>
      </c>
      <c r="AY10" s="48">
        <v>2.4700000000000002</v>
      </c>
      <c r="AZ10" s="48">
        <v>5.0599999999999996</v>
      </c>
      <c r="BA10" s="48">
        <v>95.513999999999996</v>
      </c>
      <c r="BB10" s="48">
        <v>99.313999999999993</v>
      </c>
      <c r="BC10" s="48">
        <v>7771</v>
      </c>
      <c r="BD10" s="49">
        <v>89.5</v>
      </c>
      <c r="BE10" s="48">
        <v>14.78</v>
      </c>
      <c r="BF10" s="48">
        <v>13.535</v>
      </c>
      <c r="BG10" s="48">
        <v>28.14</v>
      </c>
      <c r="BH10" s="49">
        <v>31.23</v>
      </c>
      <c r="BI10" s="48">
        <v>65.36</v>
      </c>
      <c r="BJ10" s="49">
        <v>79.491</v>
      </c>
      <c r="BK10" s="48">
        <v>63.866</v>
      </c>
      <c r="BL10" s="48">
        <v>76.787000000000006</v>
      </c>
      <c r="BM10" s="49">
        <v>77.677000000000007</v>
      </c>
      <c r="BN10" s="49">
        <v>109.176</v>
      </c>
      <c r="BO10" s="49">
        <v>109.08</v>
      </c>
      <c r="BP10" s="48">
        <v>125.8</v>
      </c>
      <c r="BQ10" s="48">
        <v>130.68</v>
      </c>
      <c r="BR10" s="49">
        <v>60.183</v>
      </c>
      <c r="BS10" s="49">
        <v>25.7</v>
      </c>
      <c r="BT10" s="49">
        <v>7391.5640000000003</v>
      </c>
      <c r="BU10" s="48">
        <v>48.085999999999999</v>
      </c>
      <c r="BV10" s="48">
        <v>52.14</v>
      </c>
      <c r="BW10" s="48">
        <v>51.101999999999997</v>
      </c>
      <c r="BX10" s="48">
        <v>53.19</v>
      </c>
      <c r="BY10" s="48">
        <v>1.601</v>
      </c>
      <c r="BZ10" s="48">
        <v>3.2890000000000001</v>
      </c>
      <c r="CA10" s="48">
        <v>3.0539999999999998</v>
      </c>
      <c r="CB10" s="48">
        <v>3.335</v>
      </c>
      <c r="CC10" s="48">
        <v>1.329</v>
      </c>
      <c r="CD10" s="48">
        <v>2.36</v>
      </c>
      <c r="CE10" s="48">
        <v>1.2769999999999999</v>
      </c>
      <c r="CF10" s="48">
        <v>2.0659999999999998</v>
      </c>
      <c r="CG10" s="49">
        <v>13.754</v>
      </c>
      <c r="CH10" s="48">
        <v>13.433</v>
      </c>
      <c r="CI10" s="3"/>
      <c r="CJ10" s="3"/>
      <c r="CK10" s="3"/>
      <c r="CL10" s="49">
        <v>0.2</v>
      </c>
      <c r="CM10" s="48">
        <v>0.4</v>
      </c>
      <c r="CN10" s="49">
        <v>0</v>
      </c>
      <c r="CO10" s="49">
        <v>0</v>
      </c>
      <c r="CP10" s="49">
        <v>94.141999999999996</v>
      </c>
      <c r="CQ10" s="49">
        <v>94.671999999999997</v>
      </c>
      <c r="CR10" s="48">
        <v>118.43</v>
      </c>
      <c r="CS10" s="48">
        <v>124.753</v>
      </c>
      <c r="CT10" s="48">
        <v>0.28499999999999998</v>
      </c>
      <c r="CU10" s="48">
        <v>1.0980000000000001</v>
      </c>
      <c r="CV10" s="49">
        <v>2.1</v>
      </c>
      <c r="CW10" s="48">
        <v>0.9</v>
      </c>
      <c r="CX10" s="48">
        <v>1.702</v>
      </c>
      <c r="CY10" s="48">
        <v>0.89800000000000002</v>
      </c>
      <c r="CZ10" s="48">
        <v>1.202</v>
      </c>
      <c r="DA10" s="48">
        <v>0.69899999999999995</v>
      </c>
      <c r="DB10" s="48">
        <v>1.1970000000000001</v>
      </c>
      <c r="DC10" s="49">
        <v>0</v>
      </c>
      <c r="DD10" s="49">
        <v>0</v>
      </c>
      <c r="DE10" s="48">
        <v>0.186</v>
      </c>
      <c r="DF10" s="48">
        <v>8.5999999999999993E-2</v>
      </c>
      <c r="DG10" s="48">
        <v>0.29199999999999998</v>
      </c>
      <c r="DH10" s="48">
        <v>1.52</v>
      </c>
      <c r="DI10" s="48">
        <v>0.88600000000000001</v>
      </c>
      <c r="DJ10" s="48">
        <v>1.9E-2</v>
      </c>
      <c r="DK10" s="48">
        <v>0.74199999999999999</v>
      </c>
      <c r="DL10" s="48">
        <v>0.41599999999999998</v>
      </c>
      <c r="DM10" s="48">
        <v>6.0999999999999999E-2</v>
      </c>
      <c r="DN10" s="48">
        <v>-11.182</v>
      </c>
      <c r="DO10" s="48">
        <v>0.30199999999999999</v>
      </c>
      <c r="DP10" s="48">
        <v>66.903999999999996</v>
      </c>
      <c r="DQ10" s="49">
        <v>61.429000000000002</v>
      </c>
      <c r="DR10" s="48">
        <v>53.887999999999998</v>
      </c>
      <c r="DS10" s="48">
        <v>50.424999999999997</v>
      </c>
      <c r="DT10" s="48">
        <v>5.85</v>
      </c>
      <c r="DU10" s="48">
        <v>5.94</v>
      </c>
      <c r="DV10" s="48">
        <v>10.7</v>
      </c>
      <c r="DW10" s="48">
        <v>8.69</v>
      </c>
      <c r="DX10" s="48">
        <v>6.09</v>
      </c>
      <c r="DY10" s="48">
        <v>6.17</v>
      </c>
      <c r="DZ10" s="48">
        <v>10.28</v>
      </c>
      <c r="EA10" s="48">
        <v>8.43</v>
      </c>
      <c r="EB10" s="48">
        <v>41.76</v>
      </c>
      <c r="EC10" s="48">
        <v>41.09</v>
      </c>
      <c r="ED10" s="48">
        <v>33.82</v>
      </c>
      <c r="EE10" s="48">
        <v>36.39</v>
      </c>
      <c r="EF10" s="48">
        <v>46.29</v>
      </c>
      <c r="EG10" s="48">
        <v>46.79</v>
      </c>
      <c r="EH10" s="48">
        <v>45.19</v>
      </c>
      <c r="EI10" s="48">
        <v>46.49</v>
      </c>
      <c r="EJ10" s="49">
        <v>7.1669999999999998</v>
      </c>
      <c r="EK10" s="48">
        <v>62.567999999999998</v>
      </c>
      <c r="EL10" s="49">
        <v>2.35</v>
      </c>
      <c r="EM10" s="48">
        <v>1.85</v>
      </c>
      <c r="EN10" s="49">
        <v>1.23</v>
      </c>
      <c r="EO10" s="49">
        <v>1.2</v>
      </c>
      <c r="EP10" s="49">
        <v>-103.886</v>
      </c>
      <c r="EQ10" s="48">
        <v>-2.2410000000000001</v>
      </c>
      <c r="ER10" s="48">
        <v>84.162000000000006</v>
      </c>
      <c r="ES10" s="48">
        <v>1.4410000000000001</v>
      </c>
      <c r="ET10" s="48">
        <v>1.5740000000000001</v>
      </c>
      <c r="EU10" s="48">
        <v>1.393</v>
      </c>
      <c r="EV10" s="48">
        <v>7.6280000000000001</v>
      </c>
      <c r="EW10" s="48">
        <v>3.4239999999999999</v>
      </c>
      <c r="EX10" s="48">
        <v>69.28</v>
      </c>
      <c r="EY10" s="48">
        <v>0.18</v>
      </c>
      <c r="EZ10" s="49">
        <v>1.7909999999999999</v>
      </c>
      <c r="FA10" s="49">
        <v>0</v>
      </c>
      <c r="FB10" s="49">
        <v>9.0459999999999994</v>
      </c>
      <c r="FC10" s="48">
        <v>70.378</v>
      </c>
      <c r="FD10" s="48">
        <v>65.165999999999997</v>
      </c>
      <c r="FE10" s="48">
        <v>84.025000000000006</v>
      </c>
      <c r="FF10" s="48">
        <v>81.611999999999995</v>
      </c>
      <c r="FG10" s="49">
        <v>0.97099999999999997</v>
      </c>
      <c r="FH10" s="48">
        <v>0.92400000000000004</v>
      </c>
      <c r="FI10" s="48">
        <v>0.995</v>
      </c>
      <c r="FJ10" s="48">
        <v>0.999</v>
      </c>
      <c r="FK10" s="48">
        <v>0</v>
      </c>
      <c r="FL10" s="49">
        <v>83</v>
      </c>
      <c r="FM10" s="49">
        <v>3.99</v>
      </c>
      <c r="FN10" s="48">
        <v>2.21</v>
      </c>
      <c r="FO10" s="48">
        <v>4.8099999999999996</v>
      </c>
      <c r="FP10" s="49">
        <v>3.7</v>
      </c>
      <c r="FQ10" s="48">
        <v>4.5</v>
      </c>
      <c r="FR10" s="49">
        <v>4.95</v>
      </c>
      <c r="FS10" s="48">
        <v>6.5774999999999997</v>
      </c>
      <c r="FT10" s="48">
        <v>1074</v>
      </c>
      <c r="FU10" s="48">
        <v>5.99</v>
      </c>
      <c r="FV10" s="49">
        <v>23.56</v>
      </c>
      <c r="FW10" s="48">
        <v>3058</v>
      </c>
      <c r="FX10" s="48">
        <v>163500</v>
      </c>
      <c r="FY10" s="49">
        <v>164700</v>
      </c>
      <c r="FZ10" s="48">
        <v>47.238999999999997</v>
      </c>
      <c r="GA10" s="48">
        <v>47.627000000000002</v>
      </c>
      <c r="GB10" s="49">
        <v>2301.1</v>
      </c>
      <c r="GC10" s="48">
        <v>2136.6</v>
      </c>
      <c r="GD10" s="49">
        <v>2358.3000000000002</v>
      </c>
      <c r="GE10" s="48">
        <v>2224.9</v>
      </c>
      <c r="GF10" s="48">
        <v>1268.5</v>
      </c>
      <c r="GG10" s="48">
        <v>30</v>
      </c>
      <c r="GH10" s="48">
        <v>30.4</v>
      </c>
      <c r="GI10" s="48">
        <v>45.9</v>
      </c>
      <c r="GJ10" s="48">
        <v>51.2</v>
      </c>
      <c r="GK10" s="48">
        <v>99.5</v>
      </c>
      <c r="GL10" s="48">
        <v>109.3</v>
      </c>
      <c r="GM10" s="49">
        <v>0</v>
      </c>
      <c r="GN10" s="48">
        <v>23.401</v>
      </c>
      <c r="GO10" s="48">
        <v>103.886</v>
      </c>
      <c r="GP10" s="49">
        <v>0</v>
      </c>
      <c r="GQ10" s="48">
        <v>1.8879999999999999</v>
      </c>
      <c r="GR10" s="49">
        <v>0</v>
      </c>
      <c r="GS10" s="48">
        <v>1.9470000000000001</v>
      </c>
      <c r="GT10" s="49">
        <v>0</v>
      </c>
      <c r="GU10" s="48">
        <v>1.8879999999999999</v>
      </c>
      <c r="GV10" s="49">
        <v>0</v>
      </c>
      <c r="GW10" s="48">
        <v>0</v>
      </c>
      <c r="GX10" s="48">
        <v>0</v>
      </c>
      <c r="GY10" s="49">
        <v>0</v>
      </c>
      <c r="GZ10" s="48">
        <v>13.253</v>
      </c>
      <c r="HA10" s="48">
        <v>14.896000000000001</v>
      </c>
      <c r="HB10" s="48">
        <v>0</v>
      </c>
      <c r="HC10" s="48">
        <v>34.704000000000001</v>
      </c>
      <c r="HD10" s="49">
        <v>86</v>
      </c>
      <c r="HE10" s="49">
        <v>0</v>
      </c>
      <c r="HF10" s="49">
        <v>0</v>
      </c>
      <c r="HG10" s="48">
        <v>66.900000000000006</v>
      </c>
      <c r="HH10" s="48">
        <v>76.47</v>
      </c>
      <c r="HI10" s="49">
        <v>0</v>
      </c>
      <c r="HJ10" s="49">
        <v>0</v>
      </c>
      <c r="HK10" s="49">
        <v>0</v>
      </c>
      <c r="HL10" s="48">
        <v>57</v>
      </c>
      <c r="HM10" s="48">
        <v>50</v>
      </c>
      <c r="HN10" s="49">
        <v>65</v>
      </c>
      <c r="HO10" s="49">
        <v>58</v>
      </c>
      <c r="HP10" s="49">
        <v>62</v>
      </c>
      <c r="HQ10" s="49">
        <v>59</v>
      </c>
      <c r="HR10" s="48">
        <v>54</v>
      </c>
      <c r="HS10" s="49">
        <v>70</v>
      </c>
      <c r="HT10" s="48">
        <v>-1.4630000000000001</v>
      </c>
      <c r="HU10" s="49">
        <v>0</v>
      </c>
      <c r="HV10" s="48">
        <v>1.091</v>
      </c>
      <c r="HW10" s="48">
        <v>44.42</v>
      </c>
      <c r="HX10" s="48">
        <v>44.39</v>
      </c>
      <c r="HY10" s="3"/>
      <c r="HZ10" s="3"/>
      <c r="IA10" s="48">
        <v>2.7469999999999999</v>
      </c>
      <c r="IB10" s="48">
        <v>103</v>
      </c>
      <c r="IC10" s="48">
        <v>22.172999999999998</v>
      </c>
      <c r="ID10" s="48">
        <v>-0.373</v>
      </c>
      <c r="IE10" s="49">
        <v>-0.191</v>
      </c>
      <c r="IF10" s="48">
        <v>807.5</v>
      </c>
      <c r="IG10" s="48">
        <v>741.4</v>
      </c>
      <c r="IH10" s="49">
        <v>822</v>
      </c>
      <c r="II10" s="48">
        <v>755</v>
      </c>
      <c r="IJ10" s="48">
        <v>-4.5999999999999999E-2</v>
      </c>
      <c r="IK10" s="48">
        <v>1.2999999999999999E-2</v>
      </c>
      <c r="IL10" s="48">
        <v>88.605999999999995</v>
      </c>
      <c r="IM10" s="48">
        <v>88.605999999999995</v>
      </c>
      <c r="IN10" s="49">
        <v>13.603999999999999</v>
      </c>
      <c r="IO10" s="48">
        <v>0.26500000000000001</v>
      </c>
      <c r="IP10" s="48">
        <v>9.1300000000000008</v>
      </c>
      <c r="IQ10" s="48">
        <v>0</v>
      </c>
      <c r="IR10" s="48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72D-9A0C-484F-8EE6-BEEA190B0218}">
  <sheetPr codeName="Sheet18"/>
  <dimension ref="B1:IR9"/>
  <sheetViews>
    <sheetView tabSelected="1" zoomScale="70" zoomScaleNormal="70" workbookViewId="0">
      <selection activeCell="D11" sqref="D11"/>
    </sheetView>
  </sheetViews>
  <sheetFormatPr defaultRowHeight="15" x14ac:dyDescent="0.25"/>
  <cols>
    <col min="4" max="4" width="10.140625" bestFit="1" customWidth="1"/>
  </cols>
  <sheetData>
    <row r="1" spans="2:252" x14ac:dyDescent="0.25">
      <c r="B1" t="s">
        <v>358</v>
      </c>
      <c r="C1" t="s">
        <v>410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417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x14ac:dyDescent="0.25">
      <c r="B7" s="2" t="s">
        <v>409</v>
      </c>
      <c r="C7" s="2" t="s">
        <v>41</v>
      </c>
      <c r="D7" s="57">
        <v>3.3234953703703708E-3</v>
      </c>
      <c r="E7" s="49">
        <v>287.154</v>
      </c>
      <c r="F7" s="48">
        <v>327.02999999999997</v>
      </c>
      <c r="G7" s="48">
        <v>5.82</v>
      </c>
      <c r="H7" s="48">
        <v>26</v>
      </c>
      <c r="I7" s="49">
        <v>0</v>
      </c>
      <c r="J7" s="49">
        <v>64</v>
      </c>
      <c r="K7" s="48">
        <v>6</v>
      </c>
      <c r="L7" s="49">
        <v>6</v>
      </c>
      <c r="M7" s="49">
        <v>7</v>
      </c>
      <c r="N7" s="49">
        <v>3</v>
      </c>
      <c r="O7" s="49">
        <v>3</v>
      </c>
      <c r="P7" s="49">
        <v>0.84199999999999997</v>
      </c>
      <c r="Q7" s="49">
        <v>1.355</v>
      </c>
      <c r="R7" s="49">
        <v>1.069</v>
      </c>
      <c r="S7" s="48">
        <v>0.65100000000000002</v>
      </c>
      <c r="T7" s="48">
        <v>65.28</v>
      </c>
      <c r="U7" s="49">
        <v>61.334000000000003</v>
      </c>
      <c r="V7" s="49">
        <v>203.34</v>
      </c>
      <c r="W7" s="49">
        <v>213.34</v>
      </c>
      <c r="X7" s="49">
        <v>127.5</v>
      </c>
      <c r="Y7" s="49">
        <v>155</v>
      </c>
      <c r="Z7" s="48">
        <v>340.11</v>
      </c>
      <c r="AA7" s="48">
        <v>352.89</v>
      </c>
      <c r="AB7" s="48">
        <v>213.73</v>
      </c>
      <c r="AC7" s="48">
        <v>273.85000000000002</v>
      </c>
      <c r="AD7" s="48">
        <v>1.756</v>
      </c>
      <c r="AE7" s="48">
        <v>1.792</v>
      </c>
      <c r="AF7" s="48">
        <v>1.7529999999999999</v>
      </c>
      <c r="AG7" s="48">
        <v>1.786</v>
      </c>
      <c r="AH7" s="48">
        <v>66.75</v>
      </c>
      <c r="AI7" s="48">
        <v>61.22</v>
      </c>
      <c r="AJ7" s="48">
        <v>92.71</v>
      </c>
      <c r="AK7" s="48">
        <v>93.85</v>
      </c>
      <c r="AL7" s="48">
        <v>637.64300000000003</v>
      </c>
      <c r="AM7" s="48">
        <v>638.34500000000003</v>
      </c>
      <c r="AN7" s="48">
        <v>828.05700000000002</v>
      </c>
      <c r="AO7" s="48">
        <v>814.99699999999996</v>
      </c>
      <c r="AP7" s="49">
        <v>1.363</v>
      </c>
      <c r="AQ7" s="48">
        <v>1.81</v>
      </c>
      <c r="AR7" s="48">
        <v>42.613</v>
      </c>
      <c r="AS7" s="48">
        <v>37.720999999999997</v>
      </c>
      <c r="AT7" s="49">
        <v>84</v>
      </c>
      <c r="AU7" s="48">
        <v>116</v>
      </c>
      <c r="AV7" s="48">
        <v>1.5385</v>
      </c>
      <c r="AW7" s="48">
        <v>4.3726000000000003</v>
      </c>
      <c r="AX7" s="49">
        <v>1016.7</v>
      </c>
      <c r="AY7" s="49">
        <v>2.89</v>
      </c>
      <c r="AZ7" s="48">
        <v>4.82</v>
      </c>
      <c r="BA7" s="49">
        <v>65.106999999999999</v>
      </c>
      <c r="BB7" s="49">
        <v>66.900000000000006</v>
      </c>
      <c r="BC7" s="48">
        <v>7795</v>
      </c>
      <c r="BD7" s="48">
        <v>89</v>
      </c>
      <c r="BE7" s="48">
        <v>15.36</v>
      </c>
      <c r="BF7" s="48">
        <v>14.375</v>
      </c>
      <c r="BG7" s="48">
        <v>27.5</v>
      </c>
      <c r="BH7" s="48">
        <v>28.63</v>
      </c>
      <c r="BI7" s="48">
        <v>65.331000000000003</v>
      </c>
      <c r="BJ7" s="48">
        <v>79.213999999999999</v>
      </c>
      <c r="BK7" s="48">
        <v>63.863</v>
      </c>
      <c r="BL7" s="48">
        <v>77.247</v>
      </c>
      <c r="BM7" s="48">
        <v>76.742000000000004</v>
      </c>
      <c r="BN7" s="49">
        <v>128.66399999999999</v>
      </c>
      <c r="BO7" s="49">
        <v>127.16</v>
      </c>
      <c r="BP7" s="48">
        <v>127.032</v>
      </c>
      <c r="BQ7" s="48">
        <v>130.68</v>
      </c>
      <c r="BR7" s="48">
        <v>57.912999999999997</v>
      </c>
      <c r="BS7" s="48">
        <v>25.7</v>
      </c>
      <c r="BT7" s="48">
        <v>7300.2309999999998</v>
      </c>
      <c r="BU7" s="49">
        <v>51.393999999999998</v>
      </c>
      <c r="BV7" s="49">
        <v>51.39</v>
      </c>
      <c r="BW7" s="49">
        <v>54.497999999999998</v>
      </c>
      <c r="BX7" s="49">
        <v>54.552999999999997</v>
      </c>
      <c r="BY7" s="49">
        <v>1.609</v>
      </c>
      <c r="BZ7" s="48">
        <v>2.9660000000000002</v>
      </c>
      <c r="CA7" s="49">
        <v>3.5990000000000002</v>
      </c>
      <c r="CB7" s="48">
        <v>4.1550000000000002</v>
      </c>
      <c r="CC7" s="48">
        <v>0.83</v>
      </c>
      <c r="CD7" s="49">
        <v>2.298</v>
      </c>
      <c r="CE7" s="48">
        <v>1.254</v>
      </c>
      <c r="CF7" s="48">
        <v>1.9950000000000001</v>
      </c>
      <c r="CG7" s="48">
        <v>13.593999999999999</v>
      </c>
      <c r="CH7" s="49">
        <v>10.19</v>
      </c>
      <c r="CI7" s="49">
        <v>5.4059999999999997</v>
      </c>
      <c r="CJ7" s="48">
        <v>3.3319999999999999</v>
      </c>
      <c r="CK7" s="48">
        <v>1.355</v>
      </c>
      <c r="CL7" s="49">
        <v>0.2</v>
      </c>
      <c r="CM7" s="48">
        <v>0.5</v>
      </c>
      <c r="CN7" s="48">
        <v>0</v>
      </c>
      <c r="CO7" s="48">
        <v>0</v>
      </c>
      <c r="CP7" s="49">
        <v>105.846</v>
      </c>
      <c r="CQ7" s="49">
        <v>105.628</v>
      </c>
      <c r="CR7" s="48">
        <v>107.294</v>
      </c>
      <c r="CS7" s="48">
        <v>111.90600000000001</v>
      </c>
      <c r="CT7" s="49">
        <v>0.49299999999999999</v>
      </c>
      <c r="CU7" s="48">
        <v>1.1990000000000001</v>
      </c>
      <c r="CV7" s="48">
        <v>1.6990000000000001</v>
      </c>
      <c r="CW7" s="49">
        <v>1.7</v>
      </c>
      <c r="CX7" s="49">
        <v>2.097</v>
      </c>
      <c r="CY7" s="49">
        <v>1.298</v>
      </c>
      <c r="CZ7" s="48">
        <v>1.202</v>
      </c>
      <c r="DA7" s="49">
        <v>1.101</v>
      </c>
      <c r="DB7" s="49">
        <v>2.1989999999999998</v>
      </c>
      <c r="DC7" s="49">
        <v>8.0000000000000002E-3</v>
      </c>
      <c r="DD7" s="49">
        <v>0</v>
      </c>
      <c r="DE7" s="48">
        <v>0.23599999999999999</v>
      </c>
      <c r="DF7" s="48">
        <v>0.13400000000000001</v>
      </c>
      <c r="DG7" s="48">
        <v>0.38500000000000001</v>
      </c>
      <c r="DH7" s="48">
        <v>2.4180000000000001</v>
      </c>
      <c r="DI7" s="48">
        <v>1.216</v>
      </c>
      <c r="DJ7" s="48">
        <v>0.221</v>
      </c>
      <c r="DK7" s="48">
        <v>0.93200000000000005</v>
      </c>
      <c r="DL7" s="49">
        <v>0.40799999999999997</v>
      </c>
      <c r="DM7" s="48">
        <v>0.91300000000000003</v>
      </c>
      <c r="DN7" s="48">
        <v>0.47899999999999998</v>
      </c>
      <c r="DO7" s="49">
        <v>0.47199999999999998</v>
      </c>
      <c r="DP7" s="48">
        <v>65.909000000000006</v>
      </c>
      <c r="DQ7" s="49">
        <v>60.524999999999999</v>
      </c>
      <c r="DR7" s="49">
        <v>55.527000000000001</v>
      </c>
      <c r="DS7" s="49">
        <v>51.17</v>
      </c>
      <c r="DT7" s="48">
        <v>4.34</v>
      </c>
      <c r="DU7" s="48">
        <v>4.4400000000000004</v>
      </c>
      <c r="DV7" s="48">
        <v>8.26</v>
      </c>
      <c r="DW7" s="48">
        <v>6.59</v>
      </c>
      <c r="DX7" s="48">
        <v>4.51</v>
      </c>
      <c r="DY7" s="48">
        <v>4.3899999999999997</v>
      </c>
      <c r="DZ7" s="48">
        <v>7.82</v>
      </c>
      <c r="EA7" s="48">
        <v>6.22</v>
      </c>
      <c r="EB7" s="48">
        <v>35.51</v>
      </c>
      <c r="EC7" s="48">
        <v>35.380000000000003</v>
      </c>
      <c r="ED7" s="48">
        <v>28.8</v>
      </c>
      <c r="EE7" s="48">
        <v>31.74</v>
      </c>
      <c r="EF7" s="49">
        <v>55.64</v>
      </c>
      <c r="EG7" s="49">
        <v>55.79</v>
      </c>
      <c r="EH7" s="49">
        <v>55.12</v>
      </c>
      <c r="EI7" s="49">
        <v>55.46</v>
      </c>
      <c r="EJ7" s="48">
        <v>7.0149999999999997</v>
      </c>
      <c r="EK7" s="48">
        <v>62.448</v>
      </c>
      <c r="EL7" s="49">
        <v>2.65</v>
      </c>
      <c r="EM7" s="49">
        <v>1.9</v>
      </c>
      <c r="EN7" s="48">
        <v>1.19</v>
      </c>
      <c r="EO7" s="49">
        <v>1.2</v>
      </c>
      <c r="EP7" s="48">
        <v>-86.95</v>
      </c>
      <c r="EQ7" s="49">
        <v>-1.359</v>
      </c>
      <c r="ER7" s="48">
        <v>101.974</v>
      </c>
      <c r="ES7" s="48">
        <v>1.1479999999999999</v>
      </c>
      <c r="ET7" s="48">
        <v>1.2629999999999999</v>
      </c>
      <c r="EU7" s="48">
        <v>1.1080000000000001</v>
      </c>
      <c r="EV7" s="48">
        <v>7.5860000000000003</v>
      </c>
      <c r="EW7" s="48">
        <v>3.4049999999999998</v>
      </c>
      <c r="EX7" s="48">
        <v>-215.48</v>
      </c>
      <c r="EY7" s="49">
        <v>0.10100000000000001</v>
      </c>
      <c r="EZ7" s="48">
        <v>0</v>
      </c>
      <c r="FA7" s="49">
        <v>0</v>
      </c>
      <c r="FB7" s="48">
        <v>8.02</v>
      </c>
      <c r="FC7" s="48">
        <v>67.948999999999998</v>
      </c>
      <c r="FD7" s="48">
        <v>63.55</v>
      </c>
      <c r="FE7" s="48">
        <v>76.501000000000005</v>
      </c>
      <c r="FF7" s="48">
        <v>75.245999999999995</v>
      </c>
      <c r="FG7" s="48">
        <v>1</v>
      </c>
      <c r="FH7" s="49">
        <v>1.012</v>
      </c>
      <c r="FI7" s="49">
        <v>1</v>
      </c>
      <c r="FJ7" s="49">
        <v>1.004</v>
      </c>
      <c r="FK7" s="49">
        <v>0.20200000000000001</v>
      </c>
      <c r="FL7" s="49">
        <v>84</v>
      </c>
      <c r="FM7" s="49">
        <v>3.92</v>
      </c>
      <c r="FN7" s="48">
        <v>1.63</v>
      </c>
      <c r="FO7" s="48">
        <v>4.82</v>
      </c>
      <c r="FP7" s="49">
        <v>0.45</v>
      </c>
      <c r="FQ7" s="48">
        <v>4.75</v>
      </c>
      <c r="FR7" s="49">
        <v>4.95</v>
      </c>
      <c r="FS7" s="49">
        <v>6.4684999999999997</v>
      </c>
      <c r="FT7" s="49">
        <v>1071.2</v>
      </c>
      <c r="FU7" s="48">
        <v>6.02</v>
      </c>
      <c r="FV7" s="48">
        <v>29.38</v>
      </c>
      <c r="FW7" s="48">
        <v>2904.5</v>
      </c>
      <c r="FX7" s="48">
        <v>161400</v>
      </c>
      <c r="FY7" s="48">
        <v>162500</v>
      </c>
      <c r="FZ7" s="49">
        <v>47.887</v>
      </c>
      <c r="GA7" s="49">
        <v>48.317</v>
      </c>
      <c r="GB7" s="49">
        <v>2181.1</v>
      </c>
      <c r="GC7" s="48">
        <v>2141.8000000000002</v>
      </c>
      <c r="GD7" s="48">
        <v>2186</v>
      </c>
      <c r="GE7" s="48">
        <v>2186.3000000000002</v>
      </c>
      <c r="GF7" s="49">
        <v>1474.2813000000001</v>
      </c>
      <c r="GG7" s="48">
        <v>31</v>
      </c>
      <c r="GH7" s="48">
        <v>31.2</v>
      </c>
      <c r="GI7" s="49">
        <v>49.7</v>
      </c>
      <c r="GJ7" s="49">
        <v>55.3</v>
      </c>
      <c r="GK7" s="49">
        <v>98</v>
      </c>
      <c r="GL7" s="48">
        <v>110.8</v>
      </c>
      <c r="GM7" s="49">
        <v>0</v>
      </c>
      <c r="GN7" s="48">
        <v>24.363</v>
      </c>
      <c r="GO7" s="48">
        <v>101.974</v>
      </c>
      <c r="GP7" s="49">
        <v>0</v>
      </c>
      <c r="GQ7" s="49">
        <v>3.2450000000000001</v>
      </c>
      <c r="GR7" s="49">
        <v>0</v>
      </c>
      <c r="GS7" s="49">
        <v>3.363</v>
      </c>
      <c r="GT7" s="49">
        <v>0</v>
      </c>
      <c r="GU7" s="49">
        <v>4.484</v>
      </c>
      <c r="GV7" s="49">
        <v>0</v>
      </c>
      <c r="GW7" s="49">
        <v>0.01</v>
      </c>
      <c r="GX7" s="49">
        <v>21.56</v>
      </c>
      <c r="GY7" s="49">
        <v>0</v>
      </c>
      <c r="GZ7" s="48">
        <v>10.728999999999999</v>
      </c>
      <c r="HA7" s="49">
        <v>21.265999999999998</v>
      </c>
      <c r="HB7" s="49">
        <v>1</v>
      </c>
      <c r="HC7" s="48">
        <v>33.119999999999997</v>
      </c>
      <c r="HD7" s="49">
        <v>90</v>
      </c>
      <c r="HE7" s="49">
        <v>0</v>
      </c>
      <c r="HF7" s="49">
        <v>0</v>
      </c>
      <c r="HG7" s="49">
        <v>77.78</v>
      </c>
      <c r="HH7" s="49">
        <v>100</v>
      </c>
      <c r="HI7" s="49">
        <v>0</v>
      </c>
      <c r="HJ7" s="49">
        <v>0</v>
      </c>
      <c r="HK7" s="49">
        <v>0</v>
      </c>
      <c r="HL7" s="49">
        <v>61</v>
      </c>
      <c r="HM7" s="49">
        <v>51</v>
      </c>
      <c r="HN7" s="49">
        <v>65</v>
      </c>
      <c r="HO7" s="49">
        <v>58</v>
      </c>
      <c r="HP7" s="48">
        <v>61</v>
      </c>
      <c r="HQ7" s="49">
        <v>59</v>
      </c>
      <c r="HR7" s="49">
        <v>54</v>
      </c>
      <c r="HS7" s="49">
        <v>64</v>
      </c>
      <c r="HT7" s="48">
        <v>-1.4730000000000001</v>
      </c>
      <c r="HU7" s="49">
        <v>0</v>
      </c>
      <c r="HV7" s="48">
        <v>0.66600000000000004</v>
      </c>
      <c r="HW7" s="48">
        <v>41.22</v>
      </c>
      <c r="HX7" s="48">
        <v>42.01</v>
      </c>
      <c r="HY7" s="3"/>
      <c r="HZ7" s="3"/>
      <c r="IA7" s="48">
        <v>2.8220000000000001</v>
      </c>
      <c r="IB7" s="48">
        <v>100</v>
      </c>
      <c r="IC7" s="48">
        <v>19.143000000000001</v>
      </c>
      <c r="ID7" s="49">
        <v>-0.19700000000000001</v>
      </c>
      <c r="IE7" s="49">
        <v>-0.10100000000000001</v>
      </c>
      <c r="IF7" s="48">
        <v>802.3</v>
      </c>
      <c r="IG7" s="48">
        <v>678.1</v>
      </c>
      <c r="IH7" s="48">
        <v>810.1</v>
      </c>
      <c r="II7" s="48">
        <v>694.9</v>
      </c>
      <c r="IJ7" s="49">
        <v>-8.0000000000000002E-3</v>
      </c>
      <c r="IK7" s="49">
        <v>2.1000000000000001E-2</v>
      </c>
      <c r="IL7" s="49">
        <v>141.631</v>
      </c>
      <c r="IM7" s="49">
        <v>141.631</v>
      </c>
      <c r="IN7" s="49">
        <v>17.189</v>
      </c>
      <c r="IO7" s="48">
        <v>0.22800000000000001</v>
      </c>
      <c r="IP7" s="49">
        <v>9.2899999999999991</v>
      </c>
      <c r="IQ7" s="48">
        <v>3.0000000000000001E-3</v>
      </c>
      <c r="IR7" s="49">
        <v>4.0000000000000001E-3</v>
      </c>
    </row>
    <row r="8" spans="2:252" x14ac:dyDescent="0.25">
      <c r="B8" s="2" t="s">
        <v>409</v>
      </c>
      <c r="C8" s="58" t="s">
        <v>42</v>
      </c>
      <c r="D8" s="59">
        <v>2.4440972222222221E-3</v>
      </c>
      <c r="E8" s="48">
        <v>211.17</v>
      </c>
      <c r="F8" s="48">
        <v>330.92</v>
      </c>
      <c r="G8" s="49">
        <v>6.09</v>
      </c>
      <c r="H8" s="49">
        <v>26.1</v>
      </c>
      <c r="I8" s="49">
        <v>0</v>
      </c>
      <c r="J8" s="48">
        <v>11</v>
      </c>
      <c r="K8" s="49">
        <v>7</v>
      </c>
      <c r="L8" s="49">
        <v>6</v>
      </c>
      <c r="M8" s="49">
        <v>7</v>
      </c>
      <c r="N8" s="49">
        <v>3</v>
      </c>
      <c r="O8" s="49">
        <v>3</v>
      </c>
      <c r="P8" s="48">
        <v>0.76200000000000001</v>
      </c>
      <c r="Q8" s="48">
        <v>1.28</v>
      </c>
      <c r="R8" s="48">
        <v>0.79200000000000004</v>
      </c>
      <c r="S8" s="49">
        <v>0.79</v>
      </c>
      <c r="T8" s="49">
        <v>78.73</v>
      </c>
      <c r="U8" s="48">
        <v>60.177</v>
      </c>
      <c r="V8" s="48">
        <v>240</v>
      </c>
      <c r="W8" s="48">
        <v>263.33999999999997</v>
      </c>
      <c r="X8" s="48">
        <v>172.5</v>
      </c>
      <c r="Y8" s="48">
        <v>213.34</v>
      </c>
      <c r="Z8" s="49">
        <v>384.97</v>
      </c>
      <c r="AA8" s="49">
        <v>403.85</v>
      </c>
      <c r="AB8" s="49">
        <v>296.8</v>
      </c>
      <c r="AC8" s="49">
        <v>362.16</v>
      </c>
      <c r="AD8" s="48">
        <v>1.7809999999999999</v>
      </c>
      <c r="AE8" s="48">
        <v>1.7969999999999999</v>
      </c>
      <c r="AF8" s="48">
        <v>1.804</v>
      </c>
      <c r="AG8" s="48">
        <v>1.8149999999999999</v>
      </c>
      <c r="AH8" s="48">
        <v>75.2</v>
      </c>
      <c r="AI8" s="48">
        <v>69.06</v>
      </c>
      <c r="AJ8" s="48">
        <v>104.14</v>
      </c>
      <c r="AK8" s="48">
        <v>104.42</v>
      </c>
      <c r="AL8" s="49">
        <v>705.846</v>
      </c>
      <c r="AM8" s="49">
        <v>715.86699999999996</v>
      </c>
      <c r="AN8" s="49">
        <v>947.755</v>
      </c>
      <c r="AO8" s="49">
        <v>888.95399999999995</v>
      </c>
      <c r="AP8" s="48">
        <v>1.3520000000000001</v>
      </c>
      <c r="AQ8" s="49">
        <v>1.8280000000000001</v>
      </c>
      <c r="AR8" s="48">
        <v>40.567</v>
      </c>
      <c r="AS8" s="48">
        <v>36.206000000000003</v>
      </c>
      <c r="AT8" s="48">
        <v>83</v>
      </c>
      <c r="AU8" s="48">
        <v>120</v>
      </c>
      <c r="AV8" s="49">
        <v>1.244</v>
      </c>
      <c r="AW8" s="49">
        <v>4.7260999999999997</v>
      </c>
      <c r="AX8" s="48">
        <v>1015.2</v>
      </c>
      <c r="AY8" s="48">
        <v>2.5099999999999998</v>
      </c>
      <c r="AZ8" s="49">
        <v>4.66</v>
      </c>
      <c r="BA8" s="48">
        <v>113.934</v>
      </c>
      <c r="BB8" s="48">
        <v>113.82599999999999</v>
      </c>
      <c r="BC8" s="49">
        <v>8250</v>
      </c>
      <c r="BD8" s="48">
        <v>88.75</v>
      </c>
      <c r="BE8" s="49">
        <v>17.329999999999998</v>
      </c>
      <c r="BF8" s="48">
        <v>14.234999999999999</v>
      </c>
      <c r="BG8" s="49">
        <v>30.2</v>
      </c>
      <c r="BH8" s="49">
        <v>29.99</v>
      </c>
      <c r="BI8" s="3"/>
      <c r="BJ8" s="3"/>
      <c r="BK8" s="3"/>
      <c r="BL8" s="3"/>
      <c r="BM8" s="3"/>
      <c r="BN8" s="48">
        <v>100.47199999999999</v>
      </c>
      <c r="BO8" s="48">
        <v>99.128</v>
      </c>
      <c r="BP8" s="48">
        <v>123.11199999999999</v>
      </c>
      <c r="BQ8" s="48">
        <v>125.57599999999999</v>
      </c>
      <c r="BR8" s="3"/>
      <c r="BS8" s="48">
        <v>25.8</v>
      </c>
      <c r="BT8" s="48">
        <v>7267.8249999999998</v>
      </c>
      <c r="BU8" s="48">
        <v>47.854999999999997</v>
      </c>
      <c r="BV8" s="48">
        <v>51.006</v>
      </c>
      <c r="BW8" s="48">
        <v>51.082999999999998</v>
      </c>
      <c r="BX8" s="48">
        <v>52.53</v>
      </c>
      <c r="BY8" s="48">
        <v>1.3580000000000001</v>
      </c>
      <c r="BZ8" s="49">
        <v>3.6640000000000001</v>
      </c>
      <c r="CA8" s="48">
        <v>3.4089999999999998</v>
      </c>
      <c r="CB8" s="49">
        <v>4.1769999999999996</v>
      </c>
      <c r="CC8" s="48">
        <v>0.88900000000000001</v>
      </c>
      <c r="CD8" s="48">
        <v>2.13</v>
      </c>
      <c r="CE8" s="49">
        <v>1.2829999999999999</v>
      </c>
      <c r="CF8" s="49">
        <v>2.0499999999999998</v>
      </c>
      <c r="CG8" s="48">
        <v>13.726000000000001</v>
      </c>
      <c r="CH8" s="48">
        <v>13.541</v>
      </c>
      <c r="CI8" s="48">
        <v>4.1749999999999998</v>
      </c>
      <c r="CJ8" s="49">
        <v>3.472</v>
      </c>
      <c r="CK8" s="49">
        <v>1.73</v>
      </c>
      <c r="CL8" s="48">
        <v>0.1</v>
      </c>
      <c r="CM8" s="48">
        <v>0.7</v>
      </c>
      <c r="CN8" s="48">
        <v>0</v>
      </c>
      <c r="CO8" s="48">
        <v>0</v>
      </c>
      <c r="CP8" s="48">
        <v>95.4</v>
      </c>
      <c r="CQ8" s="48">
        <v>95.899000000000001</v>
      </c>
      <c r="CR8" s="48">
        <v>110.965</v>
      </c>
      <c r="CS8" s="48">
        <v>116.298</v>
      </c>
      <c r="CT8" s="48">
        <v>0.29799999999999999</v>
      </c>
      <c r="CU8" s="48">
        <v>1.1000000000000001</v>
      </c>
      <c r="CV8" s="48">
        <v>1.4</v>
      </c>
      <c r="CW8" s="48">
        <v>0.70099999999999996</v>
      </c>
      <c r="CX8" s="48">
        <v>1.099</v>
      </c>
      <c r="CY8" s="48">
        <v>0.30099999999999999</v>
      </c>
      <c r="CZ8" s="49">
        <v>1.204</v>
      </c>
      <c r="DA8" s="48">
        <v>0.499</v>
      </c>
      <c r="DB8" s="48">
        <v>1.2989999999999999</v>
      </c>
      <c r="DC8" s="48">
        <v>0</v>
      </c>
      <c r="DD8" s="49">
        <v>0</v>
      </c>
      <c r="DE8" s="49">
        <v>0.312</v>
      </c>
      <c r="DF8" s="49">
        <v>0.16500000000000001</v>
      </c>
      <c r="DG8" s="49">
        <v>1.0469999999999999</v>
      </c>
      <c r="DH8" s="49">
        <v>2.4630000000000001</v>
      </c>
      <c r="DI8" s="49">
        <v>1.252</v>
      </c>
      <c r="DJ8" s="49">
        <v>0.32800000000000001</v>
      </c>
      <c r="DK8" s="48">
        <v>0.96499999999999997</v>
      </c>
      <c r="DL8" s="48">
        <v>0.40600000000000003</v>
      </c>
      <c r="DM8" s="49">
        <v>0.95899999999999996</v>
      </c>
      <c r="DN8" s="48">
        <v>0.42799999999999999</v>
      </c>
      <c r="DO8" s="48">
        <v>-0.9</v>
      </c>
      <c r="DP8" s="49">
        <v>65.912000000000006</v>
      </c>
      <c r="DQ8" s="48">
        <v>58.831000000000003</v>
      </c>
      <c r="DR8" s="48">
        <v>53.976999999999997</v>
      </c>
      <c r="DS8" s="48">
        <v>49.771000000000001</v>
      </c>
      <c r="DT8" s="49">
        <v>6.62</v>
      </c>
      <c r="DU8" s="49">
        <v>6.59</v>
      </c>
      <c r="DV8" s="49">
        <v>12.82</v>
      </c>
      <c r="DW8" s="49">
        <v>9.75</v>
      </c>
      <c r="DX8" s="49">
        <v>7.16</v>
      </c>
      <c r="DY8" s="49">
        <v>6.9</v>
      </c>
      <c r="DZ8" s="49">
        <v>12.31</v>
      </c>
      <c r="EA8" s="49">
        <v>9.8800000000000008</v>
      </c>
      <c r="EB8" s="49">
        <v>42.46</v>
      </c>
      <c r="EC8" s="49">
        <v>41.78</v>
      </c>
      <c r="ED8" s="48">
        <v>33.619999999999997</v>
      </c>
      <c r="EE8" s="49">
        <v>37.130000000000003</v>
      </c>
      <c r="EF8" s="48">
        <v>43.76</v>
      </c>
      <c r="EG8" s="48">
        <v>44.73</v>
      </c>
      <c r="EH8" s="48">
        <v>41.25</v>
      </c>
      <c r="EI8" s="48">
        <v>43.24</v>
      </c>
      <c r="EJ8" s="48">
        <v>7.476</v>
      </c>
      <c r="EK8" s="49">
        <v>62.978000000000002</v>
      </c>
      <c r="EL8" s="48">
        <v>2.2999999999999998</v>
      </c>
      <c r="EM8" s="49">
        <v>1.9</v>
      </c>
      <c r="EN8" s="48">
        <v>1.18</v>
      </c>
      <c r="EO8" s="48">
        <v>1.19</v>
      </c>
      <c r="EP8" s="48">
        <v>-106.514</v>
      </c>
      <c r="EQ8" s="48">
        <v>-2.484</v>
      </c>
      <c r="ER8" s="49">
        <v>113.946</v>
      </c>
      <c r="ES8" s="49">
        <v>1.401</v>
      </c>
      <c r="ET8" s="49">
        <v>1.5980000000000001</v>
      </c>
      <c r="EU8" s="49">
        <v>1.381</v>
      </c>
      <c r="EV8" s="49">
        <v>7.6379999999999999</v>
      </c>
      <c r="EW8" s="48">
        <v>3.54</v>
      </c>
      <c r="EX8" s="49">
        <v>75.239999999999995</v>
      </c>
      <c r="EY8" s="48">
        <v>0</v>
      </c>
      <c r="EZ8" s="49">
        <v>2.7E-2</v>
      </c>
      <c r="FA8" s="49">
        <v>0</v>
      </c>
      <c r="FB8" s="48">
        <v>8.9960000000000004</v>
      </c>
      <c r="FC8" s="48">
        <v>68.394999999999996</v>
      </c>
      <c r="FD8" s="48">
        <v>63.332000000000001</v>
      </c>
      <c r="FE8" s="48">
        <v>76.537000000000006</v>
      </c>
      <c r="FF8" s="48">
        <v>74.695999999999998</v>
      </c>
      <c r="FG8" s="48">
        <v>0.91700000000000004</v>
      </c>
      <c r="FH8" s="48">
        <v>0.91800000000000004</v>
      </c>
      <c r="FI8" s="48">
        <v>0.997</v>
      </c>
      <c r="FJ8" s="48">
        <v>1.0029999999999999</v>
      </c>
      <c r="FK8" s="48">
        <v>0</v>
      </c>
      <c r="FL8" s="48">
        <v>83</v>
      </c>
      <c r="FM8" s="48">
        <v>3.78</v>
      </c>
      <c r="FN8" s="48">
        <v>1.29</v>
      </c>
      <c r="FO8" s="49">
        <v>4.79</v>
      </c>
      <c r="FP8" s="3"/>
      <c r="FQ8" s="48">
        <v>4.6500000000000004</v>
      </c>
      <c r="FR8" s="48">
        <v>5</v>
      </c>
      <c r="FS8" s="48">
        <v>6.4005000000000001</v>
      </c>
      <c r="FT8" s="48">
        <v>1067.5</v>
      </c>
      <c r="FU8" s="48">
        <v>6.03</v>
      </c>
      <c r="FV8" s="48">
        <v>35.47</v>
      </c>
      <c r="FW8" s="48">
        <v>2911.5</v>
      </c>
      <c r="FX8" s="49">
        <v>164800</v>
      </c>
      <c r="FY8" s="49">
        <v>166100</v>
      </c>
      <c r="FZ8" s="48">
        <v>46.765999999999998</v>
      </c>
      <c r="GA8" s="48">
        <v>47.186999999999998</v>
      </c>
      <c r="GB8" s="48">
        <v>2154.3000000000002</v>
      </c>
      <c r="GC8" s="49">
        <v>2154.1</v>
      </c>
      <c r="GD8" s="48">
        <v>2172.1</v>
      </c>
      <c r="GE8" s="48">
        <v>2173.5</v>
      </c>
      <c r="GF8" s="48">
        <v>1289.0313000000001</v>
      </c>
      <c r="GG8" s="48">
        <v>32</v>
      </c>
      <c r="GH8" s="48">
        <v>31.8</v>
      </c>
      <c r="GI8" s="48">
        <v>46.9</v>
      </c>
      <c r="GJ8" s="48">
        <v>52.1</v>
      </c>
      <c r="GK8" s="48">
        <v>99.5</v>
      </c>
      <c r="GL8" s="48">
        <v>107.6</v>
      </c>
      <c r="GM8" s="49">
        <v>0</v>
      </c>
      <c r="GN8" s="48">
        <v>25.050999999999998</v>
      </c>
      <c r="GO8" s="49">
        <v>113.946</v>
      </c>
      <c r="GP8" s="48">
        <v>0.47199999999999998</v>
      </c>
      <c r="GQ8" s="48">
        <v>1.829</v>
      </c>
      <c r="GR8" s="48">
        <v>0.76700000000000002</v>
      </c>
      <c r="GS8" s="48">
        <v>2.0059999999999998</v>
      </c>
      <c r="GT8" s="48">
        <v>0.53100000000000003</v>
      </c>
      <c r="GU8" s="48">
        <v>1.829</v>
      </c>
      <c r="GV8" s="49">
        <v>0</v>
      </c>
      <c r="GW8" s="48">
        <v>0</v>
      </c>
      <c r="GX8" s="48">
        <v>0</v>
      </c>
      <c r="GY8" s="48">
        <v>11.76</v>
      </c>
      <c r="GZ8" s="49">
        <v>13.579000000000001</v>
      </c>
      <c r="HA8" s="48">
        <v>14.994</v>
      </c>
      <c r="HB8" s="48">
        <v>0</v>
      </c>
      <c r="HC8" s="49">
        <v>36.558</v>
      </c>
      <c r="HD8" s="48">
        <v>82</v>
      </c>
      <c r="HE8" s="49">
        <v>0</v>
      </c>
      <c r="HF8" s="49">
        <v>0</v>
      </c>
      <c r="HG8" s="48">
        <v>66.8</v>
      </c>
      <c r="HH8" s="48">
        <v>78.010000000000005</v>
      </c>
      <c r="HI8" s="49">
        <v>0</v>
      </c>
      <c r="HJ8" s="49">
        <v>0</v>
      </c>
      <c r="HK8" s="49">
        <v>0</v>
      </c>
      <c r="HL8" s="48">
        <v>58</v>
      </c>
      <c r="HM8" s="49">
        <v>51</v>
      </c>
      <c r="HN8" s="49">
        <v>65</v>
      </c>
      <c r="HO8" s="49">
        <v>58</v>
      </c>
      <c r="HP8" s="49">
        <v>62</v>
      </c>
      <c r="HQ8" s="49">
        <v>59</v>
      </c>
      <c r="HR8" s="49">
        <v>54</v>
      </c>
      <c r="HS8" s="48">
        <v>62</v>
      </c>
      <c r="HT8" s="48">
        <v>-1.5115000000000001</v>
      </c>
      <c r="HU8" s="49">
        <v>0</v>
      </c>
      <c r="HV8" s="49">
        <v>0.97899999999999998</v>
      </c>
      <c r="HW8" s="49">
        <v>40.409999999999997</v>
      </c>
      <c r="HX8" s="49">
        <v>40.15</v>
      </c>
      <c r="HY8" s="49">
        <v>50.74</v>
      </c>
      <c r="HZ8" s="49">
        <v>50.74</v>
      </c>
      <c r="IA8" s="48">
        <v>2.9350000000000001</v>
      </c>
      <c r="IB8" s="49">
        <v>104</v>
      </c>
      <c r="IC8" s="49">
        <v>22.454000000000001</v>
      </c>
      <c r="ID8" s="48">
        <v>-0.26500000000000001</v>
      </c>
      <c r="IE8" s="48">
        <v>-0.14499999999999999</v>
      </c>
      <c r="IF8" s="48">
        <v>805.1</v>
      </c>
      <c r="IG8" s="49">
        <v>758.1</v>
      </c>
      <c r="IH8" s="49">
        <v>811.1</v>
      </c>
      <c r="II8" s="49">
        <v>769.3</v>
      </c>
      <c r="IJ8" s="48">
        <v>-6.0999999999999999E-2</v>
      </c>
      <c r="IK8" s="48">
        <v>-1.7999999999999999E-2</v>
      </c>
      <c r="IL8" s="48">
        <v>66.807000000000002</v>
      </c>
      <c r="IM8" s="48">
        <v>66.807000000000002</v>
      </c>
      <c r="IN8" s="48">
        <v>11.423999999999999</v>
      </c>
      <c r="IO8" s="49">
        <v>0.33</v>
      </c>
      <c r="IP8" s="48">
        <v>9.19</v>
      </c>
      <c r="IQ8" s="49">
        <v>8.0000000000000002E-3</v>
      </c>
      <c r="IR8" s="49">
        <v>4.0000000000000001E-3</v>
      </c>
    </row>
    <row r="9" spans="2:252" x14ac:dyDescent="0.25">
      <c r="B9" s="2" t="s">
        <v>409</v>
      </c>
      <c r="C9" s="2" t="s">
        <v>43</v>
      </c>
      <c r="D9" s="57">
        <v>2.9267361111111113E-3</v>
      </c>
      <c r="E9" s="48">
        <v>252.86600000000001</v>
      </c>
      <c r="F9" s="49">
        <v>333.12</v>
      </c>
      <c r="G9" s="48">
        <v>5.99</v>
      </c>
      <c r="H9" s="49">
        <v>26.1</v>
      </c>
      <c r="I9" s="49">
        <v>0</v>
      </c>
      <c r="J9" s="48">
        <v>27.7</v>
      </c>
      <c r="K9" s="49">
        <v>7</v>
      </c>
      <c r="L9" s="49">
        <v>6</v>
      </c>
      <c r="M9" s="49">
        <v>7</v>
      </c>
      <c r="N9" s="49">
        <v>3</v>
      </c>
      <c r="O9" s="49">
        <v>3</v>
      </c>
      <c r="P9" s="48">
        <v>0.72899999999999998</v>
      </c>
      <c r="Q9" s="48">
        <v>1.2290000000000001</v>
      </c>
      <c r="R9" s="48">
        <v>0.78600000000000003</v>
      </c>
      <c r="S9" s="48">
        <v>0.59699999999999998</v>
      </c>
      <c r="T9" s="48">
        <v>75.36</v>
      </c>
      <c r="U9" s="48">
        <v>60.167000000000002</v>
      </c>
      <c r="V9" s="48">
        <v>250</v>
      </c>
      <c r="W9" s="48">
        <v>270</v>
      </c>
      <c r="X9" s="48">
        <v>187.5</v>
      </c>
      <c r="Y9" s="48">
        <v>225</v>
      </c>
      <c r="Z9" s="48">
        <v>380.78</v>
      </c>
      <c r="AA9" s="48">
        <v>398.6</v>
      </c>
      <c r="AB9" s="48">
        <v>286.33999999999997</v>
      </c>
      <c r="AC9" s="48">
        <v>344.41</v>
      </c>
      <c r="AD9" s="49">
        <v>1.7969999999999999</v>
      </c>
      <c r="AE9" s="49">
        <v>1.821</v>
      </c>
      <c r="AF9" s="49">
        <v>1.8440000000000001</v>
      </c>
      <c r="AG9" s="49">
        <v>1.857</v>
      </c>
      <c r="AH9" s="49">
        <v>77.430000000000007</v>
      </c>
      <c r="AI9" s="49">
        <v>71.86</v>
      </c>
      <c r="AJ9" s="49">
        <v>108.16</v>
      </c>
      <c r="AK9" s="49">
        <v>109.15</v>
      </c>
      <c r="AL9" s="48">
        <v>677.971</v>
      </c>
      <c r="AM9" s="48">
        <v>665.11500000000001</v>
      </c>
      <c r="AN9" s="48">
        <v>870.96</v>
      </c>
      <c r="AO9" s="48">
        <v>883.62</v>
      </c>
      <c r="AP9" s="48">
        <v>1.335</v>
      </c>
      <c r="AQ9" s="48">
        <v>1.8089999999999999</v>
      </c>
      <c r="AR9" s="49">
        <v>43.127000000000002</v>
      </c>
      <c r="AS9" s="49">
        <v>38.177999999999997</v>
      </c>
      <c r="AT9" s="48">
        <v>83</v>
      </c>
      <c r="AU9" s="49">
        <v>122</v>
      </c>
      <c r="AV9" s="48">
        <v>1.331</v>
      </c>
      <c r="AW9" s="48">
        <v>4.5163000000000002</v>
      </c>
      <c r="AX9" s="48">
        <v>1014.9</v>
      </c>
      <c r="AY9" s="48">
        <v>2.48</v>
      </c>
      <c r="AZ9" s="48">
        <v>5.08</v>
      </c>
      <c r="BA9" s="48">
        <v>69.3</v>
      </c>
      <c r="BB9" s="48">
        <v>69.307000000000002</v>
      </c>
      <c r="BC9" s="48">
        <v>8076</v>
      </c>
      <c r="BD9" s="49">
        <v>90</v>
      </c>
      <c r="BE9" s="48">
        <v>16.535</v>
      </c>
      <c r="BF9" s="49">
        <v>14.885</v>
      </c>
      <c r="BG9" s="48">
        <v>28.56</v>
      </c>
      <c r="BH9" s="48">
        <v>29.6</v>
      </c>
      <c r="BI9" s="49">
        <v>65.474999999999994</v>
      </c>
      <c r="BJ9" s="49">
        <v>80.010999999999996</v>
      </c>
      <c r="BK9" s="49">
        <v>63.938000000000002</v>
      </c>
      <c r="BL9" s="49">
        <v>77.293999999999997</v>
      </c>
      <c r="BM9" s="49">
        <v>78.08</v>
      </c>
      <c r="BN9" s="48">
        <v>115.91200000000001</v>
      </c>
      <c r="BO9" s="48">
        <v>120.47199999999999</v>
      </c>
      <c r="BP9" s="49">
        <v>134.55199999999999</v>
      </c>
      <c r="BQ9" s="49">
        <v>135</v>
      </c>
      <c r="BR9" s="49">
        <v>60.195999999999998</v>
      </c>
      <c r="BS9" s="49">
        <v>25.9</v>
      </c>
      <c r="BT9" s="49">
        <v>7327.4849999999997</v>
      </c>
      <c r="BU9" s="48">
        <v>48.040999999999997</v>
      </c>
      <c r="BV9" s="48">
        <v>50.121000000000002</v>
      </c>
      <c r="BW9" s="48">
        <v>52.182000000000002</v>
      </c>
      <c r="BX9" s="48">
        <v>53.563000000000002</v>
      </c>
      <c r="BY9" s="48">
        <v>1.389</v>
      </c>
      <c r="BZ9" s="48">
        <v>3.12</v>
      </c>
      <c r="CA9" s="48">
        <v>3.157</v>
      </c>
      <c r="CB9" s="48">
        <v>3.6259999999999999</v>
      </c>
      <c r="CC9" s="49">
        <v>1.123</v>
      </c>
      <c r="CD9" s="48">
        <v>2.2389999999999999</v>
      </c>
      <c r="CE9" s="48">
        <v>1.2010000000000001</v>
      </c>
      <c r="CF9" s="48">
        <v>1.9910000000000001</v>
      </c>
      <c r="CG9" s="49">
        <v>13.738</v>
      </c>
      <c r="CH9" s="48">
        <v>13.22</v>
      </c>
      <c r="CI9" s="3"/>
      <c r="CJ9" s="3"/>
      <c r="CK9" s="3"/>
      <c r="CL9" s="48">
        <v>0</v>
      </c>
      <c r="CM9" s="49">
        <v>0.8</v>
      </c>
      <c r="CN9" s="49">
        <v>0.1</v>
      </c>
      <c r="CO9" s="49">
        <v>0.1</v>
      </c>
      <c r="CP9" s="48">
        <v>97.188000000000002</v>
      </c>
      <c r="CQ9" s="48">
        <v>98.480999999999995</v>
      </c>
      <c r="CR9" s="49">
        <v>119.557</v>
      </c>
      <c r="CS9" s="49">
        <v>122.593</v>
      </c>
      <c r="CT9" s="48">
        <v>0.38200000000000001</v>
      </c>
      <c r="CU9" s="49">
        <v>1.3029999999999999</v>
      </c>
      <c r="CV9" s="49">
        <v>1.7050000000000001</v>
      </c>
      <c r="CW9" s="48">
        <v>1.099</v>
      </c>
      <c r="CX9" s="48">
        <v>0.79900000000000004</v>
      </c>
      <c r="CY9" s="48">
        <v>0.498</v>
      </c>
      <c r="CZ9" s="48">
        <v>1.0009999999999999</v>
      </c>
      <c r="DA9" s="48">
        <v>0.60099999999999998</v>
      </c>
      <c r="DB9" s="48">
        <v>1.599</v>
      </c>
      <c r="DC9" s="48">
        <v>0</v>
      </c>
      <c r="DD9" s="49">
        <v>0</v>
      </c>
      <c r="DE9" s="48">
        <v>0.246</v>
      </c>
      <c r="DF9" s="48">
        <v>0.13200000000000001</v>
      </c>
      <c r="DG9" s="48">
        <v>0.41599999999999998</v>
      </c>
      <c r="DH9" s="48">
        <v>1.9379999999999999</v>
      </c>
      <c r="DI9" s="48">
        <v>0.94</v>
      </c>
      <c r="DJ9" s="48">
        <v>0.127</v>
      </c>
      <c r="DK9" s="49">
        <v>1.1020000000000001</v>
      </c>
      <c r="DL9" s="48">
        <v>0.40699999999999997</v>
      </c>
      <c r="DM9" s="48">
        <v>5.7000000000000002E-2</v>
      </c>
      <c r="DN9" s="49">
        <v>0.48</v>
      </c>
      <c r="DO9" s="48">
        <v>0.40300000000000002</v>
      </c>
      <c r="DP9" s="48">
        <v>64.971999999999994</v>
      </c>
      <c r="DQ9" s="48">
        <v>56.716999999999999</v>
      </c>
      <c r="DR9" s="48">
        <v>52.737000000000002</v>
      </c>
      <c r="DS9" s="48">
        <v>50.621000000000002</v>
      </c>
      <c r="DT9" s="48">
        <v>5.65</v>
      </c>
      <c r="DU9" s="48">
        <v>5.51</v>
      </c>
      <c r="DV9" s="48">
        <v>10.48</v>
      </c>
      <c r="DW9" s="48">
        <v>8.18</v>
      </c>
      <c r="DX9" s="48">
        <v>5.93</v>
      </c>
      <c r="DY9" s="48">
        <v>5.69</v>
      </c>
      <c r="DZ9" s="48">
        <v>10.19</v>
      </c>
      <c r="EA9" s="48">
        <v>8.16</v>
      </c>
      <c r="EB9" s="48">
        <v>41.43</v>
      </c>
      <c r="EC9" s="48">
        <v>40.43</v>
      </c>
      <c r="ED9" s="49">
        <v>33.83</v>
      </c>
      <c r="EE9" s="48">
        <v>35.17</v>
      </c>
      <c r="EF9" s="48">
        <v>46.99</v>
      </c>
      <c r="EG9" s="48">
        <v>48.37</v>
      </c>
      <c r="EH9" s="48">
        <v>45.5</v>
      </c>
      <c r="EI9" s="48">
        <v>48.49</v>
      </c>
      <c r="EJ9" s="49">
        <v>7.6150000000000002</v>
      </c>
      <c r="EK9" s="48">
        <v>62.896000000000001</v>
      </c>
      <c r="EL9" s="48">
        <v>2.4</v>
      </c>
      <c r="EM9" s="49">
        <v>1.9</v>
      </c>
      <c r="EN9" s="49">
        <v>1.25</v>
      </c>
      <c r="EO9" s="49">
        <v>1.2</v>
      </c>
      <c r="EP9" s="49">
        <v>-112.646</v>
      </c>
      <c r="EQ9" s="48">
        <v>-2.0139999999999998</v>
      </c>
      <c r="ER9" s="48">
        <v>101.39</v>
      </c>
      <c r="ES9" s="48">
        <v>1.329</v>
      </c>
      <c r="ET9" s="48">
        <v>1.496</v>
      </c>
      <c r="EU9" s="48">
        <v>1.3129999999999999</v>
      </c>
      <c r="EV9" s="48">
        <v>7.4930000000000003</v>
      </c>
      <c r="EW9" s="49">
        <v>3.5640000000000001</v>
      </c>
      <c r="EX9" s="48">
        <v>72.739999999999995</v>
      </c>
      <c r="EY9" s="48">
        <v>0</v>
      </c>
      <c r="EZ9" s="48">
        <v>0</v>
      </c>
      <c r="FA9" s="49">
        <v>0</v>
      </c>
      <c r="FB9" s="49">
        <v>9.0790000000000006</v>
      </c>
      <c r="FC9" s="49">
        <v>70.614000000000004</v>
      </c>
      <c r="FD9" s="49">
        <v>65.525000000000006</v>
      </c>
      <c r="FE9" s="49">
        <v>81.846999999999994</v>
      </c>
      <c r="FF9" s="49">
        <v>79.366</v>
      </c>
      <c r="FG9" s="49">
        <v>1.06</v>
      </c>
      <c r="FH9" s="48">
        <v>0.98099999999999998</v>
      </c>
      <c r="FI9" s="48">
        <v>0.997</v>
      </c>
      <c r="FJ9" s="48">
        <v>1.002</v>
      </c>
      <c r="FK9" s="48">
        <v>0</v>
      </c>
      <c r="FL9" s="48">
        <v>83</v>
      </c>
      <c r="FM9" s="48">
        <v>3.78</v>
      </c>
      <c r="FN9" s="49">
        <v>0.78</v>
      </c>
      <c r="FO9" s="48">
        <v>5.09</v>
      </c>
      <c r="FP9" s="48">
        <v>3.9</v>
      </c>
      <c r="FQ9" s="49">
        <v>4.5</v>
      </c>
      <c r="FR9" s="48">
        <v>5.05</v>
      </c>
      <c r="FS9" s="48">
        <v>6.4390000000000001</v>
      </c>
      <c r="FT9" s="48">
        <v>1069.7</v>
      </c>
      <c r="FU9" s="49">
        <v>6.3</v>
      </c>
      <c r="FV9" s="49">
        <v>41.46</v>
      </c>
      <c r="FW9" s="49">
        <v>2953.5</v>
      </c>
      <c r="FX9" s="48">
        <v>163400</v>
      </c>
      <c r="FY9" s="48">
        <v>164900</v>
      </c>
      <c r="FZ9" s="48">
        <v>46.707000000000001</v>
      </c>
      <c r="GA9" s="48">
        <v>47.112000000000002</v>
      </c>
      <c r="GB9" s="48">
        <v>2146.8000000000002</v>
      </c>
      <c r="GC9" s="48">
        <v>2151.9</v>
      </c>
      <c r="GD9" s="49">
        <v>2384.5</v>
      </c>
      <c r="GE9" s="49">
        <v>2201.8000000000002</v>
      </c>
      <c r="GF9" s="48">
        <v>1385.0625</v>
      </c>
      <c r="GG9" s="49">
        <v>33</v>
      </c>
      <c r="GH9" s="49">
        <v>32.5</v>
      </c>
      <c r="GI9" s="48">
        <v>46.4</v>
      </c>
      <c r="GJ9" s="48">
        <v>51.2</v>
      </c>
      <c r="GK9" s="48">
        <v>99</v>
      </c>
      <c r="GL9" s="49">
        <v>112</v>
      </c>
      <c r="GM9" s="49">
        <v>0</v>
      </c>
      <c r="GN9" s="49">
        <v>26.012</v>
      </c>
      <c r="GO9" s="48">
        <v>112.646</v>
      </c>
      <c r="GP9" s="49">
        <v>0</v>
      </c>
      <c r="GQ9" s="48">
        <v>1.8879999999999999</v>
      </c>
      <c r="GR9" s="49">
        <v>0</v>
      </c>
      <c r="GS9" s="48">
        <v>2.0059999999999998</v>
      </c>
      <c r="GT9" s="49">
        <v>0</v>
      </c>
      <c r="GU9" s="48">
        <v>1.829</v>
      </c>
      <c r="GV9" s="49">
        <v>0</v>
      </c>
      <c r="GW9" s="48">
        <v>0</v>
      </c>
      <c r="GX9" s="48">
        <v>0</v>
      </c>
      <c r="GY9" s="49">
        <v>0</v>
      </c>
      <c r="GZ9" s="48">
        <v>12.813000000000001</v>
      </c>
      <c r="HA9" s="48">
        <v>16.170000000000002</v>
      </c>
      <c r="HB9" s="48">
        <v>0</v>
      </c>
      <c r="HC9" s="48">
        <v>34.106999999999999</v>
      </c>
      <c r="HD9" s="48">
        <v>82</v>
      </c>
      <c r="HE9" s="49">
        <v>0</v>
      </c>
      <c r="HF9" s="49">
        <v>0</v>
      </c>
      <c r="HG9" s="48">
        <v>66.91</v>
      </c>
      <c r="HH9" s="48">
        <v>78.27</v>
      </c>
      <c r="HI9" s="49">
        <v>0</v>
      </c>
      <c r="HJ9" s="49">
        <v>0</v>
      </c>
      <c r="HK9" s="49">
        <v>0</v>
      </c>
      <c r="HL9" s="48">
        <v>58</v>
      </c>
      <c r="HM9" s="49">
        <v>51</v>
      </c>
      <c r="HN9" s="49">
        <v>65</v>
      </c>
      <c r="HO9" s="49">
        <v>58</v>
      </c>
      <c r="HP9" s="49">
        <v>62</v>
      </c>
      <c r="HQ9" s="49">
        <v>59</v>
      </c>
      <c r="HR9" s="49">
        <v>54</v>
      </c>
      <c r="HS9" s="49">
        <v>64</v>
      </c>
      <c r="HT9" s="49">
        <v>-1.5149999999999999</v>
      </c>
      <c r="HU9" s="49">
        <v>0</v>
      </c>
      <c r="HV9" s="48">
        <v>0.61399999999999999</v>
      </c>
      <c r="HW9" s="49">
        <v>40.409999999999997</v>
      </c>
      <c r="HX9" s="49">
        <v>40.15</v>
      </c>
      <c r="HY9" s="3"/>
      <c r="HZ9" s="3"/>
      <c r="IA9" s="49">
        <v>2.9969999999999999</v>
      </c>
      <c r="IB9" s="48">
        <v>103</v>
      </c>
      <c r="IC9" s="48">
        <v>22.143999999999998</v>
      </c>
      <c r="ID9" s="48">
        <v>-0.29799999999999999</v>
      </c>
      <c r="IE9" s="48">
        <v>-0.16200000000000001</v>
      </c>
      <c r="IF9" s="49">
        <v>808.7</v>
      </c>
      <c r="IG9" s="48">
        <v>736.4</v>
      </c>
      <c r="IH9" s="49">
        <v>811.1</v>
      </c>
      <c r="II9" s="48">
        <v>749.6</v>
      </c>
      <c r="IJ9" s="48">
        <v>-6.9000000000000006E-2</v>
      </c>
      <c r="IK9" s="48">
        <v>-1.7000000000000001E-2</v>
      </c>
      <c r="IL9" s="48">
        <v>87.584000000000003</v>
      </c>
      <c r="IM9" s="48">
        <v>87.584000000000003</v>
      </c>
      <c r="IN9" s="48">
        <v>13.590999999999999</v>
      </c>
      <c r="IO9" s="48">
        <v>0.26</v>
      </c>
      <c r="IP9" s="48">
        <v>9.07</v>
      </c>
      <c r="IQ9" s="48">
        <v>0</v>
      </c>
      <c r="IR9" s="48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22A2A-5D6A-4465-A7C1-21193649C2E2}">
  <sheetPr codeName="Sheet7"/>
  <dimension ref="B1:IR10"/>
  <sheetViews>
    <sheetView tabSelected="1" zoomScale="85" zoomScaleNormal="85" workbookViewId="0">
      <selection activeCell="D11" sqref="D11"/>
    </sheetView>
  </sheetViews>
  <sheetFormatPr defaultRowHeight="15" x14ac:dyDescent="0.25"/>
  <sheetData>
    <row r="1" spans="2:252" x14ac:dyDescent="0.25">
      <c r="B1" t="s">
        <v>358</v>
      </c>
      <c r="C1" t="s">
        <v>411</v>
      </c>
    </row>
    <row r="5" spans="2:252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140</v>
      </c>
      <c r="L5" s="1" t="s">
        <v>141</v>
      </c>
      <c r="M5" s="1" t="s">
        <v>142</v>
      </c>
      <c r="N5" s="1" t="s">
        <v>143</v>
      </c>
      <c r="O5" s="1" t="s">
        <v>144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67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145</v>
      </c>
      <c r="AI5" s="1" t="s">
        <v>146</v>
      </c>
      <c r="AJ5" s="1" t="s">
        <v>147</v>
      </c>
      <c r="AK5" s="1" t="s">
        <v>148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270</v>
      </c>
      <c r="AQ5" s="1" t="s">
        <v>271</v>
      </c>
      <c r="AR5" s="1" t="s">
        <v>149</v>
      </c>
      <c r="AS5" s="1" t="s">
        <v>150</v>
      </c>
      <c r="AT5" s="1" t="s">
        <v>151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152</v>
      </c>
      <c r="BB5" s="1" t="s">
        <v>153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52</v>
      </c>
      <c r="BJ5" s="1" t="s">
        <v>53</v>
      </c>
      <c r="BK5" s="1" t="s">
        <v>54</v>
      </c>
      <c r="BL5" s="1" t="s">
        <v>55</v>
      </c>
      <c r="BM5" s="1" t="s">
        <v>56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68</v>
      </c>
      <c r="BS5" s="1" t="s">
        <v>69</v>
      </c>
      <c r="BT5" s="1" t="s">
        <v>70</v>
      </c>
      <c r="BU5" s="1" t="s">
        <v>71</v>
      </c>
      <c r="BV5" s="1" t="s">
        <v>72</v>
      </c>
      <c r="BW5" s="1" t="s">
        <v>73</v>
      </c>
      <c r="BX5" s="1" t="s">
        <v>74</v>
      </c>
      <c r="BY5" s="1" t="s">
        <v>75</v>
      </c>
      <c r="BZ5" s="1" t="s">
        <v>76</v>
      </c>
      <c r="CA5" s="1" t="s">
        <v>77</v>
      </c>
      <c r="CB5" s="1" t="s">
        <v>78</v>
      </c>
      <c r="CC5" s="1" t="s">
        <v>79</v>
      </c>
      <c r="CD5" s="1" t="s">
        <v>80</v>
      </c>
      <c r="CE5" s="1" t="s">
        <v>81</v>
      </c>
      <c r="CF5" s="1" t="s">
        <v>82</v>
      </c>
      <c r="CG5" s="1" t="s">
        <v>83</v>
      </c>
      <c r="CH5" s="1" t="s">
        <v>84</v>
      </c>
      <c r="CI5" s="1" t="s">
        <v>85</v>
      </c>
      <c r="CJ5" s="1" t="s">
        <v>86</v>
      </c>
      <c r="CK5" s="1" t="s">
        <v>87</v>
      </c>
      <c r="CL5" s="1" t="s">
        <v>88</v>
      </c>
      <c r="CM5" s="1" t="s">
        <v>89</v>
      </c>
      <c r="CN5" s="1" t="s">
        <v>90</v>
      </c>
      <c r="CO5" s="1" t="s">
        <v>91</v>
      </c>
      <c r="CP5" s="1" t="s">
        <v>95</v>
      </c>
      <c r="CQ5" s="1" t="s">
        <v>96</v>
      </c>
      <c r="CR5" s="1" t="s">
        <v>97</v>
      </c>
      <c r="CS5" s="1" t="s">
        <v>98</v>
      </c>
      <c r="CT5" s="1" t="s">
        <v>99</v>
      </c>
      <c r="CU5" s="1" t="s">
        <v>100</v>
      </c>
      <c r="CV5" s="1" t="s">
        <v>101</v>
      </c>
      <c r="CW5" s="1" t="s">
        <v>102</v>
      </c>
      <c r="CX5" s="1" t="s">
        <v>103</v>
      </c>
      <c r="CY5" s="1" t="s">
        <v>104</v>
      </c>
      <c r="CZ5" s="1" t="s">
        <v>105</v>
      </c>
      <c r="DA5" s="1" t="s">
        <v>106</v>
      </c>
      <c r="DB5" s="1" t="s">
        <v>107</v>
      </c>
      <c r="DC5" s="1" t="s">
        <v>108</v>
      </c>
      <c r="DD5" s="1" t="s">
        <v>109</v>
      </c>
      <c r="DE5" s="1" t="s">
        <v>110</v>
      </c>
      <c r="DF5" s="1" t="s">
        <v>111</v>
      </c>
      <c r="DG5" s="1" t="s">
        <v>112</v>
      </c>
      <c r="DH5" s="1" t="s">
        <v>113</v>
      </c>
      <c r="DI5" s="1" t="s">
        <v>114</v>
      </c>
      <c r="DJ5" s="1" t="s">
        <v>115</v>
      </c>
      <c r="DK5" s="1" t="s">
        <v>116</v>
      </c>
      <c r="DL5" s="1" t="s">
        <v>117</v>
      </c>
      <c r="DM5" s="1" t="s">
        <v>118</v>
      </c>
      <c r="DN5" s="1" t="s">
        <v>119</v>
      </c>
      <c r="DO5" s="1" t="s">
        <v>120</v>
      </c>
      <c r="DP5" s="1" t="s">
        <v>121</v>
      </c>
      <c r="DQ5" s="1" t="s">
        <v>122</v>
      </c>
      <c r="DR5" s="1" t="s">
        <v>123</v>
      </c>
      <c r="DS5" s="1" t="s">
        <v>124</v>
      </c>
      <c r="DT5" s="1" t="s">
        <v>154</v>
      </c>
      <c r="DU5" s="1" t="s">
        <v>155</v>
      </c>
      <c r="DV5" s="1" t="s">
        <v>156</v>
      </c>
      <c r="DW5" s="1" t="s">
        <v>157</v>
      </c>
      <c r="DX5" s="1" t="s">
        <v>158</v>
      </c>
      <c r="DY5" s="1" t="s">
        <v>159</v>
      </c>
      <c r="DZ5" s="1" t="s">
        <v>160</v>
      </c>
      <c r="EA5" s="1" t="s">
        <v>161</v>
      </c>
      <c r="EB5" s="1" t="s">
        <v>162</v>
      </c>
      <c r="EC5" s="1" t="s">
        <v>163</v>
      </c>
      <c r="ED5" s="1" t="s">
        <v>164</v>
      </c>
      <c r="EE5" s="1" t="s">
        <v>165</v>
      </c>
      <c r="EF5" s="1" t="s">
        <v>166</v>
      </c>
      <c r="EG5" s="1" t="s">
        <v>167</v>
      </c>
      <c r="EH5" s="1" t="s">
        <v>168</v>
      </c>
      <c r="EI5" s="1" t="s">
        <v>169</v>
      </c>
      <c r="EJ5" s="1" t="s">
        <v>125</v>
      </c>
      <c r="EK5" s="1" t="s">
        <v>126</v>
      </c>
      <c r="EL5" s="1" t="s">
        <v>266</v>
      </c>
      <c r="EM5" s="1" t="s">
        <v>170</v>
      </c>
      <c r="EN5" s="1" t="s">
        <v>127</v>
      </c>
      <c r="EO5" s="1" t="s">
        <v>128</v>
      </c>
      <c r="EP5" s="1" t="s">
        <v>129</v>
      </c>
      <c r="EQ5" s="1" t="s">
        <v>130</v>
      </c>
      <c r="ER5" s="1" t="s">
        <v>131</v>
      </c>
      <c r="ES5" s="1" t="s">
        <v>132</v>
      </c>
      <c r="ET5" s="1" t="s">
        <v>133</v>
      </c>
      <c r="EU5" s="1" t="s">
        <v>171</v>
      </c>
      <c r="EV5" s="1" t="s">
        <v>134</v>
      </c>
      <c r="EW5" s="1" t="s">
        <v>135</v>
      </c>
      <c r="EX5" s="1" t="s">
        <v>172</v>
      </c>
      <c r="EY5" s="1" t="s">
        <v>173</v>
      </c>
      <c r="EZ5" s="1" t="s">
        <v>174</v>
      </c>
      <c r="FA5" s="1" t="s">
        <v>175</v>
      </c>
      <c r="FB5" s="1" t="s">
        <v>176</v>
      </c>
      <c r="FC5" s="1" t="s">
        <v>177</v>
      </c>
      <c r="FD5" s="1" t="s">
        <v>178</v>
      </c>
      <c r="FE5" s="1" t="s">
        <v>179</v>
      </c>
      <c r="FF5" s="1" t="s">
        <v>180</v>
      </c>
      <c r="FG5" s="1" t="s">
        <v>262</v>
      </c>
      <c r="FH5" s="1" t="s">
        <v>263</v>
      </c>
      <c r="FI5" s="1" t="s">
        <v>264</v>
      </c>
      <c r="FJ5" s="1" t="s">
        <v>265</v>
      </c>
      <c r="FK5" s="1" t="s">
        <v>181</v>
      </c>
      <c r="FL5" s="1" t="s">
        <v>182</v>
      </c>
      <c r="FM5" s="1" t="s">
        <v>183</v>
      </c>
      <c r="FN5" s="1" t="s">
        <v>184</v>
      </c>
      <c r="FO5" s="1" t="s">
        <v>185</v>
      </c>
      <c r="FP5" s="1" t="s">
        <v>186</v>
      </c>
      <c r="FQ5" s="1" t="s">
        <v>187</v>
      </c>
      <c r="FR5" s="1" t="s">
        <v>188</v>
      </c>
      <c r="FS5" s="1" t="s">
        <v>189</v>
      </c>
      <c r="FT5" s="1" t="s">
        <v>190</v>
      </c>
      <c r="FU5" s="1" t="s">
        <v>191</v>
      </c>
      <c r="FV5" s="1" t="s">
        <v>192</v>
      </c>
      <c r="FW5" s="1" t="s">
        <v>193</v>
      </c>
      <c r="FX5" s="1" t="s">
        <v>194</v>
      </c>
      <c r="FY5" s="1" t="s">
        <v>195</v>
      </c>
      <c r="FZ5" s="1" t="s">
        <v>196</v>
      </c>
      <c r="GA5" s="1" t="s">
        <v>197</v>
      </c>
      <c r="GB5" s="1" t="s">
        <v>198</v>
      </c>
      <c r="GC5" s="1" t="s">
        <v>199</v>
      </c>
      <c r="GD5" s="1" t="s">
        <v>200</v>
      </c>
      <c r="GE5" s="1" t="s">
        <v>201</v>
      </c>
      <c r="GF5" s="1" t="s">
        <v>202</v>
      </c>
      <c r="GG5" s="1" t="s">
        <v>203</v>
      </c>
      <c r="GH5" s="1" t="s">
        <v>204</v>
      </c>
      <c r="GI5" s="1" t="s">
        <v>205</v>
      </c>
      <c r="GJ5" s="1" t="s">
        <v>206</v>
      </c>
      <c r="GK5" s="1" t="s">
        <v>207</v>
      </c>
      <c r="GL5" s="1" t="s">
        <v>208</v>
      </c>
      <c r="GM5" s="1" t="s">
        <v>209</v>
      </c>
      <c r="GN5" s="1" t="s">
        <v>210</v>
      </c>
      <c r="GO5" s="1" t="s">
        <v>211</v>
      </c>
      <c r="GP5" s="1" t="s">
        <v>212</v>
      </c>
      <c r="GQ5" s="1" t="s">
        <v>213</v>
      </c>
      <c r="GR5" s="1" t="s">
        <v>214</v>
      </c>
      <c r="GS5" s="1" t="s">
        <v>215</v>
      </c>
      <c r="GT5" s="1" t="s">
        <v>216</v>
      </c>
      <c r="GU5" s="1" t="s">
        <v>217</v>
      </c>
      <c r="GV5" s="1" t="s">
        <v>218</v>
      </c>
      <c r="GW5" s="1" t="s">
        <v>219</v>
      </c>
      <c r="GX5" s="1" t="s">
        <v>220</v>
      </c>
      <c r="GY5" s="1" t="s">
        <v>221</v>
      </c>
      <c r="GZ5" s="1" t="s">
        <v>222</v>
      </c>
      <c r="HA5" s="1" t="s">
        <v>223</v>
      </c>
      <c r="HB5" s="1" t="s">
        <v>224</v>
      </c>
      <c r="HC5" s="1" t="s">
        <v>225</v>
      </c>
      <c r="HD5" s="1" t="s">
        <v>226</v>
      </c>
      <c r="HE5" s="1" t="s">
        <v>227</v>
      </c>
      <c r="HF5" s="1" t="s">
        <v>228</v>
      </c>
      <c r="HG5" s="1" t="s">
        <v>229</v>
      </c>
      <c r="HH5" s="1" t="s">
        <v>230</v>
      </c>
      <c r="HI5" s="1" t="s">
        <v>231</v>
      </c>
      <c r="HJ5" s="1" t="s">
        <v>232</v>
      </c>
      <c r="HK5" s="1" t="s">
        <v>233</v>
      </c>
      <c r="HL5" s="1" t="s">
        <v>234</v>
      </c>
      <c r="HM5" s="1" t="s">
        <v>235</v>
      </c>
      <c r="HN5" s="1" t="s">
        <v>236</v>
      </c>
      <c r="HO5" s="1" t="s">
        <v>237</v>
      </c>
      <c r="HP5" s="1" t="s">
        <v>238</v>
      </c>
      <c r="HQ5" s="1" t="s">
        <v>239</v>
      </c>
      <c r="HR5" s="1" t="s">
        <v>240</v>
      </c>
      <c r="HS5" s="1" t="s">
        <v>241</v>
      </c>
      <c r="HT5" s="1" t="s">
        <v>242</v>
      </c>
      <c r="HU5" s="1" t="s">
        <v>243</v>
      </c>
      <c r="HV5" s="1" t="s">
        <v>244</v>
      </c>
      <c r="HW5" s="1" t="s">
        <v>245</v>
      </c>
      <c r="HX5" s="1" t="s">
        <v>246</v>
      </c>
      <c r="HY5" s="1" t="s">
        <v>247</v>
      </c>
      <c r="HZ5" s="1" t="s">
        <v>247</v>
      </c>
      <c r="IA5" s="1" t="s">
        <v>260</v>
      </c>
      <c r="IB5" s="1" t="s">
        <v>381</v>
      </c>
      <c r="IC5" s="1" t="s">
        <v>382</v>
      </c>
      <c r="ID5" s="1" t="s">
        <v>383</v>
      </c>
      <c r="IE5" s="1" t="s">
        <v>384</v>
      </c>
      <c r="IF5" s="1" t="s">
        <v>385</v>
      </c>
      <c r="IG5" s="1" t="s">
        <v>386</v>
      </c>
      <c r="IH5" s="1" t="s">
        <v>387</v>
      </c>
      <c r="II5" s="1" t="s">
        <v>388</v>
      </c>
      <c r="IJ5" s="1" t="s">
        <v>389</v>
      </c>
      <c r="IK5" s="1" t="s">
        <v>390</v>
      </c>
      <c r="IL5" s="1" t="s">
        <v>391</v>
      </c>
      <c r="IM5" s="1" t="s">
        <v>392</v>
      </c>
      <c r="IN5" s="1" t="s">
        <v>393</v>
      </c>
      <c r="IO5" s="1" t="s">
        <v>394</v>
      </c>
      <c r="IP5" s="1" t="s">
        <v>402</v>
      </c>
      <c r="IQ5" s="1" t="s">
        <v>403</v>
      </c>
      <c r="IR5" s="1" t="s">
        <v>404</v>
      </c>
    </row>
    <row r="6" spans="2:252" ht="15" customHeight="1" x14ac:dyDescent="0.25">
      <c r="B6" s="62" t="s">
        <v>418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0"/>
      <c r="IP6" s="60"/>
      <c r="IQ6" s="60"/>
      <c r="IR6" s="61"/>
    </row>
    <row r="7" spans="2:252" ht="30" x14ac:dyDescent="0.25">
      <c r="B7" s="2" t="s">
        <v>409</v>
      </c>
      <c r="C7" s="2" t="s">
        <v>41</v>
      </c>
      <c r="D7" s="2" t="s">
        <v>419</v>
      </c>
      <c r="E7" s="48">
        <v>291.16500000000002</v>
      </c>
      <c r="F7" s="48">
        <v>329.48</v>
      </c>
      <c r="G7" s="48">
        <v>5.84</v>
      </c>
      <c r="H7" s="48">
        <v>25.9</v>
      </c>
      <c r="I7" s="49">
        <v>0</v>
      </c>
      <c r="J7" s="48">
        <v>30.3</v>
      </c>
      <c r="K7" s="49">
        <v>7</v>
      </c>
      <c r="L7" s="49">
        <v>6</v>
      </c>
      <c r="M7" s="49">
        <v>7</v>
      </c>
      <c r="N7" s="49">
        <v>3</v>
      </c>
      <c r="O7" s="49">
        <v>3</v>
      </c>
      <c r="P7" s="48">
        <v>0.78300000000000003</v>
      </c>
      <c r="Q7" s="48">
        <v>1.0740000000000001</v>
      </c>
      <c r="R7" s="48">
        <v>0.879</v>
      </c>
      <c r="S7" s="48">
        <v>0.76600000000000001</v>
      </c>
      <c r="T7" s="48">
        <v>59.96</v>
      </c>
      <c r="U7" s="49">
        <v>60.444000000000003</v>
      </c>
      <c r="V7" s="48">
        <v>170</v>
      </c>
      <c r="W7" s="48">
        <v>187.5</v>
      </c>
      <c r="X7" s="48">
        <v>130</v>
      </c>
      <c r="Y7" s="48">
        <v>152.5</v>
      </c>
      <c r="Z7" s="48">
        <v>327.14</v>
      </c>
      <c r="AA7" s="48">
        <v>338.9</v>
      </c>
      <c r="AB7" s="48">
        <v>226.18</v>
      </c>
      <c r="AC7" s="48">
        <v>283.89999999999998</v>
      </c>
      <c r="AD7" s="48">
        <v>1.754</v>
      </c>
      <c r="AE7" s="48">
        <v>1.7929999999999999</v>
      </c>
      <c r="AF7" s="48">
        <v>1.7529999999999999</v>
      </c>
      <c r="AG7" s="48">
        <v>1.7789999999999999</v>
      </c>
      <c r="AH7" s="48">
        <v>67.12</v>
      </c>
      <c r="AI7" s="48">
        <v>62.46</v>
      </c>
      <c r="AJ7" s="48">
        <v>91.41</v>
      </c>
      <c r="AK7" s="48">
        <v>93.94</v>
      </c>
      <c r="AL7" s="48">
        <v>639.18799999999999</v>
      </c>
      <c r="AM7" s="48">
        <v>651.673</v>
      </c>
      <c r="AN7" s="48">
        <v>815.05600000000004</v>
      </c>
      <c r="AO7" s="48">
        <v>833.13699999999994</v>
      </c>
      <c r="AP7" s="49">
        <v>1.3620000000000001</v>
      </c>
      <c r="AQ7" s="48">
        <v>1.8029999999999999</v>
      </c>
      <c r="AR7" s="48">
        <v>41.061999999999998</v>
      </c>
      <c r="AS7" s="48">
        <v>37.262</v>
      </c>
      <c r="AT7" s="49">
        <v>85</v>
      </c>
      <c r="AU7" s="48">
        <v>118</v>
      </c>
      <c r="AV7" s="48">
        <v>1.4365000000000001</v>
      </c>
      <c r="AW7" s="48">
        <v>4.3083</v>
      </c>
      <c r="AX7" s="49">
        <v>1018</v>
      </c>
      <c r="AY7" s="49">
        <v>2.95</v>
      </c>
      <c r="AZ7" s="48">
        <v>4.79</v>
      </c>
      <c r="BA7" s="49">
        <v>65.5</v>
      </c>
      <c r="BB7" s="49">
        <v>66.400000000000006</v>
      </c>
      <c r="BC7" s="48">
        <v>7736</v>
      </c>
      <c r="BD7" s="49">
        <v>89.75</v>
      </c>
      <c r="BE7" s="48">
        <v>15.78</v>
      </c>
      <c r="BF7" s="49">
        <v>14.65</v>
      </c>
      <c r="BG7" s="48">
        <v>28.16</v>
      </c>
      <c r="BH7" s="49">
        <v>32.049999999999997</v>
      </c>
      <c r="BI7" s="48">
        <v>65.602000000000004</v>
      </c>
      <c r="BJ7" s="48">
        <v>79.552000000000007</v>
      </c>
      <c r="BK7" s="48">
        <v>64.126999999999995</v>
      </c>
      <c r="BL7" s="48">
        <v>77.350999999999999</v>
      </c>
      <c r="BM7" s="48">
        <v>77.293000000000006</v>
      </c>
      <c r="BN7" s="49">
        <v>131.99199999999999</v>
      </c>
      <c r="BO7" s="49">
        <v>139.19200000000001</v>
      </c>
      <c r="BP7" s="49">
        <v>134.584</v>
      </c>
      <c r="BQ7" s="49">
        <v>135.17599999999999</v>
      </c>
      <c r="BR7" s="48">
        <v>58.173000000000002</v>
      </c>
      <c r="BS7" s="48">
        <v>25.6</v>
      </c>
      <c r="BT7" s="48">
        <v>7359.6840000000002</v>
      </c>
      <c r="BU7" s="49">
        <v>52.62</v>
      </c>
      <c r="BV7" s="48">
        <v>51.691000000000003</v>
      </c>
      <c r="BW7" s="49">
        <v>53.719000000000001</v>
      </c>
      <c r="BX7" s="49">
        <v>54.162999999999997</v>
      </c>
      <c r="BY7" s="49">
        <v>1.516</v>
      </c>
      <c r="BZ7" s="48">
        <v>2.629</v>
      </c>
      <c r="CA7" s="48">
        <v>3.3410000000000002</v>
      </c>
      <c r="CB7" s="48">
        <v>3.202</v>
      </c>
      <c r="CC7" s="49">
        <v>1.0049999999999999</v>
      </c>
      <c r="CD7" s="48">
        <v>2.0739999999999998</v>
      </c>
      <c r="CE7" s="49">
        <v>1.1970000000000001</v>
      </c>
      <c r="CF7" s="49">
        <v>1.9930000000000001</v>
      </c>
      <c r="CG7" s="48">
        <v>13.532</v>
      </c>
      <c r="CH7" s="49">
        <v>10.131</v>
      </c>
      <c r="CI7" s="48">
        <v>5.6210000000000004</v>
      </c>
      <c r="CJ7" s="48">
        <v>3.3879999999999999</v>
      </c>
      <c r="CK7" s="48">
        <v>1.4359999999999999</v>
      </c>
      <c r="CL7" s="48">
        <v>0</v>
      </c>
      <c r="CM7" s="48">
        <v>0.2</v>
      </c>
      <c r="CN7" s="49">
        <v>0</v>
      </c>
      <c r="CO7" s="49">
        <v>0</v>
      </c>
      <c r="CP7" s="49">
        <v>105.282</v>
      </c>
      <c r="CQ7" s="49">
        <v>108.79900000000001</v>
      </c>
      <c r="CR7" s="49">
        <v>113.35</v>
      </c>
      <c r="CS7" s="49">
        <v>116.307</v>
      </c>
      <c r="CT7" s="48">
        <v>0.32400000000000001</v>
      </c>
      <c r="CU7" s="48">
        <v>0.79900000000000004</v>
      </c>
      <c r="CV7" s="48">
        <v>0.30199999999999999</v>
      </c>
      <c r="CW7" s="48">
        <v>1.202</v>
      </c>
      <c r="CX7" s="48">
        <v>1.1990000000000001</v>
      </c>
      <c r="CY7" s="48">
        <v>0.5</v>
      </c>
      <c r="CZ7" s="49">
        <v>1.897</v>
      </c>
      <c r="DA7" s="48">
        <v>0.80200000000000005</v>
      </c>
      <c r="DB7" s="48">
        <v>1.399</v>
      </c>
      <c r="DC7" s="49">
        <v>6.0000000000000001E-3</v>
      </c>
      <c r="DD7" s="49">
        <v>0</v>
      </c>
      <c r="DE7" s="48">
        <v>0.23100000000000001</v>
      </c>
      <c r="DF7" s="48">
        <v>0.152</v>
      </c>
      <c r="DG7" s="48">
        <v>0.189</v>
      </c>
      <c r="DH7" s="48">
        <v>1.8380000000000001</v>
      </c>
      <c r="DI7" s="48">
        <v>1.113</v>
      </c>
      <c r="DJ7" s="48">
        <v>0.26400000000000001</v>
      </c>
      <c r="DK7" s="48">
        <v>0.91200000000000003</v>
      </c>
      <c r="DL7" s="48">
        <v>0.39500000000000002</v>
      </c>
      <c r="DM7" s="48">
        <v>0.504</v>
      </c>
      <c r="DN7" s="48">
        <v>0.438</v>
      </c>
      <c r="DO7" s="48">
        <v>0.35899999999999999</v>
      </c>
      <c r="DP7" s="48">
        <v>65.254000000000005</v>
      </c>
      <c r="DQ7" s="48">
        <v>58.994999999999997</v>
      </c>
      <c r="DR7" s="48">
        <v>54.752000000000002</v>
      </c>
      <c r="DS7" s="48">
        <v>49.886000000000003</v>
      </c>
      <c r="DT7" s="48">
        <v>4.2300000000000004</v>
      </c>
      <c r="DU7" s="48">
        <v>4.72</v>
      </c>
      <c r="DV7" s="48">
        <v>8.2799999999999994</v>
      </c>
      <c r="DW7" s="48">
        <v>6.68</v>
      </c>
      <c r="DX7" s="48">
        <v>4.5</v>
      </c>
      <c r="DY7" s="48">
        <v>4.6500000000000004</v>
      </c>
      <c r="DZ7" s="48">
        <v>7.85</v>
      </c>
      <c r="EA7" s="48">
        <v>6.45</v>
      </c>
      <c r="EB7" s="48">
        <v>34.44</v>
      </c>
      <c r="EC7" s="48">
        <v>33.159999999999997</v>
      </c>
      <c r="ED7" s="48">
        <v>29.23</v>
      </c>
      <c r="EE7" s="48">
        <v>30.82</v>
      </c>
      <c r="EF7" s="49">
        <v>56.83</v>
      </c>
      <c r="EG7" s="49">
        <v>57.47</v>
      </c>
      <c r="EH7" s="48">
        <v>54.64</v>
      </c>
      <c r="EI7" s="48">
        <v>56.04</v>
      </c>
      <c r="EJ7" s="48">
        <v>7.202</v>
      </c>
      <c r="EK7" s="48">
        <v>62.445999999999998</v>
      </c>
      <c r="EL7" s="49">
        <v>2.75</v>
      </c>
      <c r="EM7" s="49">
        <v>1.9</v>
      </c>
      <c r="EN7" s="48">
        <v>1.17</v>
      </c>
      <c r="EO7" s="48">
        <v>1.18</v>
      </c>
      <c r="EP7" s="48">
        <v>-99.213999999999999</v>
      </c>
      <c r="EQ7" s="48">
        <v>-0.91500000000000004</v>
      </c>
      <c r="ER7" s="49">
        <v>115.69799999999999</v>
      </c>
      <c r="ES7" s="48">
        <v>1.097</v>
      </c>
      <c r="ET7" s="48">
        <v>1.232</v>
      </c>
      <c r="EU7" s="48">
        <v>1.089</v>
      </c>
      <c r="EV7" s="49">
        <v>7.7560000000000002</v>
      </c>
      <c r="EW7" s="48">
        <v>3.4569999999999999</v>
      </c>
      <c r="EX7" s="48">
        <v>-148.04</v>
      </c>
      <c r="EY7" s="49">
        <v>0.38</v>
      </c>
      <c r="EZ7" s="49">
        <v>0</v>
      </c>
      <c r="FA7" s="49">
        <v>0</v>
      </c>
      <c r="FB7" s="48">
        <v>7.8460000000000001</v>
      </c>
      <c r="FC7" s="48">
        <v>68.575999999999993</v>
      </c>
      <c r="FD7" s="49">
        <v>64.734999999999999</v>
      </c>
      <c r="FE7" s="48">
        <v>76.375</v>
      </c>
      <c r="FF7" s="48">
        <v>75.260999999999996</v>
      </c>
      <c r="FG7" s="48">
        <v>0.96899999999999997</v>
      </c>
      <c r="FH7" s="49">
        <v>0.97199999999999998</v>
      </c>
      <c r="FI7" s="48">
        <v>1.002</v>
      </c>
      <c r="FJ7" s="48">
        <v>1.006</v>
      </c>
      <c r="FK7" s="49">
        <v>0.10299999999999999</v>
      </c>
      <c r="FL7" s="49">
        <v>86</v>
      </c>
      <c r="FM7" s="48">
        <v>3.82</v>
      </c>
      <c r="FN7" s="48">
        <v>1.07</v>
      </c>
      <c r="FO7" s="48">
        <v>4.75</v>
      </c>
      <c r="FP7" s="49">
        <v>0.8</v>
      </c>
      <c r="FQ7" s="48">
        <v>4.6500000000000004</v>
      </c>
      <c r="FR7" s="49">
        <v>4.9000000000000004</v>
      </c>
      <c r="FS7" s="48">
        <v>6.5724999999999998</v>
      </c>
      <c r="FT7" s="48">
        <v>1066.8</v>
      </c>
      <c r="FU7" s="48">
        <v>5.58</v>
      </c>
      <c r="FV7" s="48">
        <v>47.3</v>
      </c>
      <c r="FW7" s="48">
        <v>3088.5</v>
      </c>
      <c r="FX7" s="48">
        <v>163400</v>
      </c>
      <c r="FY7" s="48">
        <v>164300</v>
      </c>
      <c r="FZ7" s="49">
        <v>47.831000000000003</v>
      </c>
      <c r="GA7" s="49">
        <v>48.027999999999999</v>
      </c>
      <c r="GB7" s="48">
        <v>2143.4</v>
      </c>
      <c r="GC7" s="48">
        <v>2145.8000000000002</v>
      </c>
      <c r="GD7" s="48">
        <v>2174.5</v>
      </c>
      <c r="GE7" s="48">
        <v>2203.1999999999998</v>
      </c>
      <c r="GF7" s="48">
        <v>1219.0938000000001</v>
      </c>
      <c r="GG7" s="48">
        <v>33</v>
      </c>
      <c r="GH7" s="48">
        <v>33.4</v>
      </c>
      <c r="GI7" s="49">
        <v>50.5</v>
      </c>
      <c r="GJ7" s="48">
        <v>55.7</v>
      </c>
      <c r="GK7" s="49">
        <v>97</v>
      </c>
      <c r="GL7" s="49">
        <v>111.1</v>
      </c>
      <c r="GM7" s="49">
        <v>0</v>
      </c>
      <c r="GN7" s="49">
        <v>25.738</v>
      </c>
      <c r="GO7" s="48">
        <v>115.69799999999999</v>
      </c>
      <c r="GP7" s="49">
        <v>0</v>
      </c>
      <c r="GQ7" s="49">
        <v>4.1890000000000001</v>
      </c>
      <c r="GR7" s="49">
        <v>0</v>
      </c>
      <c r="GS7" s="49">
        <v>3.4220000000000002</v>
      </c>
      <c r="GT7" s="49">
        <v>0</v>
      </c>
      <c r="GU7" s="49">
        <v>3.5990000000000002</v>
      </c>
      <c r="GV7" s="49">
        <v>0</v>
      </c>
      <c r="GW7" s="49">
        <v>8.9999999999999993E-3</v>
      </c>
      <c r="GX7" s="49">
        <v>20.678000000000001</v>
      </c>
      <c r="GY7" s="49">
        <v>0</v>
      </c>
      <c r="GZ7" s="48">
        <v>10.685</v>
      </c>
      <c r="HA7" s="49">
        <v>20.384</v>
      </c>
      <c r="HB7" s="49">
        <v>1</v>
      </c>
      <c r="HC7" s="48">
        <v>33.783999999999999</v>
      </c>
      <c r="HD7" s="49">
        <v>90</v>
      </c>
      <c r="HE7" s="49">
        <v>0</v>
      </c>
      <c r="HF7" s="49">
        <v>0</v>
      </c>
      <c r="HG7" s="48">
        <v>75.680000000000007</v>
      </c>
      <c r="HH7" s="48">
        <v>77.900000000000006</v>
      </c>
      <c r="HI7" s="49">
        <v>0</v>
      </c>
      <c r="HJ7" s="49">
        <v>0</v>
      </c>
      <c r="HK7" s="49">
        <v>0</v>
      </c>
      <c r="HL7" s="49">
        <v>62</v>
      </c>
      <c r="HM7" s="49">
        <v>52</v>
      </c>
      <c r="HN7" s="48">
        <v>65</v>
      </c>
      <c r="HO7" s="48">
        <v>58</v>
      </c>
      <c r="HP7" s="48">
        <v>61</v>
      </c>
      <c r="HQ7" s="48">
        <v>59</v>
      </c>
      <c r="HR7" s="48">
        <v>54</v>
      </c>
      <c r="HS7" s="49">
        <v>70</v>
      </c>
      <c r="HT7" s="48">
        <v>-1.4984999999999999</v>
      </c>
      <c r="HU7" s="49">
        <v>0</v>
      </c>
      <c r="HV7" s="48">
        <v>0.54700000000000004</v>
      </c>
      <c r="HW7" s="48">
        <v>43.43</v>
      </c>
      <c r="HX7" s="49">
        <v>43.64</v>
      </c>
      <c r="HY7" s="3"/>
      <c r="HZ7" s="3"/>
      <c r="IA7" s="48">
        <v>2.6659999999999999</v>
      </c>
      <c r="IB7" s="48">
        <v>100</v>
      </c>
      <c r="IC7" s="48">
        <v>19.155000000000001</v>
      </c>
      <c r="ID7" s="48">
        <v>-0.23300000000000001</v>
      </c>
      <c r="IE7" s="48">
        <v>-0.122</v>
      </c>
      <c r="IF7" s="48">
        <v>803.8</v>
      </c>
      <c r="IG7" s="48">
        <v>677.7</v>
      </c>
      <c r="IH7" s="48">
        <v>813</v>
      </c>
      <c r="II7" s="48">
        <v>694</v>
      </c>
      <c r="IJ7" s="48">
        <v>-1.2E-2</v>
      </c>
      <c r="IK7" s="48">
        <v>8.0000000000000002E-3</v>
      </c>
      <c r="IL7" s="48">
        <v>143.334</v>
      </c>
      <c r="IM7" s="48">
        <v>143.334</v>
      </c>
      <c r="IN7" s="48">
        <v>16.584</v>
      </c>
      <c r="IO7" s="48">
        <v>0.16800000000000001</v>
      </c>
      <c r="IP7" s="49">
        <v>9.09</v>
      </c>
      <c r="IQ7" s="48">
        <v>0.01</v>
      </c>
      <c r="IR7" s="48">
        <v>5.0000000000000001E-3</v>
      </c>
    </row>
    <row r="8" spans="2:252" ht="30" x14ac:dyDescent="0.25">
      <c r="B8" s="2" t="s">
        <v>409</v>
      </c>
      <c r="C8" s="58" t="s">
        <v>42</v>
      </c>
      <c r="D8" s="58" t="s">
        <v>420</v>
      </c>
      <c r="E8" s="48">
        <v>211.94</v>
      </c>
      <c r="F8" s="48">
        <v>330.58</v>
      </c>
      <c r="G8" s="49">
        <v>6.02</v>
      </c>
      <c r="H8" s="48">
        <v>25.8</v>
      </c>
      <c r="I8" s="49">
        <v>0</v>
      </c>
      <c r="J8" s="48">
        <v>13.4</v>
      </c>
      <c r="K8" s="49">
        <v>7</v>
      </c>
      <c r="L8" s="49">
        <v>6</v>
      </c>
      <c r="M8" s="49">
        <v>7</v>
      </c>
      <c r="N8" s="49">
        <v>3</v>
      </c>
      <c r="O8" s="49">
        <v>3</v>
      </c>
      <c r="P8" s="48">
        <v>0.875</v>
      </c>
      <c r="Q8" s="48">
        <v>1.2410000000000001</v>
      </c>
      <c r="R8" s="48">
        <v>0.90700000000000003</v>
      </c>
      <c r="S8" s="49">
        <v>0.82299999999999995</v>
      </c>
      <c r="T8" s="48">
        <v>71.72</v>
      </c>
      <c r="U8" s="48">
        <v>60.015000000000001</v>
      </c>
      <c r="V8" s="48">
        <v>230</v>
      </c>
      <c r="W8" s="48">
        <v>246.66</v>
      </c>
      <c r="X8" s="48">
        <v>165</v>
      </c>
      <c r="Y8" s="48">
        <v>206.66</v>
      </c>
      <c r="Z8" s="49">
        <v>377.99</v>
      </c>
      <c r="AA8" s="49">
        <v>389.08</v>
      </c>
      <c r="AB8" s="49">
        <v>279.22000000000003</v>
      </c>
      <c r="AC8" s="49">
        <v>345.88</v>
      </c>
      <c r="AD8" s="48">
        <v>1.7689999999999999</v>
      </c>
      <c r="AE8" s="48">
        <v>1.79</v>
      </c>
      <c r="AF8" s="48">
        <v>1.788</v>
      </c>
      <c r="AG8" s="48">
        <v>1.806</v>
      </c>
      <c r="AH8" s="48">
        <v>75.03</v>
      </c>
      <c r="AI8" s="48">
        <v>69.930000000000007</v>
      </c>
      <c r="AJ8" s="48">
        <v>100.73</v>
      </c>
      <c r="AK8" s="48">
        <v>102.64</v>
      </c>
      <c r="AL8" s="49">
        <v>700.21</v>
      </c>
      <c r="AM8" s="49">
        <v>704.45500000000004</v>
      </c>
      <c r="AN8" s="48">
        <v>866.36300000000006</v>
      </c>
      <c r="AO8" s="48">
        <v>850.40700000000004</v>
      </c>
      <c r="AP8" s="48">
        <v>1.339</v>
      </c>
      <c r="AQ8" s="49">
        <v>1.804</v>
      </c>
      <c r="AR8" s="48">
        <v>41.563000000000002</v>
      </c>
      <c r="AS8" s="48">
        <v>38.549999999999997</v>
      </c>
      <c r="AT8" s="48">
        <v>83</v>
      </c>
      <c r="AU8" s="48">
        <v>120</v>
      </c>
      <c r="AV8" s="49">
        <v>1.2855000000000001</v>
      </c>
      <c r="AW8" s="49">
        <v>4.6193999999999997</v>
      </c>
      <c r="AX8" s="48">
        <v>1017.4</v>
      </c>
      <c r="AY8" s="48">
        <v>2.4700000000000002</v>
      </c>
      <c r="AZ8" s="48">
        <v>4.79</v>
      </c>
      <c r="BA8" s="48">
        <v>98.03</v>
      </c>
      <c r="BB8" s="48">
        <v>98.53</v>
      </c>
      <c r="BC8" s="48">
        <v>7683</v>
      </c>
      <c r="BD8" s="48">
        <v>88.75</v>
      </c>
      <c r="BE8" s="48">
        <v>15.89</v>
      </c>
      <c r="BF8" s="48">
        <v>14.55</v>
      </c>
      <c r="BG8" s="49">
        <v>28.65</v>
      </c>
      <c r="BH8" s="48">
        <v>31.61</v>
      </c>
      <c r="BI8" s="3"/>
      <c r="BJ8" s="3"/>
      <c r="BK8" s="3"/>
      <c r="BL8" s="3"/>
      <c r="BM8" s="3"/>
      <c r="BN8" s="48">
        <v>96.855999999999995</v>
      </c>
      <c r="BO8" s="48">
        <v>98.152000000000001</v>
      </c>
      <c r="BP8" s="48">
        <v>117.464</v>
      </c>
      <c r="BQ8" s="48">
        <v>121.928</v>
      </c>
      <c r="BR8" s="3"/>
      <c r="BS8" s="48">
        <v>25.5</v>
      </c>
      <c r="BT8" s="48">
        <v>7429.759</v>
      </c>
      <c r="BU8" s="48">
        <v>49.052</v>
      </c>
      <c r="BV8" s="48">
        <v>51.228999999999999</v>
      </c>
      <c r="BW8" s="48">
        <v>51.573999999999998</v>
      </c>
      <c r="BX8" s="48">
        <v>52.985999999999997</v>
      </c>
      <c r="BY8" s="48">
        <v>1.4490000000000001</v>
      </c>
      <c r="BZ8" s="48">
        <v>2.7629999999999999</v>
      </c>
      <c r="CA8" s="48">
        <v>3.5059999999999998</v>
      </c>
      <c r="CB8" s="49">
        <v>3.6539999999999999</v>
      </c>
      <c r="CC8" s="48">
        <v>0.88200000000000001</v>
      </c>
      <c r="CD8" s="48">
        <v>2.0630000000000002</v>
      </c>
      <c r="CE8" s="48">
        <v>1.1830000000000001</v>
      </c>
      <c r="CF8" s="48">
        <v>1.98</v>
      </c>
      <c r="CG8" s="48">
        <v>13.728999999999999</v>
      </c>
      <c r="CH8" s="48">
        <v>13.558999999999999</v>
      </c>
      <c r="CI8" s="49">
        <v>5.6680000000000001</v>
      </c>
      <c r="CJ8" s="49">
        <v>3.8050000000000002</v>
      </c>
      <c r="CK8" s="49">
        <v>1.63</v>
      </c>
      <c r="CL8" s="48">
        <v>0.1</v>
      </c>
      <c r="CM8" s="48">
        <v>0.3</v>
      </c>
      <c r="CN8" s="49">
        <v>0</v>
      </c>
      <c r="CO8" s="49">
        <v>0</v>
      </c>
      <c r="CP8" s="48">
        <v>92.578000000000003</v>
      </c>
      <c r="CQ8" s="48">
        <v>93.799000000000007</v>
      </c>
      <c r="CR8" s="48">
        <v>109.032</v>
      </c>
      <c r="CS8" s="48">
        <v>115.566</v>
      </c>
      <c r="CT8" s="49">
        <v>0.38700000000000001</v>
      </c>
      <c r="CU8" s="48">
        <v>0.59799999999999998</v>
      </c>
      <c r="CV8" s="48">
        <v>0.60199999999999998</v>
      </c>
      <c r="CW8" s="48">
        <v>0.90100000000000002</v>
      </c>
      <c r="CX8" s="48">
        <v>1.1000000000000001</v>
      </c>
      <c r="CY8" s="49">
        <v>1.3</v>
      </c>
      <c r="CZ8" s="48">
        <v>1.4990000000000001</v>
      </c>
      <c r="DA8" s="48">
        <v>0.70299999999999996</v>
      </c>
      <c r="DB8" s="48">
        <v>1.3979999999999999</v>
      </c>
      <c r="DC8" s="48">
        <v>0</v>
      </c>
      <c r="DD8" s="49">
        <v>0</v>
      </c>
      <c r="DE8" s="49">
        <v>0.34100000000000003</v>
      </c>
      <c r="DF8" s="49">
        <v>0.18099999999999999</v>
      </c>
      <c r="DG8" s="49">
        <v>0.93300000000000005</v>
      </c>
      <c r="DH8" s="49">
        <v>2.2029999999999998</v>
      </c>
      <c r="DI8" s="49">
        <v>1.276</v>
      </c>
      <c r="DJ8" s="48">
        <v>0.25800000000000001</v>
      </c>
      <c r="DK8" s="48">
        <v>1.1859999999999999</v>
      </c>
      <c r="DL8" s="48">
        <v>0.40400000000000003</v>
      </c>
      <c r="DM8" s="48">
        <v>0.47499999999999998</v>
      </c>
      <c r="DN8" s="48">
        <v>0.46400000000000002</v>
      </c>
      <c r="DO8" s="48">
        <v>0.307</v>
      </c>
      <c r="DP8" s="48">
        <v>66.343000000000004</v>
      </c>
      <c r="DQ8" s="48">
        <v>59.47</v>
      </c>
      <c r="DR8" s="49">
        <v>55.151000000000003</v>
      </c>
      <c r="DS8" s="48">
        <v>51.29</v>
      </c>
      <c r="DT8" s="49">
        <v>7.27</v>
      </c>
      <c r="DU8" s="49">
        <v>7.48</v>
      </c>
      <c r="DV8" s="49">
        <v>13.18</v>
      </c>
      <c r="DW8" s="49">
        <v>10.39</v>
      </c>
      <c r="DX8" s="49">
        <v>7.6</v>
      </c>
      <c r="DY8" s="49">
        <v>7.87</v>
      </c>
      <c r="DZ8" s="49">
        <v>12.82</v>
      </c>
      <c r="EA8" s="49">
        <v>10.01</v>
      </c>
      <c r="EB8" s="48">
        <v>41.43</v>
      </c>
      <c r="EC8" s="48">
        <v>40.74</v>
      </c>
      <c r="ED8" s="48">
        <v>33.31</v>
      </c>
      <c r="EE8" s="48">
        <v>36.130000000000003</v>
      </c>
      <c r="EF8" s="48">
        <v>43.7</v>
      </c>
      <c r="EG8" s="48">
        <v>43.91</v>
      </c>
      <c r="EH8" s="48">
        <v>40.69</v>
      </c>
      <c r="EI8" s="48">
        <v>43.48</v>
      </c>
      <c r="EJ8" s="48">
        <v>7.1230000000000002</v>
      </c>
      <c r="EK8" s="49">
        <v>62.820999999999998</v>
      </c>
      <c r="EL8" s="48">
        <v>2.2999999999999998</v>
      </c>
      <c r="EM8" s="48">
        <v>1.95</v>
      </c>
      <c r="EN8" s="48">
        <v>1.19</v>
      </c>
      <c r="EO8" s="48">
        <v>1.2</v>
      </c>
      <c r="EP8" s="48">
        <v>-108.55800000000001</v>
      </c>
      <c r="EQ8" s="48">
        <v>-2.19</v>
      </c>
      <c r="ER8" s="48">
        <v>99.638000000000005</v>
      </c>
      <c r="ES8" s="48">
        <v>1.337</v>
      </c>
      <c r="ET8" s="48">
        <v>1.5289999999999999</v>
      </c>
      <c r="EU8" s="48">
        <v>1.3280000000000001</v>
      </c>
      <c r="EV8" s="48">
        <v>7.5090000000000003</v>
      </c>
      <c r="EW8" s="48">
        <v>3.375</v>
      </c>
      <c r="EX8" s="49">
        <v>73.5</v>
      </c>
      <c r="EY8" s="48">
        <v>0.28000000000000003</v>
      </c>
      <c r="EZ8" s="49">
        <v>0</v>
      </c>
      <c r="FA8" s="49">
        <v>0</v>
      </c>
      <c r="FB8" s="48">
        <v>8.9949999999999992</v>
      </c>
      <c r="FC8" s="48">
        <v>67.028000000000006</v>
      </c>
      <c r="FD8" s="48">
        <v>62.87</v>
      </c>
      <c r="FE8" s="48">
        <v>75.274000000000001</v>
      </c>
      <c r="FF8" s="48">
        <v>74.150999999999996</v>
      </c>
      <c r="FG8" s="48">
        <v>0.91600000000000004</v>
      </c>
      <c r="FH8" s="48">
        <v>0.91600000000000004</v>
      </c>
      <c r="FI8" s="48">
        <v>0.997</v>
      </c>
      <c r="FJ8" s="48">
        <v>1.004</v>
      </c>
      <c r="FK8" s="48">
        <v>0</v>
      </c>
      <c r="FL8" s="48">
        <v>83</v>
      </c>
      <c r="FM8" s="48">
        <v>3.78</v>
      </c>
      <c r="FN8" s="48">
        <v>0.49</v>
      </c>
      <c r="FO8" s="48">
        <v>4.83</v>
      </c>
      <c r="FP8" s="3"/>
      <c r="FQ8" s="48">
        <v>4.5999999999999996</v>
      </c>
      <c r="FR8" s="48">
        <v>5.05</v>
      </c>
      <c r="FS8" s="48">
        <v>6.4820000000000002</v>
      </c>
      <c r="FT8" s="48">
        <v>1068.5</v>
      </c>
      <c r="FU8" s="48">
        <v>5.81</v>
      </c>
      <c r="FV8" s="48">
        <v>53.32</v>
      </c>
      <c r="FW8" s="48">
        <v>2907</v>
      </c>
      <c r="FX8" s="49">
        <v>170200</v>
      </c>
      <c r="FY8" s="49">
        <v>171000</v>
      </c>
      <c r="FZ8" s="48">
        <v>47.274999999999999</v>
      </c>
      <c r="GA8" s="48">
        <v>47.651000000000003</v>
      </c>
      <c r="GB8" s="48">
        <v>2141.8000000000002</v>
      </c>
      <c r="GC8" s="49">
        <v>2427.1</v>
      </c>
      <c r="GD8" s="48">
        <v>2169.6</v>
      </c>
      <c r="GE8" s="49">
        <v>2428.8000000000002</v>
      </c>
      <c r="GF8" s="49">
        <v>1555.9063000000001</v>
      </c>
      <c r="GG8" s="48">
        <v>34</v>
      </c>
      <c r="GH8" s="48">
        <v>34.200000000000003</v>
      </c>
      <c r="GI8" s="48">
        <v>47.1</v>
      </c>
      <c r="GJ8" s="48">
        <v>52</v>
      </c>
      <c r="GK8" s="48">
        <v>99.5</v>
      </c>
      <c r="GL8" s="48">
        <v>109.7</v>
      </c>
      <c r="GM8" s="49">
        <v>0</v>
      </c>
      <c r="GN8" s="48">
        <v>23.91</v>
      </c>
      <c r="GO8" s="48">
        <v>108.55800000000001</v>
      </c>
      <c r="GP8" s="48">
        <v>0.29499999999999998</v>
      </c>
      <c r="GQ8" s="48">
        <v>1.829</v>
      </c>
      <c r="GR8" s="48">
        <v>0.59</v>
      </c>
      <c r="GS8" s="48">
        <v>1.9470000000000001</v>
      </c>
      <c r="GT8" s="48">
        <v>0.53100000000000003</v>
      </c>
      <c r="GU8" s="48">
        <v>1.8879999999999999</v>
      </c>
      <c r="GV8" s="49">
        <v>0</v>
      </c>
      <c r="GW8" s="48">
        <v>0</v>
      </c>
      <c r="GX8" s="48">
        <v>0</v>
      </c>
      <c r="GY8" s="48">
        <v>11.858000000000001</v>
      </c>
      <c r="GZ8" s="48">
        <v>13.561</v>
      </c>
      <c r="HA8" s="48">
        <v>15.092000000000001</v>
      </c>
      <c r="HB8" s="48">
        <v>0</v>
      </c>
      <c r="HC8" s="49">
        <v>36.188000000000002</v>
      </c>
      <c r="HD8" s="48">
        <v>82</v>
      </c>
      <c r="HE8" s="49">
        <v>0</v>
      </c>
      <c r="HF8" s="49">
        <v>0</v>
      </c>
      <c r="HG8" s="49">
        <v>83.22</v>
      </c>
      <c r="HH8" s="49">
        <v>78.95</v>
      </c>
      <c r="HI8" s="49">
        <v>0</v>
      </c>
      <c r="HJ8" s="49">
        <v>0</v>
      </c>
      <c r="HK8" s="49">
        <v>0</v>
      </c>
      <c r="HL8" s="48">
        <v>58</v>
      </c>
      <c r="HM8" s="48">
        <v>51</v>
      </c>
      <c r="HN8" s="48">
        <v>65</v>
      </c>
      <c r="HO8" s="48">
        <v>58</v>
      </c>
      <c r="HP8" s="49">
        <v>62</v>
      </c>
      <c r="HQ8" s="48">
        <v>59</v>
      </c>
      <c r="HR8" s="48">
        <v>54</v>
      </c>
      <c r="HS8" s="48">
        <v>62</v>
      </c>
      <c r="HT8" s="48">
        <v>-1.4995000000000001</v>
      </c>
      <c r="HU8" s="49">
        <v>0</v>
      </c>
      <c r="HV8" s="48">
        <v>0.58299999999999996</v>
      </c>
      <c r="HW8" s="49">
        <v>40.380000000000003</v>
      </c>
      <c r="HX8" s="49">
        <v>43.64</v>
      </c>
      <c r="HY8" s="3"/>
      <c r="HZ8" s="3"/>
      <c r="IA8" s="49">
        <v>2.8610000000000002</v>
      </c>
      <c r="IB8" s="49">
        <v>104</v>
      </c>
      <c r="IC8" s="48">
        <v>22.446999999999999</v>
      </c>
      <c r="ID8" s="48">
        <v>-0.38700000000000001</v>
      </c>
      <c r="IE8" s="48">
        <v>-0.215</v>
      </c>
      <c r="IF8" s="49">
        <v>818.2</v>
      </c>
      <c r="IG8" s="49">
        <v>760.2</v>
      </c>
      <c r="IH8" s="48">
        <v>831.3</v>
      </c>
      <c r="II8" s="49">
        <v>771.6</v>
      </c>
      <c r="IJ8" s="48">
        <v>-5.0999999999999997E-2</v>
      </c>
      <c r="IK8" s="48">
        <v>3.0000000000000001E-3</v>
      </c>
      <c r="IL8" s="48">
        <v>72.774000000000001</v>
      </c>
      <c r="IM8" s="48">
        <v>72.774000000000001</v>
      </c>
      <c r="IN8" s="48">
        <v>11.727</v>
      </c>
      <c r="IO8" s="48">
        <v>0.308</v>
      </c>
      <c r="IP8" s="48">
        <v>9.0399999999999991</v>
      </c>
      <c r="IQ8" s="48">
        <v>8.9999999999999993E-3</v>
      </c>
      <c r="IR8" s="48">
        <v>6.0000000000000001E-3</v>
      </c>
    </row>
    <row r="9" spans="2:252" x14ac:dyDescent="0.25">
      <c r="B9" s="2" t="s">
        <v>409</v>
      </c>
      <c r="C9" s="2" t="s">
        <v>43</v>
      </c>
      <c r="D9" s="57">
        <v>2.4789351851851851E-3</v>
      </c>
      <c r="E9" s="48">
        <v>214.22</v>
      </c>
      <c r="F9" s="49">
        <v>333.29</v>
      </c>
      <c r="G9" s="48">
        <v>5.93</v>
      </c>
      <c r="H9" s="49">
        <v>26</v>
      </c>
      <c r="I9" s="49">
        <v>0</v>
      </c>
      <c r="J9" s="48">
        <v>16.2</v>
      </c>
      <c r="K9" s="49">
        <v>7</v>
      </c>
      <c r="L9" s="49">
        <v>6</v>
      </c>
      <c r="M9" s="49">
        <v>7</v>
      </c>
      <c r="N9" s="49">
        <v>3</v>
      </c>
      <c r="O9" s="49">
        <v>3</v>
      </c>
      <c r="P9" s="48">
        <v>0.83899999999999997</v>
      </c>
      <c r="Q9" s="48">
        <v>1.2030000000000001</v>
      </c>
      <c r="R9" s="48">
        <v>0.88200000000000001</v>
      </c>
      <c r="S9" s="48">
        <v>0.76500000000000001</v>
      </c>
      <c r="T9" s="48">
        <v>71.569999999999993</v>
      </c>
      <c r="U9" s="48">
        <v>60.109000000000002</v>
      </c>
      <c r="V9" s="48">
        <v>231.66</v>
      </c>
      <c r="W9" s="48">
        <v>241.66</v>
      </c>
      <c r="X9" s="48">
        <v>165</v>
      </c>
      <c r="Y9" s="48">
        <v>203.34</v>
      </c>
      <c r="Z9" s="48">
        <v>373.06</v>
      </c>
      <c r="AA9" s="48">
        <v>386.24</v>
      </c>
      <c r="AB9" s="48">
        <v>255.94</v>
      </c>
      <c r="AC9" s="48">
        <v>318.66000000000003</v>
      </c>
      <c r="AD9" s="49">
        <v>1.78</v>
      </c>
      <c r="AE9" s="49">
        <v>1.8069999999999999</v>
      </c>
      <c r="AF9" s="49">
        <v>1.8129999999999999</v>
      </c>
      <c r="AG9" s="49">
        <v>1.8240000000000001</v>
      </c>
      <c r="AH9" s="49">
        <v>77.73</v>
      </c>
      <c r="AI9" s="49">
        <v>73.56</v>
      </c>
      <c r="AJ9" s="49">
        <v>104.38</v>
      </c>
      <c r="AK9" s="49">
        <v>105.06</v>
      </c>
      <c r="AL9" s="48">
        <v>669.78800000000001</v>
      </c>
      <c r="AM9" s="48">
        <v>671.40899999999999</v>
      </c>
      <c r="AN9" s="49">
        <v>881.21400000000006</v>
      </c>
      <c r="AO9" s="49">
        <v>854.19899999999996</v>
      </c>
      <c r="AP9" s="48">
        <v>1.282</v>
      </c>
      <c r="AQ9" s="48">
        <v>1.7749999999999999</v>
      </c>
      <c r="AR9" s="49">
        <v>44.564</v>
      </c>
      <c r="AS9" s="49">
        <v>40.921999999999997</v>
      </c>
      <c r="AT9" s="48">
        <v>83</v>
      </c>
      <c r="AU9" s="49">
        <v>121</v>
      </c>
      <c r="AV9" s="48">
        <v>1.3759999999999999</v>
      </c>
      <c r="AW9" s="48">
        <v>4.5937000000000001</v>
      </c>
      <c r="AX9" s="48">
        <v>1015.5</v>
      </c>
      <c r="AY9" s="48">
        <v>2.4500000000000002</v>
      </c>
      <c r="AZ9" s="49">
        <v>4.33</v>
      </c>
      <c r="BA9" s="48">
        <v>92.814999999999998</v>
      </c>
      <c r="BB9" s="48">
        <v>92.59</v>
      </c>
      <c r="BC9" s="48">
        <v>7710</v>
      </c>
      <c r="BD9" s="48">
        <v>88</v>
      </c>
      <c r="BE9" s="49">
        <v>16.71</v>
      </c>
      <c r="BF9" s="48">
        <v>14.01</v>
      </c>
      <c r="BG9" s="48">
        <v>28.35</v>
      </c>
      <c r="BH9" s="48">
        <v>31.34</v>
      </c>
      <c r="BI9" s="3"/>
      <c r="BJ9" s="3"/>
      <c r="BK9" s="3"/>
      <c r="BL9" s="3"/>
      <c r="BM9" s="3"/>
      <c r="BN9" s="48">
        <v>98.792000000000002</v>
      </c>
      <c r="BO9" s="48">
        <v>98.2</v>
      </c>
      <c r="BP9" s="48">
        <v>115.416</v>
      </c>
      <c r="BQ9" s="48">
        <v>120.056</v>
      </c>
      <c r="BR9" s="3"/>
      <c r="BS9" s="49">
        <v>25.8</v>
      </c>
      <c r="BT9" s="48">
        <v>7425.5559999999996</v>
      </c>
      <c r="BU9" s="48">
        <v>48.493000000000002</v>
      </c>
      <c r="BV9" s="49">
        <v>51.942</v>
      </c>
      <c r="BW9" s="48">
        <v>51.237000000000002</v>
      </c>
      <c r="BX9" s="48">
        <v>54.018999999999998</v>
      </c>
      <c r="BY9" s="48">
        <v>1.4870000000000001</v>
      </c>
      <c r="BZ9" s="49">
        <v>2.83</v>
      </c>
      <c r="CA9" s="48">
        <v>3.343</v>
      </c>
      <c r="CB9" s="48">
        <v>3.609</v>
      </c>
      <c r="CC9" s="48">
        <v>0.92900000000000005</v>
      </c>
      <c r="CD9" s="49">
        <v>2.16</v>
      </c>
      <c r="CE9" s="48">
        <v>1.121</v>
      </c>
      <c r="CF9" s="48">
        <v>1.984</v>
      </c>
      <c r="CG9" s="48">
        <v>13.73</v>
      </c>
      <c r="CH9" s="48">
        <v>13.606</v>
      </c>
      <c r="CI9" s="48">
        <v>4.1589999999999998</v>
      </c>
      <c r="CJ9" s="48">
        <v>2.8420000000000001</v>
      </c>
      <c r="CK9" s="48">
        <v>1.137</v>
      </c>
      <c r="CL9" s="49">
        <v>0.2</v>
      </c>
      <c r="CM9" s="49">
        <v>0.5</v>
      </c>
      <c r="CN9" s="49">
        <v>0</v>
      </c>
      <c r="CO9" s="49">
        <v>0</v>
      </c>
      <c r="CP9" s="48">
        <v>93.757000000000005</v>
      </c>
      <c r="CQ9" s="48">
        <v>94.307000000000002</v>
      </c>
      <c r="CR9" s="48">
        <v>109.367</v>
      </c>
      <c r="CS9" s="48">
        <v>113.54600000000001</v>
      </c>
      <c r="CT9" s="48">
        <v>0.311</v>
      </c>
      <c r="CU9" s="49">
        <v>1.2969999999999999</v>
      </c>
      <c r="CV9" s="49">
        <v>1.897</v>
      </c>
      <c r="CW9" s="49">
        <v>1.399</v>
      </c>
      <c r="CX9" s="49">
        <v>1.401</v>
      </c>
      <c r="CY9" s="48">
        <v>1.1000000000000001</v>
      </c>
      <c r="CZ9" s="48">
        <v>1.097</v>
      </c>
      <c r="DA9" s="49">
        <v>0.998</v>
      </c>
      <c r="DB9" s="49">
        <v>1.4990000000000001</v>
      </c>
      <c r="DC9" s="48">
        <v>0</v>
      </c>
      <c r="DD9" s="49">
        <v>0</v>
      </c>
      <c r="DE9" s="48">
        <v>0.312</v>
      </c>
      <c r="DF9" s="48">
        <v>0.17499999999999999</v>
      </c>
      <c r="DG9" s="48">
        <v>0.83899999999999997</v>
      </c>
      <c r="DH9" s="48">
        <v>1.8520000000000001</v>
      </c>
      <c r="DI9" s="48">
        <v>1.0409999999999999</v>
      </c>
      <c r="DJ9" s="48">
        <v>0.29099999999999998</v>
      </c>
      <c r="DK9" s="49">
        <v>1.288</v>
      </c>
      <c r="DL9" s="48">
        <v>0.40400000000000003</v>
      </c>
      <c r="DM9" s="48">
        <v>0.432</v>
      </c>
      <c r="DN9" s="48">
        <v>3.9E-2</v>
      </c>
      <c r="DO9" s="48">
        <v>6.5000000000000002E-2</v>
      </c>
      <c r="DP9" s="49">
        <v>68.364999999999995</v>
      </c>
      <c r="DQ9" s="48">
        <v>58.713999999999999</v>
      </c>
      <c r="DR9" s="48">
        <v>54.576999999999998</v>
      </c>
      <c r="DS9" s="48">
        <v>51.191000000000003</v>
      </c>
      <c r="DT9" s="48">
        <v>7.07</v>
      </c>
      <c r="DU9" s="48">
        <v>6.62</v>
      </c>
      <c r="DV9" s="48">
        <v>12.6</v>
      </c>
      <c r="DW9" s="48">
        <v>10.08</v>
      </c>
      <c r="DX9" s="48">
        <v>7.35</v>
      </c>
      <c r="DY9" s="48">
        <v>7.1</v>
      </c>
      <c r="DZ9" s="48">
        <v>11.95</v>
      </c>
      <c r="EA9" s="48">
        <v>9.75</v>
      </c>
      <c r="EB9" s="48">
        <v>41.48</v>
      </c>
      <c r="EC9" s="48">
        <v>41.28</v>
      </c>
      <c r="ED9" s="48">
        <v>33.72</v>
      </c>
      <c r="EE9" s="49">
        <v>36.770000000000003</v>
      </c>
      <c r="EF9" s="48">
        <v>44.1</v>
      </c>
      <c r="EG9" s="48">
        <v>45</v>
      </c>
      <c r="EH9" s="48">
        <v>41.73</v>
      </c>
      <c r="EI9" s="48">
        <v>43.39</v>
      </c>
      <c r="EJ9" s="48">
        <v>7.1379999999999999</v>
      </c>
      <c r="EK9" s="48">
        <v>62.526000000000003</v>
      </c>
      <c r="EL9" s="48">
        <v>2.2999999999999998</v>
      </c>
      <c r="EM9" s="48">
        <v>1.95</v>
      </c>
      <c r="EN9" s="48">
        <v>1.22</v>
      </c>
      <c r="EO9" s="48">
        <v>1.22</v>
      </c>
      <c r="EP9" s="48">
        <v>-109.726</v>
      </c>
      <c r="EQ9" s="48">
        <v>-2.117</v>
      </c>
      <c r="ER9" s="48">
        <v>91.17</v>
      </c>
      <c r="ES9" s="48">
        <v>1.3180000000000001</v>
      </c>
      <c r="ET9" s="48">
        <v>1.4770000000000001</v>
      </c>
      <c r="EU9" s="48">
        <v>1.292</v>
      </c>
      <c r="EV9" s="48">
        <v>7.117</v>
      </c>
      <c r="EW9" s="48">
        <v>3.13</v>
      </c>
      <c r="EX9" s="48">
        <v>72.040000000000006</v>
      </c>
      <c r="EY9" s="48">
        <v>0</v>
      </c>
      <c r="EZ9" s="49">
        <v>0</v>
      </c>
      <c r="FA9" s="49">
        <v>0</v>
      </c>
      <c r="FB9" s="48">
        <v>8.9860000000000007</v>
      </c>
      <c r="FC9" s="49">
        <v>69.13</v>
      </c>
      <c r="FD9" s="48">
        <v>64.69</v>
      </c>
      <c r="FE9" s="49">
        <v>78.762</v>
      </c>
      <c r="FF9" s="49">
        <v>76.777000000000001</v>
      </c>
      <c r="FG9" s="48">
        <v>0.91500000000000004</v>
      </c>
      <c r="FH9" s="48">
        <v>0.91700000000000004</v>
      </c>
      <c r="FI9" s="48">
        <v>0.997</v>
      </c>
      <c r="FJ9" s="48">
        <v>1.004</v>
      </c>
      <c r="FK9" s="48">
        <v>0</v>
      </c>
      <c r="FL9" s="48">
        <v>83</v>
      </c>
      <c r="FM9" s="49">
        <v>3.89</v>
      </c>
      <c r="FN9" s="49">
        <v>0.19</v>
      </c>
      <c r="FO9" s="49">
        <v>4.37</v>
      </c>
      <c r="FP9" s="3"/>
      <c r="FQ9" s="48">
        <v>4.55</v>
      </c>
      <c r="FR9" s="48">
        <v>5</v>
      </c>
      <c r="FS9" s="49">
        <v>6.6040000000000001</v>
      </c>
      <c r="FT9" s="49">
        <v>1083</v>
      </c>
      <c r="FU9" s="49">
        <v>6.09</v>
      </c>
      <c r="FV9" s="48">
        <v>59.24</v>
      </c>
      <c r="FW9" s="49">
        <v>3190</v>
      </c>
      <c r="FX9" s="48">
        <v>167300</v>
      </c>
      <c r="FY9" s="48">
        <v>167900</v>
      </c>
      <c r="FZ9" s="48">
        <v>47.360999999999997</v>
      </c>
      <c r="GA9" s="48">
        <v>47.817</v>
      </c>
      <c r="GB9" s="49">
        <v>2228.3000000000002</v>
      </c>
      <c r="GC9" s="48">
        <v>2153.9</v>
      </c>
      <c r="GD9" s="49">
        <v>2263.9</v>
      </c>
      <c r="GE9" s="48">
        <v>2245</v>
      </c>
      <c r="GF9" s="48">
        <v>1309.4530999999999</v>
      </c>
      <c r="GG9" s="48">
        <v>35</v>
      </c>
      <c r="GH9" s="48">
        <v>35</v>
      </c>
      <c r="GI9" s="48">
        <v>46.9</v>
      </c>
      <c r="GJ9" s="48">
        <v>51.8</v>
      </c>
      <c r="GK9" s="48">
        <v>99.5</v>
      </c>
      <c r="GL9" s="48">
        <v>108.6</v>
      </c>
      <c r="GM9" s="49">
        <v>0</v>
      </c>
      <c r="GN9" s="48">
        <v>25.632000000000001</v>
      </c>
      <c r="GO9" s="48">
        <v>109.726</v>
      </c>
      <c r="GP9" s="48">
        <v>0.35399999999999998</v>
      </c>
      <c r="GQ9" s="48">
        <v>1.829</v>
      </c>
      <c r="GR9" s="48">
        <v>0.59</v>
      </c>
      <c r="GS9" s="48">
        <v>1.9470000000000001</v>
      </c>
      <c r="GT9" s="48">
        <v>0.53100000000000003</v>
      </c>
      <c r="GU9" s="48">
        <v>1.829</v>
      </c>
      <c r="GV9" s="49">
        <v>0</v>
      </c>
      <c r="GW9" s="48">
        <v>0</v>
      </c>
      <c r="GX9" s="48">
        <v>0</v>
      </c>
      <c r="GY9" s="48">
        <v>11.27</v>
      </c>
      <c r="GZ9" s="48">
        <v>13.590999999999999</v>
      </c>
      <c r="HA9" s="48">
        <v>15.092000000000001</v>
      </c>
      <c r="HB9" s="48">
        <v>0</v>
      </c>
      <c r="HC9" s="48">
        <v>36.148000000000003</v>
      </c>
      <c r="HD9" s="48">
        <v>82</v>
      </c>
      <c r="HE9" s="49">
        <v>0</v>
      </c>
      <c r="HF9" s="49">
        <v>0</v>
      </c>
      <c r="HG9" s="48">
        <v>69.540000000000006</v>
      </c>
      <c r="HH9" s="48">
        <v>78.28</v>
      </c>
      <c r="HI9" s="49">
        <v>0</v>
      </c>
      <c r="HJ9" s="49">
        <v>0</v>
      </c>
      <c r="HK9" s="49">
        <v>0</v>
      </c>
      <c r="HL9" s="48">
        <v>57</v>
      </c>
      <c r="HM9" s="48">
        <v>51</v>
      </c>
      <c r="HN9" s="48">
        <v>65</v>
      </c>
      <c r="HO9" s="48">
        <v>58</v>
      </c>
      <c r="HP9" s="49">
        <v>62</v>
      </c>
      <c r="HQ9" s="49">
        <v>60</v>
      </c>
      <c r="HR9" s="48">
        <v>54</v>
      </c>
      <c r="HS9" s="48">
        <v>62</v>
      </c>
      <c r="HT9" s="49">
        <v>-1.518</v>
      </c>
      <c r="HU9" s="49">
        <v>0</v>
      </c>
      <c r="HV9" s="49">
        <v>0.751</v>
      </c>
      <c r="HW9" s="49">
        <v>40.380000000000003</v>
      </c>
      <c r="HX9" s="48">
        <v>46.15</v>
      </c>
      <c r="HY9" s="3"/>
      <c r="HZ9" s="3"/>
      <c r="IA9" s="48">
        <v>2.8330000000000002</v>
      </c>
      <c r="IB9" s="49">
        <v>104</v>
      </c>
      <c r="IC9" s="49">
        <v>22.472000000000001</v>
      </c>
      <c r="ID9" s="48">
        <v>-0.41199999999999998</v>
      </c>
      <c r="IE9" s="48">
        <v>-0.21099999999999999</v>
      </c>
      <c r="IF9" s="48">
        <v>804.1</v>
      </c>
      <c r="IG9" s="48">
        <v>755.6</v>
      </c>
      <c r="IH9" s="48">
        <v>810.1</v>
      </c>
      <c r="II9" s="48">
        <v>765</v>
      </c>
      <c r="IJ9" s="48">
        <v>-2.1000000000000001E-2</v>
      </c>
      <c r="IK9" s="49">
        <v>4.4999999999999998E-2</v>
      </c>
      <c r="IL9" s="48">
        <v>78.507999999999996</v>
      </c>
      <c r="IM9" s="48">
        <v>78.507999999999996</v>
      </c>
      <c r="IN9" s="48">
        <v>10.16</v>
      </c>
      <c r="IO9" s="49">
        <v>0.33500000000000002</v>
      </c>
      <c r="IP9" s="48">
        <v>8.8699999999999992</v>
      </c>
      <c r="IQ9" s="49">
        <v>1.4999999999999999E-2</v>
      </c>
      <c r="IR9" s="49">
        <v>8.0000000000000002E-3</v>
      </c>
    </row>
    <row r="10" spans="2:252" ht="30" x14ac:dyDescent="0.25">
      <c r="B10" s="2" t="s">
        <v>409</v>
      </c>
      <c r="C10" s="2" t="s">
        <v>44</v>
      </c>
      <c r="D10" s="2" t="s">
        <v>421</v>
      </c>
      <c r="E10" s="49">
        <v>462.06799999999998</v>
      </c>
      <c r="F10" s="48">
        <v>330.35</v>
      </c>
      <c r="G10" s="48">
        <v>3.84</v>
      </c>
      <c r="H10" s="48">
        <v>25.9</v>
      </c>
      <c r="I10" s="49">
        <v>0</v>
      </c>
      <c r="J10" s="49">
        <v>43.1</v>
      </c>
      <c r="K10" s="49">
        <v>7</v>
      </c>
      <c r="L10" s="49">
        <v>6</v>
      </c>
      <c r="M10" s="49">
        <v>7</v>
      </c>
      <c r="N10" s="48">
        <v>2</v>
      </c>
      <c r="O10" s="49">
        <v>3</v>
      </c>
      <c r="P10" s="49">
        <v>1.046</v>
      </c>
      <c r="Q10" s="49">
        <v>1.4570000000000001</v>
      </c>
      <c r="R10" s="49">
        <v>1.056</v>
      </c>
      <c r="S10" s="3"/>
      <c r="T10" s="49">
        <v>72.13</v>
      </c>
      <c r="U10" s="48">
        <v>60.433999999999997</v>
      </c>
      <c r="V10" s="49">
        <v>70</v>
      </c>
      <c r="W10" s="49">
        <v>40</v>
      </c>
      <c r="X10" s="49">
        <v>80</v>
      </c>
      <c r="Y10" s="49">
        <v>80</v>
      </c>
      <c r="Z10" s="48">
        <v>195.5</v>
      </c>
      <c r="AA10" s="48">
        <v>200.41</v>
      </c>
      <c r="AB10" s="48">
        <v>152.16</v>
      </c>
      <c r="AC10" s="48">
        <v>181.05</v>
      </c>
      <c r="AD10" s="48">
        <v>1.6659999999999999</v>
      </c>
      <c r="AE10" s="48">
        <v>1.7050000000000001</v>
      </c>
      <c r="AF10" s="48">
        <v>1.6379999999999999</v>
      </c>
      <c r="AG10" s="48">
        <v>1.67</v>
      </c>
      <c r="AH10" s="48">
        <v>60.42</v>
      </c>
      <c r="AI10" s="48">
        <v>57.97</v>
      </c>
      <c r="AJ10" s="48">
        <v>77.59</v>
      </c>
      <c r="AK10" s="48">
        <v>79.599999999999994</v>
      </c>
      <c r="AL10" s="48">
        <v>640.19000000000005</v>
      </c>
      <c r="AM10" s="48">
        <v>644.55799999999999</v>
      </c>
      <c r="AN10" s="48">
        <v>815.47299999999996</v>
      </c>
      <c r="AO10" s="48">
        <v>823.28300000000002</v>
      </c>
      <c r="AP10" s="48">
        <v>1.3109999999999999</v>
      </c>
      <c r="AQ10" s="48">
        <v>1.78</v>
      </c>
      <c r="AR10" s="48">
        <v>42.420999999999999</v>
      </c>
      <c r="AS10" s="48">
        <v>38.817</v>
      </c>
      <c r="AT10" s="48">
        <v>83</v>
      </c>
      <c r="AU10" s="49">
        <v>121</v>
      </c>
      <c r="AV10" s="48">
        <v>1.966</v>
      </c>
      <c r="AW10" s="48">
        <v>4.4268000000000001</v>
      </c>
      <c r="AX10" s="48">
        <v>1007.4</v>
      </c>
      <c r="AY10" s="48">
        <v>2.5099999999999998</v>
      </c>
      <c r="AZ10" s="48">
        <v>4.9000000000000004</v>
      </c>
      <c r="BA10" s="48">
        <v>73.793000000000006</v>
      </c>
      <c r="BB10" s="48">
        <v>74.5</v>
      </c>
      <c r="BC10" s="49">
        <v>7785</v>
      </c>
      <c r="BD10" s="48">
        <v>88.75</v>
      </c>
      <c r="BE10" s="48">
        <v>15.17</v>
      </c>
      <c r="BF10" s="48">
        <v>11.715</v>
      </c>
      <c r="BG10" s="48">
        <v>26.48</v>
      </c>
      <c r="BH10" s="48">
        <v>23.44</v>
      </c>
      <c r="BI10" s="49">
        <v>65.674000000000007</v>
      </c>
      <c r="BJ10" s="49">
        <v>80.254000000000005</v>
      </c>
      <c r="BK10" s="49">
        <v>64.132000000000005</v>
      </c>
      <c r="BL10" s="49">
        <v>77.988</v>
      </c>
      <c r="BM10" s="49">
        <v>77.858000000000004</v>
      </c>
      <c r="BN10" s="48">
        <v>107.72</v>
      </c>
      <c r="BO10" s="48">
        <v>109.27200000000001</v>
      </c>
      <c r="BP10" s="48">
        <v>118.872</v>
      </c>
      <c r="BQ10" s="48">
        <v>120.92</v>
      </c>
      <c r="BR10" s="49">
        <v>59.468000000000004</v>
      </c>
      <c r="BS10" s="48">
        <v>25.5</v>
      </c>
      <c r="BT10" s="49">
        <v>7487.8540000000003</v>
      </c>
      <c r="BU10" s="48">
        <v>35.606999999999999</v>
      </c>
      <c r="BV10" s="48">
        <v>49.078000000000003</v>
      </c>
      <c r="BW10" s="48">
        <v>52.923999999999999</v>
      </c>
      <c r="BX10" s="48">
        <v>53.890999999999998</v>
      </c>
      <c r="BY10" s="48">
        <v>1.3169999999999999</v>
      </c>
      <c r="BZ10" s="48">
        <v>2.7280000000000002</v>
      </c>
      <c r="CA10" s="49">
        <v>3.718</v>
      </c>
      <c r="CB10" s="48">
        <v>3.0049999999999999</v>
      </c>
      <c r="CC10" s="48">
        <v>0.95299999999999996</v>
      </c>
      <c r="CD10" s="48">
        <v>1.925</v>
      </c>
      <c r="CE10" s="48">
        <v>1.1930000000000001</v>
      </c>
      <c r="CF10" s="48">
        <v>1.964</v>
      </c>
      <c r="CG10" s="49">
        <v>13.798999999999999</v>
      </c>
      <c r="CH10" s="48">
        <v>10.278</v>
      </c>
      <c r="CI10" s="3"/>
      <c r="CJ10" s="3"/>
      <c r="CK10" s="3"/>
      <c r="CL10" s="48">
        <v>0.1</v>
      </c>
      <c r="CM10" s="48">
        <v>0</v>
      </c>
      <c r="CN10" s="49">
        <v>0</v>
      </c>
      <c r="CO10" s="49">
        <v>0</v>
      </c>
      <c r="CP10" s="48">
        <v>87.899000000000001</v>
      </c>
      <c r="CQ10" s="48">
        <v>89.2</v>
      </c>
      <c r="CR10" s="48">
        <v>96.882999999999996</v>
      </c>
      <c r="CS10" s="48">
        <v>99.947999999999993</v>
      </c>
      <c r="CT10" s="48">
        <v>0.11700000000000001</v>
      </c>
      <c r="CU10" s="48">
        <v>0.70099999999999996</v>
      </c>
      <c r="CV10" s="48">
        <v>0.8</v>
      </c>
      <c r="CW10" s="48">
        <v>1.1000000000000001</v>
      </c>
      <c r="CX10" s="48">
        <v>0.90100000000000002</v>
      </c>
      <c r="CY10" s="48">
        <v>0.7</v>
      </c>
      <c r="CZ10" s="48">
        <v>0.70099999999999996</v>
      </c>
      <c r="DA10" s="48">
        <v>0.1</v>
      </c>
      <c r="DB10" s="48">
        <v>1.1000000000000001</v>
      </c>
      <c r="DC10" s="48">
        <v>0</v>
      </c>
      <c r="DD10" s="49">
        <v>0</v>
      </c>
      <c r="DE10" s="48">
        <v>0.14099999999999999</v>
      </c>
      <c r="DF10" s="48">
        <v>9.0999999999999998E-2</v>
      </c>
      <c r="DG10" s="48">
        <v>0.20899999999999999</v>
      </c>
      <c r="DH10" s="48">
        <v>0.84899999999999998</v>
      </c>
      <c r="DI10" s="48">
        <v>0.94299999999999995</v>
      </c>
      <c r="DJ10" s="49">
        <v>0.41099999999999998</v>
      </c>
      <c r="DK10" s="48">
        <v>1.0449999999999999</v>
      </c>
      <c r="DL10" s="49">
        <v>0.40699999999999997</v>
      </c>
      <c r="DM10" s="49">
        <v>0.53400000000000003</v>
      </c>
      <c r="DN10" s="49">
        <v>0.61299999999999999</v>
      </c>
      <c r="DO10" s="49">
        <v>0.41899999999999998</v>
      </c>
      <c r="DP10" s="48">
        <v>66.771000000000001</v>
      </c>
      <c r="DQ10" s="49">
        <v>61.070999999999998</v>
      </c>
      <c r="DR10" s="48">
        <v>54.631</v>
      </c>
      <c r="DS10" s="49">
        <v>52.253999999999998</v>
      </c>
      <c r="DT10" s="48">
        <v>1.51</v>
      </c>
      <c r="DU10" s="48">
        <v>1.51</v>
      </c>
      <c r="DV10" s="48">
        <v>2.65</v>
      </c>
      <c r="DW10" s="48">
        <v>2.04</v>
      </c>
      <c r="DX10" s="48">
        <v>1.59</v>
      </c>
      <c r="DY10" s="48">
        <v>1.68</v>
      </c>
      <c r="DZ10" s="48">
        <v>2.48</v>
      </c>
      <c r="EA10" s="48">
        <v>2.0299999999999998</v>
      </c>
      <c r="EB10" s="49">
        <v>42.41</v>
      </c>
      <c r="EC10" s="49">
        <v>42.95</v>
      </c>
      <c r="ED10" s="49">
        <v>34.65</v>
      </c>
      <c r="EE10" s="48">
        <v>34.01</v>
      </c>
      <c r="EF10" s="48">
        <v>54.49</v>
      </c>
      <c r="EG10" s="48">
        <v>53.86</v>
      </c>
      <c r="EH10" s="49">
        <v>60.23</v>
      </c>
      <c r="EI10" s="49">
        <v>61.92</v>
      </c>
      <c r="EJ10" s="49">
        <v>8.2680000000000007</v>
      </c>
      <c r="EK10" s="48">
        <v>61.936999999999998</v>
      </c>
      <c r="EL10" s="48">
        <v>2.2999999999999998</v>
      </c>
      <c r="EM10" s="48">
        <v>2</v>
      </c>
      <c r="EN10" s="49">
        <v>1.53</v>
      </c>
      <c r="EO10" s="49">
        <v>1.52</v>
      </c>
      <c r="EP10" s="49">
        <v>-118.194</v>
      </c>
      <c r="EQ10" s="49">
        <v>-0.56699999999999995</v>
      </c>
      <c r="ER10" s="48">
        <v>90.001999999999995</v>
      </c>
      <c r="ES10" s="49">
        <v>1.5169999999999999</v>
      </c>
      <c r="ET10" s="49">
        <v>1.6220000000000001</v>
      </c>
      <c r="EU10" s="49">
        <v>1.512</v>
      </c>
      <c r="EV10" s="48">
        <v>7.51</v>
      </c>
      <c r="EW10" s="49">
        <v>3.4860000000000002</v>
      </c>
      <c r="EX10" s="48">
        <v>35.840000000000003</v>
      </c>
      <c r="EY10" s="48">
        <v>0</v>
      </c>
      <c r="EZ10" s="49">
        <v>0</v>
      </c>
      <c r="FA10" s="49">
        <v>0</v>
      </c>
      <c r="FB10" s="49">
        <v>9.3249999999999993</v>
      </c>
      <c r="FC10" s="48">
        <v>65.239000000000004</v>
      </c>
      <c r="FD10" s="48">
        <v>61.991</v>
      </c>
      <c r="FE10" s="48">
        <v>72.183000000000007</v>
      </c>
      <c r="FF10" s="48">
        <v>70.873000000000005</v>
      </c>
      <c r="FG10" s="49">
        <v>0.97199999999999998</v>
      </c>
      <c r="FH10" s="48">
        <v>0.95599999999999996</v>
      </c>
      <c r="FI10" s="49">
        <v>1.0209999999999999</v>
      </c>
      <c r="FJ10" s="49">
        <v>1.022</v>
      </c>
      <c r="FK10" s="48">
        <v>0</v>
      </c>
      <c r="FL10" s="48">
        <v>83</v>
      </c>
      <c r="FM10" s="48">
        <v>3.86</v>
      </c>
      <c r="FN10" s="48">
        <v>1.59</v>
      </c>
      <c r="FO10" s="48">
        <v>4.8899999999999997</v>
      </c>
      <c r="FP10" s="48">
        <v>4.05</v>
      </c>
      <c r="FQ10" s="49">
        <v>4.45</v>
      </c>
      <c r="FR10" s="48">
        <v>5.2</v>
      </c>
      <c r="FS10" s="48">
        <v>6.3765000000000001</v>
      </c>
      <c r="FT10" s="48">
        <v>1073.5999999999999</v>
      </c>
      <c r="FU10" s="48">
        <v>5.81</v>
      </c>
      <c r="FV10" s="49">
        <v>63.09</v>
      </c>
      <c r="FW10" s="48">
        <v>2872</v>
      </c>
      <c r="FX10" s="48">
        <v>165300</v>
      </c>
      <c r="FY10" s="48">
        <v>165800</v>
      </c>
      <c r="FZ10" s="48">
        <v>47.023000000000003</v>
      </c>
      <c r="GA10" s="48">
        <v>47.509</v>
      </c>
      <c r="GB10" s="48">
        <v>2152.6999999999998</v>
      </c>
      <c r="GC10" s="48">
        <v>2166.1</v>
      </c>
      <c r="GD10" s="48">
        <v>2222.1999999999998</v>
      </c>
      <c r="GE10" s="48">
        <v>2222.6999999999998</v>
      </c>
      <c r="GF10" s="48">
        <v>1300.0625</v>
      </c>
      <c r="GG10" s="49">
        <v>36</v>
      </c>
      <c r="GH10" s="49">
        <v>35.6</v>
      </c>
      <c r="GI10" s="48">
        <v>49.6</v>
      </c>
      <c r="GJ10" s="49">
        <v>56.4</v>
      </c>
      <c r="GK10" s="48">
        <v>99</v>
      </c>
      <c r="GL10" s="48">
        <v>110.4</v>
      </c>
      <c r="GM10" s="49">
        <v>0</v>
      </c>
      <c r="GN10" s="48">
        <v>24.422000000000001</v>
      </c>
      <c r="GO10" s="49">
        <v>118.194</v>
      </c>
      <c r="GP10" s="49">
        <v>0</v>
      </c>
      <c r="GQ10" s="48">
        <v>1.9470000000000001</v>
      </c>
      <c r="GR10" s="49">
        <v>0</v>
      </c>
      <c r="GS10" s="48">
        <v>2.1240000000000001</v>
      </c>
      <c r="GT10" s="49">
        <v>0</v>
      </c>
      <c r="GU10" s="48">
        <v>2.1240000000000001</v>
      </c>
      <c r="GV10" s="49">
        <v>0</v>
      </c>
      <c r="GW10" s="48">
        <v>0</v>
      </c>
      <c r="GX10" s="48">
        <v>0</v>
      </c>
      <c r="GY10" s="49">
        <v>0</v>
      </c>
      <c r="GZ10" s="49">
        <v>13.949</v>
      </c>
      <c r="HA10" s="48">
        <v>17.346</v>
      </c>
      <c r="HB10" s="49">
        <v>1</v>
      </c>
      <c r="HC10" s="48">
        <v>35.215000000000003</v>
      </c>
      <c r="HD10" s="49">
        <v>90</v>
      </c>
      <c r="HE10" s="49">
        <v>0</v>
      </c>
      <c r="HF10" s="49">
        <v>0</v>
      </c>
      <c r="HG10" s="48">
        <v>69.08</v>
      </c>
      <c r="HH10" s="48">
        <v>78.37</v>
      </c>
      <c r="HI10" s="49">
        <v>0</v>
      </c>
      <c r="HJ10" s="49">
        <v>0</v>
      </c>
      <c r="HK10" s="49">
        <v>0</v>
      </c>
      <c r="HL10" s="48">
        <v>58</v>
      </c>
      <c r="HM10" s="49">
        <v>52</v>
      </c>
      <c r="HN10" s="49">
        <v>66</v>
      </c>
      <c r="HO10" s="49">
        <v>59</v>
      </c>
      <c r="HP10" s="49">
        <v>62</v>
      </c>
      <c r="HQ10" s="49">
        <v>60</v>
      </c>
      <c r="HR10" s="49">
        <v>55</v>
      </c>
      <c r="HS10" s="48">
        <v>64</v>
      </c>
      <c r="HT10" s="48">
        <v>-1.5089999999999999</v>
      </c>
      <c r="HU10" s="49">
        <v>0</v>
      </c>
      <c r="HV10" s="48">
        <v>0.40500000000000003</v>
      </c>
      <c r="HW10" s="48">
        <v>41.2</v>
      </c>
      <c r="HX10" s="48">
        <v>47.05</v>
      </c>
      <c r="HY10" s="3"/>
      <c r="HZ10" s="3"/>
      <c r="IA10" s="48">
        <v>2.6850000000000001</v>
      </c>
      <c r="IB10" s="48">
        <v>96</v>
      </c>
      <c r="IC10" s="48">
        <v>16.716000000000001</v>
      </c>
      <c r="ID10" s="49">
        <v>-0.1</v>
      </c>
      <c r="IE10" s="49">
        <v>-5.8999999999999997E-2</v>
      </c>
      <c r="IF10" s="48">
        <v>802.6</v>
      </c>
      <c r="IG10" s="48">
        <v>600.1</v>
      </c>
      <c r="IH10" s="49">
        <v>834.5</v>
      </c>
      <c r="II10" s="48">
        <v>619</v>
      </c>
      <c r="IJ10" s="49">
        <v>-0.01</v>
      </c>
      <c r="IK10" s="48">
        <v>7.0000000000000001E-3</v>
      </c>
      <c r="IL10" s="49">
        <v>336.43599999999998</v>
      </c>
      <c r="IM10" s="49">
        <v>336.43599999999998</v>
      </c>
      <c r="IN10" s="49">
        <v>18.815999999999999</v>
      </c>
      <c r="IO10" s="48">
        <v>6.3E-2</v>
      </c>
      <c r="IP10" s="48">
        <v>9</v>
      </c>
      <c r="IQ10" s="48">
        <v>0</v>
      </c>
      <c r="IR10" s="48">
        <v>0</v>
      </c>
    </row>
  </sheetData>
  <mergeCells count="5">
    <mergeCell ref="B6:BD6"/>
    <mergeCell ref="BE6:DE6"/>
    <mergeCell ref="DF6:FE6"/>
    <mergeCell ref="FF6:HD6"/>
    <mergeCell ref="HE6:IR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9"/>
  <sheetViews>
    <sheetView zoomScale="60" zoomScaleNormal="60" workbookViewId="0">
      <selection activeCell="G7" sqref="G7:G9"/>
    </sheetView>
  </sheetViews>
  <sheetFormatPr defaultRowHeight="15" x14ac:dyDescent="0.25"/>
  <sheetData>
    <row r="1" spans="2:7" x14ac:dyDescent="0.25">
      <c r="B1" t="s">
        <v>2</v>
      </c>
      <c r="C1" t="s">
        <v>360</v>
      </c>
      <c r="D1" t="s">
        <v>361</v>
      </c>
      <c r="E1" t="s">
        <v>362</v>
      </c>
      <c r="F1" t="s">
        <v>363</v>
      </c>
      <c r="G1" t="s">
        <v>364</v>
      </c>
    </row>
    <row r="2" spans="2:7" x14ac:dyDescent="0.25">
      <c r="B2" s="48">
        <v>298.74400000000003</v>
      </c>
      <c r="C2" s="48">
        <v>5.76</v>
      </c>
      <c r="D2" s="48">
        <v>1.0489999999999999</v>
      </c>
      <c r="E2" s="49">
        <v>4.8250000000000002</v>
      </c>
      <c r="F2" s="49">
        <v>4.01</v>
      </c>
      <c r="G2" s="48">
        <v>-287.76</v>
      </c>
    </row>
    <row r="3" spans="2:7" x14ac:dyDescent="0.25">
      <c r="B3" s="48">
        <v>275.56</v>
      </c>
      <c r="C3" s="48">
        <v>5.59</v>
      </c>
      <c r="D3" s="48">
        <v>1.37</v>
      </c>
      <c r="E3" s="48">
        <v>4.4850000000000003</v>
      </c>
      <c r="F3" s="48">
        <v>3.2109999999999999</v>
      </c>
      <c r="G3" s="48">
        <v>66.959999999999994</v>
      </c>
    </row>
    <row r="4" spans="2:7" x14ac:dyDescent="0.25">
      <c r="B4" s="48">
        <v>244.68</v>
      </c>
      <c r="C4" s="48">
        <v>5.74</v>
      </c>
      <c r="D4" s="49">
        <v>1.6619999999999999</v>
      </c>
      <c r="E4" s="48">
        <v>4.6950000000000003</v>
      </c>
      <c r="F4" s="48">
        <v>3.7309999999999999</v>
      </c>
      <c r="G4" s="48">
        <v>69.06</v>
      </c>
    </row>
    <row r="5" spans="2:7" x14ac:dyDescent="0.25">
      <c r="B5" s="48">
        <v>218.9</v>
      </c>
      <c r="C5" s="49">
        <v>6.04</v>
      </c>
      <c r="D5" s="48">
        <v>1.1599999999999999</v>
      </c>
      <c r="E5" s="48">
        <v>3.3180000000000001</v>
      </c>
      <c r="F5" s="48">
        <v>2.8860000000000001</v>
      </c>
      <c r="G5" s="49">
        <v>74.22</v>
      </c>
    </row>
    <row r="6" spans="2:7" x14ac:dyDescent="0.25">
      <c r="B6" s="49">
        <v>495.36200000000002</v>
      </c>
      <c r="C6" s="48">
        <v>-23.13</v>
      </c>
      <c r="D6" s="3"/>
      <c r="E6" s="3"/>
      <c r="F6" s="3"/>
      <c r="G6" s="48">
        <v>39.4</v>
      </c>
    </row>
    <row r="7" spans="2:7" x14ac:dyDescent="0.25">
      <c r="B7" s="49">
        <v>287.154</v>
      </c>
      <c r="C7" s="48">
        <v>5.82</v>
      </c>
      <c r="D7" s="48">
        <v>1.355</v>
      </c>
      <c r="E7" s="49">
        <v>5.4059999999999997</v>
      </c>
      <c r="F7" s="48">
        <v>3.3319999999999999</v>
      </c>
      <c r="G7" s="48">
        <v>-215.48</v>
      </c>
    </row>
    <row r="8" spans="2:7" x14ac:dyDescent="0.25">
      <c r="B8" s="48">
        <v>211.17</v>
      </c>
      <c r="C8" s="49">
        <v>6.09</v>
      </c>
      <c r="D8" s="49">
        <v>1.73</v>
      </c>
      <c r="E8" s="48">
        <v>4.1749999999999998</v>
      </c>
      <c r="F8" s="49">
        <v>3.472</v>
      </c>
      <c r="G8" s="49">
        <v>75.239999999999995</v>
      </c>
    </row>
    <row r="9" spans="2:7" x14ac:dyDescent="0.25">
      <c r="B9" s="48">
        <v>252.86600000000001</v>
      </c>
      <c r="C9" s="48">
        <v>5.99</v>
      </c>
      <c r="D9" s="3"/>
      <c r="E9" s="3"/>
      <c r="F9" s="3"/>
      <c r="G9" s="48">
        <v>72.739999999999995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0"/>
  <sheetViews>
    <sheetView zoomScale="40" zoomScaleNormal="40" workbookViewId="0">
      <selection activeCell="G7" sqref="G7:G10"/>
    </sheetView>
  </sheetViews>
  <sheetFormatPr defaultRowHeight="15" x14ac:dyDescent="0.25"/>
  <sheetData>
    <row r="1" spans="2:7" x14ac:dyDescent="0.25">
      <c r="B1" t="s">
        <v>2</v>
      </c>
      <c r="C1" t="s">
        <v>360</v>
      </c>
      <c r="D1" t="s">
        <v>361</v>
      </c>
      <c r="E1" t="s">
        <v>362</v>
      </c>
      <c r="F1" t="s">
        <v>363</v>
      </c>
      <c r="G1" t="s">
        <v>364</v>
      </c>
    </row>
    <row r="2" spans="2:7" x14ac:dyDescent="0.25">
      <c r="B2" s="49">
        <v>305.09100000000001</v>
      </c>
      <c r="C2" s="48">
        <v>5.74</v>
      </c>
      <c r="D2" s="48">
        <v>1.5580000000000001</v>
      </c>
      <c r="E2" s="49">
        <v>4.8680000000000003</v>
      </c>
      <c r="F2" s="48">
        <v>3.3090000000000002</v>
      </c>
      <c r="G2" s="48">
        <v>-284.02</v>
      </c>
    </row>
    <row r="3" spans="2:7" x14ac:dyDescent="0.25">
      <c r="B3" s="48">
        <v>217.67</v>
      </c>
      <c r="C3" s="49">
        <v>5.96</v>
      </c>
      <c r="D3" s="48">
        <v>1.548</v>
      </c>
      <c r="E3" s="48">
        <v>4.7960000000000003</v>
      </c>
      <c r="F3" s="49">
        <v>3.718</v>
      </c>
      <c r="G3" s="49">
        <v>73.08</v>
      </c>
    </row>
    <row r="4" spans="2:7" x14ac:dyDescent="0.25">
      <c r="B4" s="48">
        <v>216.86</v>
      </c>
      <c r="C4" s="48">
        <v>5.91</v>
      </c>
      <c r="D4" s="49">
        <v>1.611</v>
      </c>
      <c r="E4" s="48">
        <v>4.7279999999999998</v>
      </c>
      <c r="F4" s="48">
        <v>3.7160000000000002</v>
      </c>
      <c r="G4" s="48">
        <v>72.36</v>
      </c>
    </row>
    <row r="5" spans="2:7" x14ac:dyDescent="0.25">
      <c r="B5" s="48">
        <v>216.5</v>
      </c>
      <c r="C5" s="48">
        <v>5.9</v>
      </c>
      <c r="D5" s="48">
        <v>1.603</v>
      </c>
      <c r="E5" s="48">
        <v>4.5720000000000001</v>
      </c>
      <c r="F5" s="48">
        <v>3.5019999999999998</v>
      </c>
      <c r="G5" s="48">
        <v>72.22</v>
      </c>
    </row>
    <row r="6" spans="2:7" x14ac:dyDescent="0.25">
      <c r="B6" s="48">
        <v>255.928</v>
      </c>
      <c r="C6" s="48">
        <v>-23.51</v>
      </c>
      <c r="D6" s="3"/>
      <c r="E6" s="3"/>
      <c r="F6" s="3"/>
      <c r="G6" s="48">
        <v>71.02</v>
      </c>
    </row>
    <row r="7" spans="2:7" x14ac:dyDescent="0.25">
      <c r="B7" s="48">
        <v>291.16500000000002</v>
      </c>
      <c r="C7" s="48">
        <v>5.84</v>
      </c>
      <c r="D7" s="48">
        <v>1.4359999999999999</v>
      </c>
      <c r="E7" s="48">
        <v>5.6210000000000004</v>
      </c>
      <c r="F7" s="48">
        <v>3.3879999999999999</v>
      </c>
      <c r="G7" s="48">
        <v>-148.04</v>
      </c>
    </row>
    <row r="8" spans="2:7" x14ac:dyDescent="0.25">
      <c r="B8" s="48">
        <v>211.94</v>
      </c>
      <c r="C8" s="49">
        <v>6.02</v>
      </c>
      <c r="D8" s="49">
        <v>1.63</v>
      </c>
      <c r="E8" s="49">
        <v>5.6680000000000001</v>
      </c>
      <c r="F8" s="49">
        <v>3.8050000000000002</v>
      </c>
      <c r="G8" s="49">
        <v>73.5</v>
      </c>
    </row>
    <row r="9" spans="2:7" x14ac:dyDescent="0.25">
      <c r="B9" s="48">
        <v>214.22</v>
      </c>
      <c r="C9" s="48">
        <v>5.93</v>
      </c>
      <c r="D9" s="48">
        <v>1.137</v>
      </c>
      <c r="E9" s="48">
        <v>4.1589999999999998</v>
      </c>
      <c r="F9" s="48">
        <v>2.8420000000000001</v>
      </c>
      <c r="G9" s="48">
        <v>72.040000000000006</v>
      </c>
    </row>
    <row r="10" spans="2:7" x14ac:dyDescent="0.25">
      <c r="B10" s="49">
        <v>462.06799999999998</v>
      </c>
      <c r="C10" s="48">
        <v>3.84</v>
      </c>
      <c r="D10" s="3"/>
      <c r="E10" s="3"/>
      <c r="F10" s="3"/>
      <c r="G10" s="48">
        <v>35.840000000000003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10"/>
  <sheetViews>
    <sheetView zoomScale="50" zoomScaleNormal="50" workbookViewId="0">
      <selection activeCell="G7" sqref="G7:G10"/>
    </sheetView>
  </sheetViews>
  <sheetFormatPr defaultRowHeight="15" x14ac:dyDescent="0.25"/>
  <sheetData>
    <row r="1" spans="2:7" x14ac:dyDescent="0.25">
      <c r="B1" t="s">
        <v>2</v>
      </c>
      <c r="C1" t="s">
        <v>360</v>
      </c>
      <c r="D1" t="s">
        <v>361</v>
      </c>
      <c r="E1" t="s">
        <v>362</v>
      </c>
      <c r="F1" t="s">
        <v>363</v>
      </c>
      <c r="G1" t="s">
        <v>364</v>
      </c>
    </row>
    <row r="2" spans="2:7" x14ac:dyDescent="0.25">
      <c r="B2" s="49">
        <v>887.43799999999999</v>
      </c>
      <c r="C2" s="48">
        <v>5.76</v>
      </c>
      <c r="D2" s="48">
        <v>1.2090000000000001</v>
      </c>
      <c r="E2" s="48">
        <v>4.5830000000000002</v>
      </c>
      <c r="F2" s="48">
        <v>2.5110000000000001</v>
      </c>
      <c r="G2" s="48">
        <v>-517.5</v>
      </c>
    </row>
    <row r="3" spans="2:7" x14ac:dyDescent="0.25">
      <c r="B3" s="48">
        <v>217.86</v>
      </c>
      <c r="C3" s="48">
        <v>5.79</v>
      </c>
      <c r="D3" s="48">
        <v>1.5860000000000001</v>
      </c>
      <c r="E3" s="49">
        <v>5.4950000000000001</v>
      </c>
      <c r="F3" s="48">
        <v>3.5779999999999998</v>
      </c>
      <c r="G3" s="48">
        <v>70.42</v>
      </c>
    </row>
    <row r="4" spans="2:7" x14ac:dyDescent="0.25">
      <c r="B4" s="48">
        <v>219.18</v>
      </c>
      <c r="C4" s="48">
        <v>5.7</v>
      </c>
      <c r="D4" s="49">
        <v>1.6779999999999999</v>
      </c>
      <c r="E4" s="48">
        <v>4.6879999999999997</v>
      </c>
      <c r="F4" s="49">
        <v>3.6749999999999998</v>
      </c>
      <c r="G4" s="48">
        <v>69.44</v>
      </c>
    </row>
    <row r="5" spans="2:7" x14ac:dyDescent="0.25">
      <c r="B5" s="48">
        <v>214.27</v>
      </c>
      <c r="C5" s="49">
        <v>5.98</v>
      </c>
      <c r="D5" s="48">
        <v>1.47</v>
      </c>
      <c r="E5" s="48">
        <v>3.944</v>
      </c>
      <c r="F5" s="48">
        <v>3.4580000000000002</v>
      </c>
      <c r="G5" s="49">
        <v>73.58</v>
      </c>
    </row>
    <row r="6" spans="2:7" x14ac:dyDescent="0.25">
      <c r="B6" s="48">
        <v>246.261</v>
      </c>
      <c r="C6" s="48">
        <v>-23.23</v>
      </c>
      <c r="D6" s="3"/>
      <c r="E6" s="3"/>
      <c r="F6" s="3"/>
      <c r="G6" s="48">
        <v>71.099999999999994</v>
      </c>
    </row>
    <row r="7" spans="2:7" x14ac:dyDescent="0.25">
      <c r="B7" s="49">
        <v>376.96100000000001</v>
      </c>
      <c r="C7" s="48">
        <v>5.73</v>
      </c>
      <c r="D7" s="48">
        <v>1.29</v>
      </c>
      <c r="E7" s="49">
        <v>4.7690000000000001</v>
      </c>
      <c r="F7" s="48">
        <v>3.544</v>
      </c>
      <c r="G7" s="48">
        <v>-250.82</v>
      </c>
    </row>
    <row r="8" spans="2:7" x14ac:dyDescent="0.25">
      <c r="B8" s="48">
        <v>214.1</v>
      </c>
      <c r="C8" s="48">
        <v>6.03</v>
      </c>
      <c r="D8" s="49">
        <v>1.659</v>
      </c>
      <c r="E8" s="48">
        <v>4.5410000000000004</v>
      </c>
      <c r="F8" s="49">
        <v>3.7280000000000002</v>
      </c>
      <c r="G8" s="48">
        <v>73.66</v>
      </c>
    </row>
    <row r="9" spans="2:7" x14ac:dyDescent="0.25">
      <c r="B9" s="48">
        <v>211.13</v>
      </c>
      <c r="C9" s="49">
        <v>6.04</v>
      </c>
      <c r="D9" s="48">
        <v>1.5529999999999999</v>
      </c>
      <c r="E9" s="48">
        <v>4.3419999999999996</v>
      </c>
      <c r="F9" s="48">
        <v>3.407</v>
      </c>
      <c r="G9" s="49">
        <v>74.28</v>
      </c>
    </row>
    <row r="10" spans="2:7" x14ac:dyDescent="0.25">
      <c r="B10" s="48">
        <v>247.13499999999999</v>
      </c>
      <c r="C10" s="48">
        <v>5.76</v>
      </c>
      <c r="D10" s="3"/>
      <c r="E10" s="3"/>
      <c r="F10" s="3"/>
      <c r="G10" s="48">
        <v>69.28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CTRL</vt:lpstr>
      <vt:lpstr>Plot_Export</vt:lpstr>
      <vt:lpstr>All</vt:lpstr>
      <vt:lpstr>709_FP2_Outing1</vt:lpstr>
      <vt:lpstr>709_FP2_Outing2</vt:lpstr>
      <vt:lpstr>709_FP2_Outing 3</vt:lpstr>
      <vt:lpstr>709_FP2_Outing 4</vt:lpstr>
      <vt:lpstr>709_FP2_Outing 5</vt:lpstr>
      <vt:lpstr>709_FP2_Outing 6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2021-08-18T18:37:59Z</cp:lastPrinted>
  <dcterms:created xsi:type="dcterms:W3CDTF">2021-07-23T10:36:36Z</dcterms:created>
  <dcterms:modified xsi:type="dcterms:W3CDTF">2021-08-18T22:44:04Z</dcterms:modified>
</cp:coreProperties>
</file>