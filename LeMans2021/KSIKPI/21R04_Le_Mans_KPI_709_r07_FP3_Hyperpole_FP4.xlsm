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D4A2780A-8A46-4369-96D8-409F9C003751}" xr6:coauthVersionLast="47" xr6:coauthVersionMax="47" xr10:uidLastSave="{00000000-0000-0000-0000-000000000000}"/>
  <bookViews>
    <workbookView xWindow="-120" yWindow="-120" windowWidth="29040" windowHeight="15840" firstSheet="11" activeTab="15" xr2:uid="{33A7812F-93B0-42E2-BFA7-E40E9D5444C4}"/>
  </bookViews>
  <sheets>
    <sheet name="CTRL" sheetId="11" r:id="rId1"/>
    <sheet name="Plot_Export" sheetId="12" r:id="rId2"/>
    <sheet name="All" sheetId="3" r:id="rId3"/>
    <sheet name="709_FP3_Outing1" sheetId="26" r:id="rId4"/>
    <sheet name="709_FP3_Outing2" sheetId="30" r:id="rId5"/>
    <sheet name="709_FP3_Outing 3" sheetId="31" r:id="rId6"/>
    <sheet name="709_FP3_Outing 4" sheetId="32" r:id="rId7"/>
    <sheet name="709_FP3_Outing 5" sheetId="40" r:id="rId8"/>
    <sheet name="709_FP3_Outing 6" sheetId="34" r:id="rId9"/>
    <sheet name="709_FP3_Outing 7" sheetId="41" r:id="rId10"/>
    <sheet name="709_HPP_Outing 1" sheetId="42" r:id="rId11"/>
    <sheet name="709_HPP_Outing 2" sheetId="43" r:id="rId12"/>
    <sheet name="709_FP4_Outing 1" sheetId="44" r:id="rId13"/>
    <sheet name="709_FP4_Outing 2" sheetId="45" r:id="rId14"/>
    <sheet name="709_FP4_Outing 3" sheetId="46" r:id="rId15"/>
    <sheet name="709_FP4_Outing 4" sheetId="47" r:id="rId16"/>
    <sheet name="Driver 1" sheetId="13" r:id="rId17"/>
    <sheet name="Driver 2" sheetId="14" r:id="rId18"/>
    <sheet name="Driver 3" sheetId="15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" i="11" l="1"/>
  <c r="P7" i="11"/>
  <c r="Q9" i="11"/>
  <c r="P9" i="11"/>
  <c r="IS4" i="3"/>
  <c r="IT4" i="3"/>
  <c r="Q29" i="11"/>
  <c r="Q30" i="11"/>
  <c r="Q31" i="11" s="1"/>
  <c r="Q32" i="11" s="1"/>
  <c r="Q33" i="11" s="1"/>
  <c r="Q34" i="11" s="1"/>
  <c r="Q35" i="11" s="1"/>
  <c r="Q36" i="11" s="1"/>
  <c r="Q37" i="11" s="1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U4" i="3"/>
  <c r="FV4" i="3"/>
  <c r="FW4" i="3"/>
  <c r="FX4" i="3"/>
  <c r="FY4" i="3"/>
  <c r="FZ4" i="3"/>
  <c r="GA4" i="3"/>
  <c r="GB4" i="3"/>
  <c r="GC4" i="3"/>
  <c r="GD4" i="3"/>
  <c r="GE4" i="3"/>
  <c r="GF4" i="3"/>
  <c r="GG4" i="3"/>
  <c r="GH4" i="3"/>
  <c r="GI4" i="3"/>
  <c r="GJ4" i="3"/>
  <c r="GK4" i="3"/>
  <c r="GL4" i="3"/>
  <c r="GM4" i="3"/>
  <c r="GN4" i="3"/>
  <c r="GO4" i="3"/>
  <c r="GP4" i="3"/>
  <c r="GQ4" i="3"/>
  <c r="GR4" i="3"/>
  <c r="GS4" i="3"/>
  <c r="GT4" i="3"/>
  <c r="GU4" i="3"/>
  <c r="GV4" i="3"/>
  <c r="GW4" i="3"/>
  <c r="GX4" i="3"/>
  <c r="GY4" i="3"/>
  <c r="GZ4" i="3"/>
  <c r="HA4" i="3"/>
  <c r="HB4" i="3"/>
  <c r="HC4" i="3"/>
  <c r="HD4" i="3"/>
  <c r="HE4" i="3"/>
  <c r="HF4" i="3"/>
  <c r="HG4" i="3"/>
  <c r="HH4" i="3"/>
  <c r="HI4" i="3"/>
  <c r="HJ4" i="3"/>
  <c r="HK4" i="3"/>
  <c r="HL4" i="3"/>
  <c r="HM4" i="3"/>
  <c r="HN4" i="3"/>
  <c r="HO4" i="3"/>
  <c r="HP4" i="3"/>
  <c r="HQ4" i="3"/>
  <c r="HR4" i="3"/>
  <c r="HS4" i="3"/>
  <c r="HT4" i="3"/>
  <c r="HU4" i="3"/>
  <c r="HV4" i="3"/>
  <c r="HW4" i="3"/>
  <c r="HX4" i="3"/>
  <c r="HY4" i="3"/>
  <c r="HZ4" i="3"/>
  <c r="IA4" i="3"/>
  <c r="IB4" i="3"/>
  <c r="IC4" i="3"/>
  <c r="ID4" i="3"/>
  <c r="IE4" i="3"/>
  <c r="IF4" i="3"/>
  <c r="IG4" i="3"/>
  <c r="IH4" i="3"/>
  <c r="II4" i="3"/>
  <c r="IJ4" i="3"/>
  <c r="IK4" i="3"/>
  <c r="IL4" i="3"/>
  <c r="IM4" i="3"/>
  <c r="IN4" i="3"/>
  <c r="IO4" i="3"/>
  <c r="IP4" i="3"/>
  <c r="IQ4" i="3"/>
  <c r="IR4" i="3"/>
  <c r="B4" i="3"/>
  <c r="C84" i="11"/>
  <c r="X37" i="11"/>
  <c r="C81" i="11"/>
  <c r="C82" i="11"/>
  <c r="C83" i="11"/>
  <c r="C80" i="11"/>
  <c r="C77" i="11"/>
  <c r="C78" i="11"/>
  <c r="C79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D56" i="11"/>
  <c r="C56" i="11"/>
  <c r="C55" i="11"/>
  <c r="AP3" i="3"/>
  <c r="D81" i="11"/>
  <c r="D82" i="11" s="1"/>
  <c r="D83" i="11" s="1"/>
  <c r="T13" i="11"/>
  <c r="Q11" i="11"/>
  <c r="P11" i="11"/>
  <c r="Q6" i="11"/>
  <c r="X20" i="11"/>
  <c r="C24" i="11" s="1"/>
  <c r="D77" i="11"/>
  <c r="D78" i="11" s="1"/>
  <c r="D79" i="11" s="1"/>
  <c r="D73" i="11"/>
  <c r="D74" i="11" s="1"/>
  <c r="D75" i="11" s="1"/>
  <c r="D70" i="11"/>
  <c r="D66" i="11"/>
  <c r="D67" i="11" s="1"/>
  <c r="D68" i="11" s="1"/>
  <c r="D62" i="11"/>
  <c r="D63" i="11" s="1"/>
  <c r="D64" i="11" s="1"/>
  <c r="D58" i="11"/>
  <c r="D59" i="11" s="1"/>
  <c r="D60" i="11" s="1"/>
  <c r="D52" i="11"/>
  <c r="D53" i="11" s="1"/>
  <c r="D54" i="11" s="1"/>
  <c r="D48" i="11"/>
  <c r="D49" i="11" s="1"/>
  <c r="D50" i="11" s="1"/>
  <c r="D44" i="11"/>
  <c r="D45" i="11" s="1"/>
  <c r="D46" i="11" s="1"/>
  <c r="D41" i="11"/>
  <c r="D42" i="11" s="1"/>
  <c r="D38" i="11"/>
  <c r="D39" i="11" s="1"/>
  <c r="D32" i="11"/>
  <c r="D33" i="11" s="1"/>
  <c r="D34" i="11" s="1"/>
  <c r="D28" i="11"/>
  <c r="D29" i="11" s="1"/>
  <c r="D30" i="11" s="1"/>
  <c r="D24" i="11"/>
  <c r="D25" i="11" s="1"/>
  <c r="D26" i="11" s="1"/>
  <c r="D20" i="11"/>
  <c r="D21" i="11" s="1"/>
  <c r="D22" i="11" s="1"/>
  <c r="Q20" i="11"/>
  <c r="Q21" i="11" s="1"/>
  <c r="Q22" i="11" s="1"/>
  <c r="Q23" i="11" s="1"/>
  <c r="Q24" i="11" s="1"/>
  <c r="Q25" i="11" s="1"/>
  <c r="Q26" i="11" s="1"/>
  <c r="Q27" i="11" s="1"/>
  <c r="Q28" i="11" s="1"/>
  <c r="F84" i="11"/>
  <c r="E84" i="11"/>
  <c r="F83" i="11"/>
  <c r="G83" i="11"/>
  <c r="H83" i="11"/>
  <c r="I83" i="11"/>
  <c r="J83" i="11"/>
  <c r="K83" i="11"/>
  <c r="L83" i="11"/>
  <c r="E83" i="11"/>
  <c r="K82" i="11"/>
  <c r="F82" i="11"/>
  <c r="G82" i="11"/>
  <c r="H82" i="11"/>
  <c r="I82" i="11"/>
  <c r="J82" i="11"/>
  <c r="E82" i="11"/>
  <c r="F81" i="11"/>
  <c r="G81" i="11"/>
  <c r="E81" i="11"/>
  <c r="G80" i="11"/>
  <c r="F80" i="11"/>
  <c r="E80" i="11"/>
  <c r="F79" i="11"/>
  <c r="G79" i="11"/>
  <c r="H79" i="11"/>
  <c r="I79" i="11"/>
  <c r="J79" i="11"/>
  <c r="E79" i="11"/>
  <c r="G78" i="11"/>
  <c r="F78" i="11"/>
  <c r="E78" i="11"/>
  <c r="G77" i="11"/>
  <c r="F77" i="11"/>
  <c r="E77" i="11"/>
  <c r="G76" i="11"/>
  <c r="F76" i="11"/>
  <c r="E76" i="11"/>
  <c r="H75" i="11"/>
  <c r="G75" i="11"/>
  <c r="F75" i="11"/>
  <c r="E75" i="11"/>
  <c r="E74" i="11"/>
  <c r="E73" i="11"/>
  <c r="H72" i="11"/>
  <c r="I72" i="11"/>
  <c r="G72" i="11"/>
  <c r="F72" i="11"/>
  <c r="E72" i="11"/>
  <c r="H68" i="11"/>
  <c r="F68" i="11"/>
  <c r="G68" i="11"/>
  <c r="E68" i="11"/>
  <c r="F67" i="11"/>
  <c r="G67" i="11"/>
  <c r="H67" i="11"/>
  <c r="E67" i="11"/>
  <c r="F66" i="11"/>
  <c r="G66" i="11"/>
  <c r="H66" i="11"/>
  <c r="E66" i="11"/>
  <c r="F65" i="11"/>
  <c r="E65" i="11"/>
  <c r="F64" i="11"/>
  <c r="E64" i="11"/>
  <c r="G63" i="11"/>
  <c r="H63" i="11"/>
  <c r="F63" i="11"/>
  <c r="E63" i="11"/>
  <c r="F62" i="11"/>
  <c r="G62" i="11"/>
  <c r="H62" i="11"/>
  <c r="E62" i="11"/>
  <c r="I61" i="11"/>
  <c r="H61" i="11"/>
  <c r="G61" i="11"/>
  <c r="F61" i="11"/>
  <c r="E61" i="11"/>
  <c r="H60" i="11"/>
  <c r="G60" i="11"/>
  <c r="F60" i="11"/>
  <c r="E60" i="11"/>
  <c r="F59" i="11"/>
  <c r="G59" i="11"/>
  <c r="H59" i="11"/>
  <c r="I59" i="11"/>
  <c r="J59" i="11"/>
  <c r="K59" i="11"/>
  <c r="L59" i="11"/>
  <c r="E59" i="11"/>
  <c r="H58" i="11"/>
  <c r="G58" i="11"/>
  <c r="F58" i="11"/>
  <c r="E58" i="11"/>
  <c r="H57" i="11"/>
  <c r="G57" i="11"/>
  <c r="F57" i="11"/>
  <c r="E57" i="11"/>
  <c r="J54" i="11"/>
  <c r="K54" i="11"/>
  <c r="L54" i="11"/>
  <c r="I54" i="11"/>
  <c r="F54" i="11"/>
  <c r="G54" i="11"/>
  <c r="H54" i="11"/>
  <c r="E54" i="11"/>
  <c r="F53" i="11"/>
  <c r="E53" i="11"/>
  <c r="F52" i="11"/>
  <c r="G52" i="11"/>
  <c r="H52" i="11"/>
  <c r="E52" i="11"/>
  <c r="F51" i="11"/>
  <c r="G51" i="11"/>
  <c r="H51" i="11"/>
  <c r="E51" i="11"/>
  <c r="F50" i="11"/>
  <c r="G50" i="11"/>
  <c r="H50" i="11"/>
  <c r="E50" i="11"/>
  <c r="F49" i="11"/>
  <c r="G49" i="11"/>
  <c r="H49" i="11"/>
  <c r="E49" i="11"/>
  <c r="F48" i="11"/>
  <c r="G48" i="11"/>
  <c r="H48" i="11"/>
  <c r="E48" i="11"/>
  <c r="F47" i="11"/>
  <c r="G47" i="11"/>
  <c r="H47" i="11"/>
  <c r="E47" i="11"/>
  <c r="F46" i="11"/>
  <c r="G46" i="11"/>
  <c r="H46" i="11"/>
  <c r="E46" i="11"/>
  <c r="F45" i="11"/>
  <c r="G45" i="11"/>
  <c r="H45" i="11"/>
  <c r="E45" i="11"/>
  <c r="F44" i="11"/>
  <c r="G44" i="11"/>
  <c r="H44" i="11"/>
  <c r="E44" i="11"/>
  <c r="F43" i="11"/>
  <c r="G43" i="11"/>
  <c r="H43" i="11"/>
  <c r="E43" i="11"/>
  <c r="F42" i="11"/>
  <c r="E42" i="11"/>
  <c r="F41" i="11"/>
  <c r="G41" i="11"/>
  <c r="E41" i="11"/>
  <c r="E40" i="11"/>
  <c r="F39" i="11"/>
  <c r="E39" i="11"/>
  <c r="H38" i="11"/>
  <c r="G38" i="11"/>
  <c r="F38" i="11"/>
  <c r="E38" i="11"/>
  <c r="F37" i="11"/>
  <c r="G37" i="11"/>
  <c r="H37" i="11"/>
  <c r="E37" i="11"/>
  <c r="F36" i="11"/>
  <c r="E36" i="11"/>
  <c r="F35" i="11"/>
  <c r="E35" i="11"/>
  <c r="F34" i="11"/>
  <c r="G34" i="11"/>
  <c r="H34" i="11"/>
  <c r="E34" i="11"/>
  <c r="F33" i="11"/>
  <c r="G33" i="11"/>
  <c r="H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G25" i="11"/>
  <c r="F25" i="11"/>
  <c r="E25" i="11"/>
  <c r="G24" i="11"/>
  <c r="F24" i="11"/>
  <c r="E24" i="11"/>
  <c r="F23" i="11"/>
  <c r="G23" i="11"/>
  <c r="E23" i="11"/>
  <c r="I22" i="11"/>
  <c r="F22" i="11"/>
  <c r="G22" i="11"/>
  <c r="H22" i="11"/>
  <c r="E22" i="11"/>
  <c r="E21" i="11"/>
  <c r="F20" i="11"/>
  <c r="E20" i="11"/>
  <c r="IA3" i="3"/>
  <c r="IA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G2" i="3"/>
  <c r="CH2" i="3"/>
  <c r="CI2" i="3"/>
  <c r="CJ2" i="3"/>
  <c r="CK2" i="3"/>
  <c r="CL2" i="3"/>
  <c r="CM2" i="3"/>
  <c r="CN2" i="3"/>
  <c r="CO2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G3" i="3"/>
  <c r="CH3" i="3"/>
  <c r="CI3" i="3"/>
  <c r="CJ3" i="3"/>
  <c r="CK3" i="3"/>
  <c r="CL3" i="3"/>
  <c r="CM3" i="3"/>
  <c r="CN3" i="3"/>
  <c r="CO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AQ2" i="3" l="1"/>
  <c r="AQ3" i="3"/>
  <c r="CF2" i="3"/>
  <c r="CF3" i="3"/>
  <c r="CE3" i="3"/>
  <c r="CE2" i="3"/>
  <c r="CC3" i="3"/>
  <c r="AP2" i="3"/>
  <c r="CD3" i="3"/>
  <c r="CC2" i="3"/>
  <c r="CD2" i="3"/>
  <c r="C25" i="11"/>
  <c r="C23" i="11"/>
  <c r="X21" i="1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C26" i="11"/>
  <c r="X33" i="11" l="1"/>
  <c r="X34" i="11" s="1"/>
  <c r="X35" i="11" s="1"/>
  <c r="Q5" i="11"/>
  <c r="O5" i="11"/>
  <c r="O7" i="11"/>
  <c r="Q7" i="11"/>
  <c r="C29" i="11"/>
  <c r="C30" i="11"/>
  <c r="C27" i="11"/>
  <c r="C28" i="11"/>
  <c r="C31" i="11"/>
  <c r="C32" i="11"/>
  <c r="C33" i="11"/>
  <c r="C34" i="11"/>
  <c r="X36" i="11" l="1"/>
  <c r="C36" i="11"/>
  <c r="C35" i="11"/>
  <c r="C39" i="11" l="1"/>
  <c r="C37" i="11"/>
  <c r="C38" i="11"/>
  <c r="C41" i="11" l="1"/>
  <c r="C42" i="11"/>
  <c r="C40" i="11"/>
  <c r="C44" i="11" l="1"/>
  <c r="C45" i="11"/>
  <c r="C46" i="11"/>
  <c r="C43" i="11"/>
  <c r="C47" i="11" l="1"/>
  <c r="C48" i="11"/>
  <c r="C49" i="11"/>
  <c r="C50" i="11"/>
  <c r="C52" i="11" l="1"/>
  <c r="C53" i="11"/>
  <c r="C54" i="11"/>
  <c r="C51" i="11"/>
</calcChain>
</file>

<file path=xl/sharedStrings.xml><?xml version="1.0" encoding="utf-8"?>
<sst xmlns="http://schemas.openxmlformats.org/spreadsheetml/2006/main" count="3859" uniqueCount="428">
  <si>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</si>
  <si>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</si>
  <si>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</si>
  <si>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</si>
  <si>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</si>
  <si>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</si>
  <si>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</si>
  <si>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</si>
  <si>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</si>
  <si>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</si>
  <si>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</si>
  <si>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</si>
  <si>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</si>
  <si>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</si>
  <si>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</si>
  <si>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</si>
  <si>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</si>
  <si>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</si>
  <si>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</si>
  <si>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</si>
  <si>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</si>
  <si>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</si>
  <si>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</si>
  <si>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</si>
  <si>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</si>
  <si>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</si>
  <si>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</si>
  <si>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</si>
  <si>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</si>
  <si>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</si>
  <si>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</si>
  <si>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</si>
  <si>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</si>
  <si>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</si>
  <si>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</si>
  <si>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</si>
  <si>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</si>
  <si>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</si>
  <si>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</si>
  <si>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</si>
  <si>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</si>
  <si>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#1</t>
  </si>
  <si>
    <t>#2</t>
  </si>
  <si>
    <t>#3</t>
  </si>
  <si>
    <t>max</t>
  </si>
  <si>
    <t>min</t>
  </si>
  <si>
    <t>s2</t>
  </si>
  <si>
    <t>s3</t>
  </si>
  <si>
    <t>s4</t>
  </si>
  <si>
    <t>s5</t>
  </si>
  <si>
    <t>Ave frh_pitlane</t>
  </si>
  <si>
    <t>Ave rrh_pitlane</t>
  </si>
  <si>
    <t>Ave Ride_F_pit</t>
  </si>
  <si>
    <t>Ave Ride_RL_pit</t>
  </si>
  <si>
    <t>Ave Ride_RR_pit</t>
  </si>
  <si>
    <t>s6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</si>
  <si>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</si>
  <si>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</si>
  <si>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</si>
  <si>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</si>
  <si>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</si>
  <si>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</si>
  <si>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</si>
  <si>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</si>
  <si>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</si>
  <si>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</si>
  <si>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</si>
  <si>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</si>
  <si>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</si>
  <si>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</si>
  <si>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</si>
  <si>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</si>
  <si>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</si>
  <si>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</si>
  <si>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</si>
  <si>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</si>
  <si>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</si>
  <si>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</si>
  <si>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</si>
  <si>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</si>
  <si>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</si>
  <si>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</si>
  <si>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</si>
  <si>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</si>
  <si>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</si>
  <si>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</si>
  <si>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</si>
  <si>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</si>
  <si>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</si>
  <si>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</si>
  <si>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</si>
  <si>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</si>
  <si>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</si>
  <si>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</si>
  <si>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</si>
  <si>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</si>
  <si>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</si>
  <si>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</si>
  <si>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</si>
  <si>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</si>
  <si>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</si>
  <si>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</si>
  <si>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</si>
  <si>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</si>
  <si>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</si>
  <si>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</si>
  <si>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</si>
  <si>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</si>
  <si>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</si>
  <si>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</si>
  <si>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</si>
  <si>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</si>
  <si>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</si>
  <si>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</si>
  <si>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</si>
  <si>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</si>
  <si>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</si>
  <si>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</si>
  <si>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</si>
  <si>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</si>
  <si>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</si>
  <si>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</si>
  <si>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</si>
  <si>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</si>
  <si>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</si>
  <si>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</si>
  <si>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</si>
  <si>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</si>
  <si>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</si>
  <si>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</si>
  <si>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</si>
  <si>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</si>
  <si>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</si>
  <si>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</si>
  <si>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s1</t>
  </si>
  <si>
    <t>Engine 2</t>
  </si>
  <si>
    <t>System 2</t>
  </si>
  <si>
    <t>Setup 1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</si>
  <si>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</si>
  <si>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</si>
  <si>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</si>
  <si>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</si>
  <si>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</si>
  <si>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</si>
  <si>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</si>
  <si>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</si>
  <si>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</si>
  <si>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</si>
  <si>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</si>
  <si>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</si>
  <si>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</si>
  <si>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</si>
  <si>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</si>
  <si>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</si>
  <si>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</si>
  <si>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</si>
  <si>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</si>
  <si>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</si>
  <si>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</si>
  <si>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</si>
  <si>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</si>
  <si>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</si>
  <si>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</si>
  <si>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</si>
  <si>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</si>
  <si>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</si>
  <si>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</si>
  <si>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</si>
  <si>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</si>
  <si>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</si>
  <si>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</si>
  <si>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</si>
  <si>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</si>
  <si>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</si>
  <si>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</si>
  <si>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</si>
  <si>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</si>
  <si>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</si>
  <si>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</si>
  <si>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</si>
  <si>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</si>
  <si>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</si>
  <si>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</si>
  <si>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</si>
  <si>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</si>
  <si>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</si>
  <si>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</si>
  <si>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</si>
  <si>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</si>
  <si>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</si>
  <si>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</si>
  <si>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</si>
  <si>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</si>
  <si>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</si>
  <si>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</si>
  <si>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</si>
  <si>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</si>
  <si>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</si>
  <si>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</si>
  <si>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</si>
  <si>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</si>
  <si>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</si>
  <si>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</si>
  <si>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</si>
  <si>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</si>
  <si>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</si>
  <si>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</si>
  <si>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</si>
  <si>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</si>
  <si>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</si>
  <si>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</si>
  <si>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</si>
  <si>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</si>
  <si>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</si>
  <si>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</si>
  <si>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</si>
  <si>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</si>
  <si>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</si>
  <si>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</si>
  <si>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</si>
  <si>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</si>
  <si>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</si>
  <si>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</si>
  <si>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</si>
  <si>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</si>
  <si>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</si>
  <si>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</si>
  <si>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</si>
  <si>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</si>
  <si>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</si>
  <si>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</si>
  <si>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</si>
  <si>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</si>
  <si>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</si>
  <si>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</si>
  <si>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</si>
  <si>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</si>
  <si>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</si>
  <si>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</si>
  <si>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</si>
  <si>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</si>
  <si>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</si>
  <si>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</si>
  <si>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</si>
  <si>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</si>
  <si>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</si>
  <si>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</si>
  <si>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</si>
  <si>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</si>
  <si>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</si>
  <si>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</si>
  <si>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</si>
  <si>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</si>
  <si>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</si>
  <si>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</si>
  <si>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</si>
  <si>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CzF_TS</t>
  </si>
  <si>
    <t>CzR_TS</t>
  </si>
  <si>
    <t>Max accy_filtered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</si>
  <si>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</si>
  <si>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</si>
  <si>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</si>
  <si>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</si>
  <si>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</si>
  <si>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</si>
  <si>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</si>
  <si>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</si>
  <si>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</si>
  <si>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</si>
  <si>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</si>
  <si>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</si>
  <si>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</si>
  <si>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</si>
  <si>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</si>
  <si>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</si>
  <si>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</si>
  <si>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</si>
  <si>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</si>
  <si>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</si>
  <si>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</si>
  <si>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</si>
  <si>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</si>
  <si>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</si>
  <si>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</si>
  <si>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</si>
  <si>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</si>
  <si>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</si>
  <si>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</si>
  <si>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</si>
  <si>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</si>
  <si>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</si>
  <si>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</si>
  <si>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</si>
  <si>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</si>
  <si>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</si>
  <si>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</si>
  <si>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</si>
  <si>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</si>
  <si>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</si>
  <si>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</si>
  <si>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</si>
  <si>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</si>
  <si>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</si>
  <si>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</si>
  <si>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</si>
  <si>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</si>
  <si>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</si>
  <si>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</si>
  <si>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</si>
  <si>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</si>
  <si>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</si>
  <si>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</si>
  <si>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</si>
  <si>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</si>
  <si>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</si>
  <si>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</si>
  <si>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</si>
  <si>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</si>
  <si>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</si>
  <si>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</si>
  <si>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</si>
  <si>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</si>
  <si>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</si>
  <si>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</si>
  <si>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</si>
  <si>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</si>
  <si>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</si>
  <si>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</si>
  <si>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</si>
  <si>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</si>
  <si>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</si>
  <si>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</si>
  <si>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</si>
  <si>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</si>
  <si>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</si>
  <si>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</si>
  <si>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</si>
  <si>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</si>
  <si>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</si>
  <si>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</si>
  <si>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</si>
  <si>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</si>
  <si>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</si>
  <si>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</si>
  <si>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</si>
  <si>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</si>
  <si>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</si>
  <si>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</si>
  <si>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</si>
  <si>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</si>
  <si>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</si>
  <si>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</si>
  <si>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</si>
  <si>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</si>
  <si>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</si>
  <si>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</si>
  <si>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</si>
  <si>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</si>
  <si>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</si>
  <si>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</si>
  <si>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</si>
  <si>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</si>
  <si>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</si>
  <si>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</si>
  <si>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</si>
  <si>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</si>
  <si>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</si>
  <si>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</si>
  <si>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</si>
  <si>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</si>
  <si>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</si>
  <si>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</si>
  <si>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</si>
  <si>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</si>
  <si>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</si>
  <si>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</si>
  <si>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</si>
  <si>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</si>
  <si>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</si>
  <si>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</si>
  <si>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</si>
  <si>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</si>
  <si>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</si>
  <si>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</si>
  <si>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</si>
  <si>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</si>
  <si>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</si>
  <si>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</si>
  <si>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</si>
  <si>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</si>
  <si>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</si>
  <si>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</si>
  <si>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</si>
  <si>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</si>
  <si>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</si>
  <si>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</si>
  <si>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Ave Ride_AxleRear_Porsche1</t>
  </si>
  <si>
    <t>Catch tank level [mm]</t>
  </si>
  <si>
    <t>Brake wear [mm/lap]</t>
  </si>
  <si>
    <t>Brake wear total [mm]</t>
  </si>
  <si>
    <t>Ave FIA_xOilLevel</t>
  </si>
  <si>
    <t>Lap-Diff Brk_Wear_FL</t>
  </si>
  <si>
    <t>Lap-Diff Brk_Wear_FR</t>
  </si>
  <si>
    <t>Fuel temperature [deg C]</t>
  </si>
  <si>
    <t>Brake wear</t>
  </si>
  <si>
    <t>Disk wear FL</t>
  </si>
  <si>
    <t>Disk wear FR</t>
  </si>
  <si>
    <t>y</t>
  </si>
  <si>
    <t>RD</t>
  </si>
  <si>
    <t>RW</t>
  </si>
  <si>
    <t>RB</t>
  </si>
  <si>
    <t>20210819_14-11-39_LEM_24H_FP3_Test_007009_001_45-08-40</t>
  </si>
  <si>
    <t>20210819_14-59-02_LEM_24H_FP3_Test_007009_002_03-38-98</t>
  </si>
  <si>
    <t>20210819_15-26-32_LEM_24H_FP3_Test_007009_003_03-36-96</t>
  </si>
  <si>
    <t>20210819_16-05-39_LEM_24H_FP3_Test_007009_004_34-04-92</t>
  </si>
  <si>
    <t>20210819_16-15-39_LEM_24H_FP3_Test_007009_005_04-11-38</t>
  </si>
  <si>
    <t>20210819_16-46-01_LEM_24H_FP3_Test_007009_006_26-05-62</t>
  </si>
  <si>
    <t>26:05.62 &gt;</t>
  </si>
  <si>
    <t>20210819_16-53-47_LEM_24H_FP3_Test_007009_007_09-04-71</t>
  </si>
  <si>
    <t>20210819_20-44-39_LEM_24H_HPP_007009_001_03-28-85</t>
  </si>
  <si>
    <t>20210819_21-17-43_LEM_24H_HPP_007009_002_03-26-91</t>
  </si>
  <si>
    <t>#4</t>
  </si>
  <si>
    <t>#5</t>
  </si>
  <si>
    <t>#6</t>
  </si>
  <si>
    <t>20210819_22-15-32_LEM_24H_FP4_007009_001_03-32-95</t>
  </si>
  <si>
    <t>20210819_22-58-17_LEM_24H_FP4_007009_002_03-32-68</t>
  </si>
  <si>
    <t>20210819_23-10-57_LEM_24H_FP4_007009_003_03-30-30</t>
  </si>
  <si>
    <t>20210819_23-28-55_LEM_24H_FP4_007009_004_03-36-62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</si>
</sst>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AA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4" fillId="5" borderId="15" applyNumberFormat="0" applyAlignment="0" applyProtection="0"/>
    <xf numFmtId="0" fontId="5" fillId="6" borderId="15" applyNumberFormat="0" applyAlignment="0" applyProtection="0"/>
  </cellStyleXfs>
  <cellXfs count="6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/>
    <xf numFmtId="2" fontId="0" fillId="0" borderId="0" xfId="0" applyNumberFormat="1"/>
    <xf numFmtId="0" fontId="0" fillId="4" borderId="0" xfId="0" applyFill="1"/>
    <xf numFmtId="21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8" xfId="0" applyFont="1" applyBorder="1"/>
    <xf numFmtId="0" fontId="1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5" fillId="6" borderId="15" xfId="2"/>
    <xf numFmtId="0" fontId="4" fillId="5" borderId="15" xfId="1"/>
    <xf numFmtId="0" fontId="5" fillId="6" borderId="15" xfId="2" applyBorder="1"/>
    <xf numFmtId="0" fontId="5" fillId="6" borderId="17" xfId="2" applyBorder="1"/>
    <xf numFmtId="164" fontId="4" fillId="5" borderId="16" xfId="1" applyNumberFormat="1" applyBorder="1"/>
    <xf numFmtId="164" fontId="5" fillId="6" borderId="18" xfId="2" applyNumberFormat="1" applyBorder="1"/>
    <xf numFmtId="0" fontId="5" fillId="6" borderId="19" xfId="2" applyBorder="1"/>
    <xf numFmtId="0" fontId="5" fillId="6" borderId="20" xfId="2" applyBorder="1"/>
    <xf numFmtId="164" fontId="5" fillId="6" borderId="21" xfId="2" applyNumberFormat="1" applyBorder="1"/>
    <xf numFmtId="0" fontId="5" fillId="6" borderId="22" xfId="2" applyBorder="1"/>
    <xf numFmtId="0" fontId="5" fillId="6" borderId="23" xfId="2" applyBorder="1"/>
    <xf numFmtId="0" fontId="0" fillId="0" borderId="13" xfId="0" applyBorder="1"/>
    <xf numFmtId="0" fontId="0" fillId="0" borderId="24" xfId="0" applyBorder="1"/>
    <xf numFmtId="0" fontId="0" fillId="0" borderId="14" xfId="0" applyBorder="1"/>
    <xf numFmtId="0" fontId="4" fillId="5" borderId="25" xfId="1" applyBorder="1"/>
    <xf numFmtId="0" fontId="5" fillId="6" borderId="26" xfId="2" applyBorder="1"/>
    <xf numFmtId="0" fontId="5" fillId="6" borderId="27" xfId="2" applyBorder="1"/>
    <xf numFmtId="0" fontId="4" fillId="5" borderId="28" xfId="1" applyBorder="1"/>
    <xf numFmtId="0" fontId="5" fillId="6" borderId="29" xfId="2" applyBorder="1"/>
    <xf numFmtId="0" fontId="5" fillId="6" borderId="30" xfId="2" applyBorder="1"/>
    <xf numFmtId="0" fontId="0" fillId="0" borderId="0" xfId="0" applyFont="1" applyBorder="1"/>
    <xf numFmtId="4" fontId="0" fillId="0" borderId="0" xfId="0" applyNumberFormat="1" applyFont="1" applyBorder="1"/>
    <xf numFmtId="0" fontId="2" fillId="0" borderId="1" xfId="0" applyFont="1" applyBorder="1" applyAlignment="1">
      <alignment horizontal="right" vertical="center" wrapText="1"/>
    </xf>
    <xf numFmtId="0" fontId="1" fillId="7" borderId="1" xfId="0" applyFont="1" applyFill="1" applyBorder="1" applyAlignment="1">
      <alignment horizontal="right" vertical="center" wrapText="1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9" xfId="0" applyFont="1" applyBorder="1"/>
    <xf numFmtId="0" fontId="0" fillId="0" borderId="0" xfId="0" applyFont="1"/>
    <xf numFmtId="4" fontId="0" fillId="0" borderId="0" xfId="0" applyNumberFormat="1" applyFont="1"/>
    <xf numFmtId="0" fontId="0" fillId="0" borderId="11" xfId="0" applyFont="1" applyBorder="1"/>
    <xf numFmtId="0" fontId="2" fillId="2" borderId="31" xfId="0" applyFont="1" applyFill="1" applyBorder="1" applyAlignment="1">
      <alignment horizontal="center"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47" fontId="6" fillId="7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All!$D$6:$D$79</c:f>
              <c:numCache>
                <c:formatCode>General</c:formatCode>
                <c:ptCount val="74"/>
                <c:pt idx="0" formatCode="mm:ss.0">
                  <c:v>3.1347222222222221E-2</c:v>
                </c:pt>
                <c:pt idx="4" formatCode="mm:ss.0">
                  <c:v>1.3421759259259258E-2</c:v>
                </c:pt>
                <c:pt idx="5" formatCode="mm:ss.0">
                  <c:v>2.5340277777777778E-3</c:v>
                </c:pt>
                <c:pt idx="6" formatCode="mm:ss.0">
                  <c:v>2.8784722222222219E-3</c:v>
                </c:pt>
                <c:pt idx="10" formatCode="mm:ss.0">
                  <c:v>3.3505787037037033E-3</c:v>
                </c:pt>
                <c:pt idx="11" formatCode="mm:ss.0">
                  <c:v>2.5106481481481481E-3</c:v>
                </c:pt>
                <c:pt idx="12" formatCode="mm:ss.0">
                  <c:v>2.8918981481481482E-3</c:v>
                </c:pt>
                <c:pt idx="16" formatCode="mm:ss.0">
                  <c:v>2.3668055555555557E-2</c:v>
                </c:pt>
                <c:pt idx="20" formatCode="mm:ss.0">
                  <c:v>2.9094907407407407E-3</c:v>
                </c:pt>
                <c:pt idx="21" formatCode="mm:ss.0">
                  <c:v>2.8307870370370375E-3</c:v>
                </c:pt>
                <c:pt idx="23" formatCode="mm:ss.0">
                  <c:v>2.9094907407407407E-3</c:v>
                </c:pt>
                <c:pt idx="24" formatCode="mm:ss.0">
                  <c:v>2.8307870370370375E-3</c:v>
                </c:pt>
                <c:pt idx="25">
                  <c:v>0</c:v>
                </c:pt>
                <c:pt idx="29" formatCode="mm:ss.0">
                  <c:v>6.3045138888888881E-3</c:v>
                </c:pt>
                <c:pt idx="33" formatCode="mm:ss.0">
                  <c:v>4.8232638888888891E-3</c:v>
                </c:pt>
                <c:pt idx="34" formatCode="mm:ss.0">
                  <c:v>2.416782407407407E-3</c:v>
                </c:pt>
                <c:pt idx="35" formatCode="mm:ss.0">
                  <c:v>6.2622685185185186E-3</c:v>
                </c:pt>
                <c:pt idx="39" formatCode="mm:ss.0">
                  <c:v>5.1444444444444445E-3</c:v>
                </c:pt>
                <c:pt idx="40" formatCode="mm:ss.0">
                  <c:v>2.4078703703703705E-3</c:v>
                </c:pt>
                <c:pt idx="41" formatCode="mm:ss.0">
                  <c:v>2.4030092592592592E-3</c:v>
                </c:pt>
                <c:pt idx="42" formatCode="mm:ss.0">
                  <c:v>2.4826388888888888E-3</c:v>
                </c:pt>
                <c:pt idx="43" formatCode="mm:ss.0">
                  <c:v>2.3944444444444443E-3</c:v>
                </c:pt>
                <c:pt idx="44" formatCode="mm:ss.0">
                  <c:v>3.754629629629629E-3</c:v>
                </c:pt>
                <c:pt idx="48" formatCode="mm:ss.0">
                  <c:v>2.5140972222222224E-2</c:v>
                </c:pt>
                <c:pt idx="49" formatCode="mm:ss.0">
                  <c:v>2.4646990740740744E-3</c:v>
                </c:pt>
                <c:pt idx="50" formatCode="mm:ss.0">
                  <c:v>3.264351851851852E-3</c:v>
                </c:pt>
                <c:pt idx="54" formatCode="mm:ss.0">
                  <c:v>3.2262731481481478E-3</c:v>
                </c:pt>
                <c:pt idx="55" formatCode="mm:ss.0">
                  <c:v>2.4615740740740739E-3</c:v>
                </c:pt>
                <c:pt idx="56" formatCode="mm:ss.0">
                  <c:v>2.8712962962962967E-3</c:v>
                </c:pt>
                <c:pt idx="60" formatCode="mm:ss.0">
                  <c:v>3.0067129629629628E-3</c:v>
                </c:pt>
                <c:pt idx="61" formatCode="mm:ss.0">
                  <c:v>2.4840277777777777E-3</c:v>
                </c:pt>
                <c:pt idx="62" formatCode="mm:ss.0">
                  <c:v>2.4340277777777776E-3</c:v>
                </c:pt>
                <c:pt idx="63" formatCode="mm:ss.0">
                  <c:v>3.3259259259259262E-3</c:v>
                </c:pt>
                <c:pt idx="67" formatCode="mm:ss.0">
                  <c:v>6.6858796296296293E-3</c:v>
                </c:pt>
                <c:pt idx="68" formatCode="mm:ss.0">
                  <c:v>2.5067129629629628E-3</c:v>
                </c:pt>
                <c:pt idx="69" formatCode="mm:ss.0">
                  <c:v>2.744675925925926E-3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E-488F-936A-5037272EE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32256"/>
        <c:axId val="358434752"/>
      </c:scatterChart>
      <c:valAx>
        <c:axId val="35843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4752"/>
        <c:crosses val="autoZero"/>
        <c:crossBetween val="midCat"/>
      </c:valAx>
      <c:valAx>
        <c:axId val="358434752"/>
        <c:scaling>
          <c:orientation val="minMax"/>
          <c:max val="2.6041666666666665E-3"/>
          <c:min val="2.372685185185185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All!$G$6:$G$79</c:f>
              <c:numCache>
                <c:formatCode>General</c:formatCode>
                <c:ptCount val="74"/>
                <c:pt idx="0">
                  <c:v>2.93</c:v>
                </c:pt>
                <c:pt idx="4">
                  <c:v>5.41</c:v>
                </c:pt>
                <c:pt idx="5">
                  <c:v>5.67</c:v>
                </c:pt>
                <c:pt idx="6">
                  <c:v>5.65</c:v>
                </c:pt>
                <c:pt idx="10">
                  <c:v>5.71</c:v>
                </c:pt>
                <c:pt idx="11">
                  <c:v>5.84</c:v>
                </c:pt>
                <c:pt idx="12">
                  <c:v>5.92</c:v>
                </c:pt>
                <c:pt idx="16">
                  <c:v>5.59</c:v>
                </c:pt>
                <c:pt idx="20">
                  <c:v>5.82</c:v>
                </c:pt>
                <c:pt idx="21">
                  <c:v>5.8</c:v>
                </c:pt>
                <c:pt idx="23">
                  <c:v>5.82</c:v>
                </c:pt>
                <c:pt idx="24">
                  <c:v>5.8</c:v>
                </c:pt>
                <c:pt idx="25">
                  <c:v>5.68</c:v>
                </c:pt>
                <c:pt idx="29">
                  <c:v>5.9</c:v>
                </c:pt>
                <c:pt idx="33">
                  <c:v>5.86</c:v>
                </c:pt>
                <c:pt idx="34">
                  <c:v>6.05</c:v>
                </c:pt>
                <c:pt idx="35">
                  <c:v>2.82</c:v>
                </c:pt>
                <c:pt idx="39">
                  <c:v>5.8</c:v>
                </c:pt>
                <c:pt idx="40">
                  <c:v>6.09</c:v>
                </c:pt>
                <c:pt idx="41">
                  <c:v>6.09</c:v>
                </c:pt>
                <c:pt idx="42">
                  <c:v>5.88</c:v>
                </c:pt>
                <c:pt idx="43">
                  <c:v>6.13</c:v>
                </c:pt>
                <c:pt idx="44">
                  <c:v>3.65</c:v>
                </c:pt>
                <c:pt idx="48">
                  <c:v>5.61</c:v>
                </c:pt>
                <c:pt idx="49">
                  <c:v>5.94</c:v>
                </c:pt>
                <c:pt idx="50">
                  <c:v>-11.55</c:v>
                </c:pt>
                <c:pt idx="54">
                  <c:v>5.6</c:v>
                </c:pt>
                <c:pt idx="55">
                  <c:v>5.93</c:v>
                </c:pt>
                <c:pt idx="56">
                  <c:v>-11.53</c:v>
                </c:pt>
                <c:pt idx="60">
                  <c:v>5.75</c:v>
                </c:pt>
                <c:pt idx="61">
                  <c:v>5.93</c:v>
                </c:pt>
                <c:pt idx="62">
                  <c:v>6.02</c:v>
                </c:pt>
                <c:pt idx="63">
                  <c:v>-17.7</c:v>
                </c:pt>
                <c:pt idx="67">
                  <c:v>5.91</c:v>
                </c:pt>
                <c:pt idx="68">
                  <c:v>5.99</c:v>
                </c:pt>
                <c:pt idx="69">
                  <c:v>5.95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6-44F3-A2E0-5B6F9222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55552"/>
        <c:axId val="358438496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All!$EX$6:$EX$79</c:f>
              <c:numCache>
                <c:formatCode>General</c:formatCode>
                <c:ptCount val="74"/>
                <c:pt idx="0">
                  <c:v>-225.5</c:v>
                </c:pt>
                <c:pt idx="4">
                  <c:v>63.84</c:v>
                </c:pt>
                <c:pt idx="5">
                  <c:v>70.16</c:v>
                </c:pt>
                <c:pt idx="6">
                  <c:v>69.099999999999994</c:v>
                </c:pt>
                <c:pt idx="10">
                  <c:v>68.66</c:v>
                </c:pt>
                <c:pt idx="11">
                  <c:v>72.06</c:v>
                </c:pt>
                <c:pt idx="12">
                  <c:v>72.16</c:v>
                </c:pt>
                <c:pt idx="16">
                  <c:v>65.180000000000007</c:v>
                </c:pt>
                <c:pt idx="20">
                  <c:v>68.260000000000005</c:v>
                </c:pt>
                <c:pt idx="21">
                  <c:v>70.12</c:v>
                </c:pt>
                <c:pt idx="23">
                  <c:v>68.260000000000005</c:v>
                </c:pt>
                <c:pt idx="24">
                  <c:v>70.12</c:v>
                </c:pt>
                <c:pt idx="25">
                  <c:v>66.06</c:v>
                </c:pt>
                <c:pt idx="29">
                  <c:v>69.84</c:v>
                </c:pt>
                <c:pt idx="33">
                  <c:v>-711.16</c:v>
                </c:pt>
                <c:pt idx="34">
                  <c:v>76.16</c:v>
                </c:pt>
                <c:pt idx="35">
                  <c:v>19.62</c:v>
                </c:pt>
                <c:pt idx="39">
                  <c:v>-95.26</c:v>
                </c:pt>
                <c:pt idx="40">
                  <c:v>76.52</c:v>
                </c:pt>
                <c:pt idx="41">
                  <c:v>76.5</c:v>
                </c:pt>
                <c:pt idx="42">
                  <c:v>73.040000000000006</c:v>
                </c:pt>
                <c:pt idx="43">
                  <c:v>76.78</c:v>
                </c:pt>
                <c:pt idx="44">
                  <c:v>37.58</c:v>
                </c:pt>
                <c:pt idx="48">
                  <c:v>-344.16</c:v>
                </c:pt>
                <c:pt idx="49">
                  <c:v>74.42</c:v>
                </c:pt>
                <c:pt idx="50">
                  <c:v>72.38</c:v>
                </c:pt>
                <c:pt idx="54">
                  <c:v>-145.58000000000001</c:v>
                </c:pt>
                <c:pt idx="55">
                  <c:v>74.52</c:v>
                </c:pt>
                <c:pt idx="56">
                  <c:v>71.040000000000006</c:v>
                </c:pt>
                <c:pt idx="60">
                  <c:v>-143.44</c:v>
                </c:pt>
                <c:pt idx="61">
                  <c:v>74.12</c:v>
                </c:pt>
                <c:pt idx="62">
                  <c:v>75.28</c:v>
                </c:pt>
                <c:pt idx="63">
                  <c:v>72.88</c:v>
                </c:pt>
                <c:pt idx="67">
                  <c:v>-220.88</c:v>
                </c:pt>
                <c:pt idx="68">
                  <c:v>74.88</c:v>
                </c:pt>
                <c:pt idx="69">
                  <c:v>73.760000000000005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6-44F3-A2E0-5B6F9222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55664"/>
        <c:axId val="375158160"/>
      </c:scatterChart>
      <c:valAx>
        <c:axId val="35845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8496"/>
        <c:crosses val="autoZero"/>
        <c:crossBetween val="midCat"/>
      </c:valAx>
      <c:valAx>
        <c:axId val="358438496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5552"/>
        <c:crosses val="autoZero"/>
        <c:crossBetween val="midCat"/>
      </c:valAx>
      <c:valAx>
        <c:axId val="375158160"/>
        <c:scaling>
          <c:orientation val="minMax"/>
          <c:max val="80"/>
          <c:min val="6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55664"/>
        <c:crosses val="max"/>
        <c:crossBetween val="midCat"/>
      </c:valAx>
      <c:valAx>
        <c:axId val="37515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816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All!$BR$6:$BR$79</c:f>
              <c:numCache>
                <c:formatCode>General</c:formatCode>
                <c:ptCount val="74"/>
                <c:pt idx="0">
                  <c:v>59.262999999999998</c:v>
                </c:pt>
                <c:pt idx="4">
                  <c:v>57.45</c:v>
                </c:pt>
                <c:pt idx="6">
                  <c:v>60.207000000000001</c:v>
                </c:pt>
                <c:pt idx="10">
                  <c:v>58.405000000000001</c:v>
                </c:pt>
                <c:pt idx="12">
                  <c:v>60.031999999999996</c:v>
                </c:pt>
                <c:pt idx="16">
                  <c:v>59.744999999999997</c:v>
                </c:pt>
                <c:pt idx="20">
                  <c:v>58.643999999999998</c:v>
                </c:pt>
                <c:pt idx="21">
                  <c:v>60.234999999999999</c:v>
                </c:pt>
                <c:pt idx="23">
                  <c:v>58.643999999999998</c:v>
                </c:pt>
                <c:pt idx="24">
                  <c:v>60.234999999999999</c:v>
                </c:pt>
                <c:pt idx="25">
                  <c:v>59.534999999999997</c:v>
                </c:pt>
                <c:pt idx="29">
                  <c:v>59.612000000000002</c:v>
                </c:pt>
                <c:pt idx="35">
                  <c:v>59.149000000000001</c:v>
                </c:pt>
                <c:pt idx="39">
                  <c:v>57.65</c:v>
                </c:pt>
                <c:pt idx="44">
                  <c:v>59.564999999999998</c:v>
                </c:pt>
                <c:pt idx="48">
                  <c:v>57.213000000000001</c:v>
                </c:pt>
                <c:pt idx="50">
                  <c:v>59.795000000000002</c:v>
                </c:pt>
                <c:pt idx="54">
                  <c:v>58.244</c:v>
                </c:pt>
                <c:pt idx="56">
                  <c:v>59.914999999999999</c:v>
                </c:pt>
                <c:pt idx="60">
                  <c:v>58.055</c:v>
                </c:pt>
                <c:pt idx="63">
                  <c:v>59.776000000000003</c:v>
                </c:pt>
                <c:pt idx="67">
                  <c:v>58.073</c:v>
                </c:pt>
                <c:pt idx="69">
                  <c:v>59.948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5-425E-903A-B560516C8BD7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358442240"/>
        <c:axId val="358448480"/>
      </c:scatterChart>
      <c:valAx>
        <c:axId val="35844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8480"/>
        <c:crosses val="autoZero"/>
        <c:crossBetween val="midCat"/>
      </c:valAx>
      <c:valAx>
        <c:axId val="3584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All!$K$6:$K$79</c:f>
              <c:numCache>
                <c:formatCode>General</c:formatCode>
                <c:ptCount val="74"/>
                <c:pt idx="0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6">
                  <c:v>6</c:v>
                </c:pt>
                <c:pt idx="20">
                  <c:v>6</c:v>
                </c:pt>
                <c:pt idx="21">
                  <c:v>4</c:v>
                </c:pt>
                <c:pt idx="23">
                  <c:v>6</c:v>
                </c:pt>
                <c:pt idx="24">
                  <c:v>4</c:v>
                </c:pt>
                <c:pt idx="25">
                  <c:v>8</c:v>
                </c:pt>
                <c:pt idx="29">
                  <c:v>8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1-4C4E-8CF9-C09C0C08C832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All!$L$6:$L$79</c:f>
              <c:numCache>
                <c:formatCode>General</c:formatCode>
                <c:ptCount val="74"/>
                <c:pt idx="0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6">
                  <c:v>9</c:v>
                </c:pt>
                <c:pt idx="20">
                  <c:v>9</c:v>
                </c:pt>
                <c:pt idx="21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8</c:v>
                </c:pt>
                <c:pt idx="29">
                  <c:v>8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1-4C4E-8CF9-C09C0C08C832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All!$M$6:$M$79</c:f>
              <c:numCache>
                <c:formatCode>General</c:formatCode>
                <c:ptCount val="74"/>
                <c:pt idx="0">
                  <c:v>7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6">
                  <c:v>8</c:v>
                </c:pt>
                <c:pt idx="20">
                  <c:v>4</c:v>
                </c:pt>
                <c:pt idx="21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9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F1-4C4E-8CF9-C09C0C08C832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All!$N$6:$N$79</c:f>
              <c:numCache>
                <c:formatCode>General</c:formatCode>
                <c:ptCount val="74"/>
                <c:pt idx="0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6">
                  <c:v>3</c:v>
                </c:pt>
                <c:pt idx="20">
                  <c:v>3</c:v>
                </c:pt>
                <c:pt idx="21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9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F1-4C4E-8CF9-C09C0C08C832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All!$O$6:$O$79</c:f>
              <c:numCache>
                <c:formatCode>General</c:formatCode>
                <c:ptCount val="74"/>
                <c:pt idx="0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6">
                  <c:v>3</c:v>
                </c:pt>
                <c:pt idx="20">
                  <c:v>3</c:v>
                </c:pt>
                <c:pt idx="21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9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F1-4C4E-8CF9-C09C0C08C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55552"/>
        <c:axId val="358439744"/>
      </c:scatterChart>
      <c:valAx>
        <c:axId val="35845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9744"/>
        <c:crosses val="autoZero"/>
        <c:crossBetween val="midCat"/>
      </c:valAx>
      <c:valAx>
        <c:axId val="35843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All!$CI$6:$CI$79</c:f>
              <c:numCache>
                <c:formatCode>General</c:formatCode>
                <c:ptCount val="74"/>
                <c:pt idx="4">
                  <c:v>3.9430000000000001</c:v>
                </c:pt>
                <c:pt idx="5">
                  <c:v>4.5860000000000003</c:v>
                </c:pt>
                <c:pt idx="10">
                  <c:v>4.0709999999999997</c:v>
                </c:pt>
                <c:pt idx="11">
                  <c:v>3.47</c:v>
                </c:pt>
                <c:pt idx="20">
                  <c:v>4.0469999999999997</c:v>
                </c:pt>
                <c:pt idx="23">
                  <c:v>4.0469999999999997</c:v>
                </c:pt>
                <c:pt idx="33">
                  <c:v>4.7069999999999999</c:v>
                </c:pt>
                <c:pt idx="34">
                  <c:v>2.5979999999999999</c:v>
                </c:pt>
                <c:pt idx="39">
                  <c:v>4.0330000000000004</c:v>
                </c:pt>
                <c:pt idx="40">
                  <c:v>5.0439999999999996</c:v>
                </c:pt>
                <c:pt idx="41">
                  <c:v>5.01</c:v>
                </c:pt>
                <c:pt idx="42">
                  <c:v>4.6589999999999998</c:v>
                </c:pt>
                <c:pt idx="43">
                  <c:v>2.7829999999999999</c:v>
                </c:pt>
                <c:pt idx="48">
                  <c:v>11.038</c:v>
                </c:pt>
                <c:pt idx="49">
                  <c:v>5.7889999999999997</c:v>
                </c:pt>
                <c:pt idx="54">
                  <c:v>5.0179999999999998</c:v>
                </c:pt>
                <c:pt idx="55">
                  <c:v>4.7729999999999997</c:v>
                </c:pt>
                <c:pt idx="60">
                  <c:v>4.8239999999999998</c:v>
                </c:pt>
                <c:pt idx="61">
                  <c:v>4.0090000000000003</c:v>
                </c:pt>
                <c:pt idx="62">
                  <c:v>4.032</c:v>
                </c:pt>
                <c:pt idx="67">
                  <c:v>4.2640000000000002</c:v>
                </c:pt>
                <c:pt idx="68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6-4CCC-BAB3-775A2AD35251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All!$CJ$6:$CJ$79</c:f>
              <c:numCache>
                <c:formatCode>General</c:formatCode>
                <c:ptCount val="74"/>
                <c:pt idx="4">
                  <c:v>4.1070000000000002</c:v>
                </c:pt>
                <c:pt idx="5">
                  <c:v>4.2960000000000003</c:v>
                </c:pt>
                <c:pt idx="10">
                  <c:v>3.4649999999999999</c:v>
                </c:pt>
                <c:pt idx="11">
                  <c:v>3.585</c:v>
                </c:pt>
                <c:pt idx="20">
                  <c:v>3.1589999999999998</c:v>
                </c:pt>
                <c:pt idx="23">
                  <c:v>3.1589999999999998</c:v>
                </c:pt>
                <c:pt idx="33">
                  <c:v>2.7519999999999998</c:v>
                </c:pt>
                <c:pt idx="34">
                  <c:v>2.577</c:v>
                </c:pt>
                <c:pt idx="39">
                  <c:v>2.524</c:v>
                </c:pt>
                <c:pt idx="40">
                  <c:v>3.51</c:v>
                </c:pt>
                <c:pt idx="41">
                  <c:v>3.5739999999999998</c:v>
                </c:pt>
                <c:pt idx="42">
                  <c:v>3.6190000000000002</c:v>
                </c:pt>
                <c:pt idx="43">
                  <c:v>2.9990000000000001</c:v>
                </c:pt>
                <c:pt idx="48">
                  <c:v>6.8</c:v>
                </c:pt>
                <c:pt idx="49">
                  <c:v>4.8849999999999998</c:v>
                </c:pt>
                <c:pt idx="54">
                  <c:v>3.3919999999999999</c:v>
                </c:pt>
                <c:pt idx="55">
                  <c:v>3.5209999999999999</c:v>
                </c:pt>
                <c:pt idx="60">
                  <c:v>3.5630000000000002</c:v>
                </c:pt>
                <c:pt idx="61">
                  <c:v>3.9020000000000001</c:v>
                </c:pt>
                <c:pt idx="62">
                  <c:v>3.5859999999999999</c:v>
                </c:pt>
                <c:pt idx="67">
                  <c:v>3.512</c:v>
                </c:pt>
                <c:pt idx="68">
                  <c:v>3.5139999999999998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66-4CCC-BAB3-775A2AD35251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All!$CK$6:$CK$79</c:f>
              <c:numCache>
                <c:formatCode>General</c:formatCode>
                <c:ptCount val="74"/>
                <c:pt idx="4">
                  <c:v>1.4830000000000001</c:v>
                </c:pt>
                <c:pt idx="5">
                  <c:v>1.6659999999999999</c:v>
                </c:pt>
                <c:pt idx="10">
                  <c:v>1.3009999999999999</c:v>
                </c:pt>
                <c:pt idx="11">
                  <c:v>1.2549999999999999</c:v>
                </c:pt>
                <c:pt idx="20">
                  <c:v>1.5109999999999999</c:v>
                </c:pt>
                <c:pt idx="23">
                  <c:v>1.5109999999999999</c:v>
                </c:pt>
                <c:pt idx="33">
                  <c:v>1.52</c:v>
                </c:pt>
                <c:pt idx="34">
                  <c:v>1.2569999999999999</c:v>
                </c:pt>
                <c:pt idx="39">
                  <c:v>1.3080000000000001</c:v>
                </c:pt>
                <c:pt idx="40">
                  <c:v>1.7829999999999999</c:v>
                </c:pt>
                <c:pt idx="41">
                  <c:v>1.6719999999999999</c:v>
                </c:pt>
                <c:pt idx="42">
                  <c:v>1.6379999999999999</c:v>
                </c:pt>
                <c:pt idx="43">
                  <c:v>1.232</c:v>
                </c:pt>
                <c:pt idx="48">
                  <c:v>1.6439999999999999</c:v>
                </c:pt>
                <c:pt idx="49">
                  <c:v>1.651</c:v>
                </c:pt>
                <c:pt idx="54">
                  <c:v>1.52</c:v>
                </c:pt>
                <c:pt idx="55">
                  <c:v>1.59</c:v>
                </c:pt>
                <c:pt idx="60">
                  <c:v>1.512</c:v>
                </c:pt>
                <c:pt idx="61">
                  <c:v>1.6419999999999999</c:v>
                </c:pt>
                <c:pt idx="62">
                  <c:v>1.4670000000000001</c:v>
                </c:pt>
                <c:pt idx="67">
                  <c:v>1.466</c:v>
                </c:pt>
                <c:pt idx="68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66-4CCC-BAB3-775A2AD35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6400"/>
        <c:axId val="358436832"/>
      </c:scatterChart>
      <c:valAx>
        <c:axId val="35844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6832"/>
        <c:crosses val="autoZero"/>
        <c:crossBetween val="midCat"/>
      </c:valAx>
      <c:valAx>
        <c:axId val="35843683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0.16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2.06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0.32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2.73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40-4089-8A1D-458FEA25A78D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All!$J$6:$J$79</c:f>
              <c:numCache>
                <c:formatCode>General</c:formatCode>
                <c:ptCount val="74"/>
                <c:pt idx="0">
                  <c:v>2208.6</c:v>
                </c:pt>
                <c:pt idx="4">
                  <c:v>937</c:v>
                </c:pt>
                <c:pt idx="5">
                  <c:v>19.399999999999999</c:v>
                </c:pt>
                <c:pt idx="6">
                  <c:v>18.100000000000001</c:v>
                </c:pt>
                <c:pt idx="10">
                  <c:v>20.5</c:v>
                </c:pt>
                <c:pt idx="11">
                  <c:v>17.2</c:v>
                </c:pt>
                <c:pt idx="12">
                  <c:v>15.7</c:v>
                </c:pt>
                <c:pt idx="16">
                  <c:v>1787.6</c:v>
                </c:pt>
                <c:pt idx="20">
                  <c:v>12</c:v>
                </c:pt>
                <c:pt idx="21">
                  <c:v>11.6</c:v>
                </c:pt>
                <c:pt idx="23">
                  <c:v>12</c:v>
                </c:pt>
                <c:pt idx="24">
                  <c:v>11.6</c:v>
                </c:pt>
                <c:pt idx="25">
                  <c:v>1312.3</c:v>
                </c:pt>
                <c:pt idx="29">
                  <c:v>298.60000000000002</c:v>
                </c:pt>
                <c:pt idx="33">
                  <c:v>157.80000000000001</c:v>
                </c:pt>
                <c:pt idx="34">
                  <c:v>9.5</c:v>
                </c:pt>
                <c:pt idx="35">
                  <c:v>20.7</c:v>
                </c:pt>
                <c:pt idx="39">
                  <c:v>226.7</c:v>
                </c:pt>
                <c:pt idx="40">
                  <c:v>9.5</c:v>
                </c:pt>
                <c:pt idx="41">
                  <c:v>10.7</c:v>
                </c:pt>
                <c:pt idx="42">
                  <c:v>11</c:v>
                </c:pt>
                <c:pt idx="43">
                  <c:v>7.9</c:v>
                </c:pt>
                <c:pt idx="44">
                  <c:v>40.200000000000003</c:v>
                </c:pt>
                <c:pt idx="48">
                  <c:v>1945.6</c:v>
                </c:pt>
                <c:pt idx="49">
                  <c:v>13.2</c:v>
                </c:pt>
                <c:pt idx="50">
                  <c:v>56.8</c:v>
                </c:pt>
                <c:pt idx="54">
                  <c:v>42.7</c:v>
                </c:pt>
                <c:pt idx="55">
                  <c:v>14.3</c:v>
                </c:pt>
                <c:pt idx="56">
                  <c:v>24.7</c:v>
                </c:pt>
                <c:pt idx="60">
                  <c:v>45.5</c:v>
                </c:pt>
                <c:pt idx="61">
                  <c:v>13.6</c:v>
                </c:pt>
                <c:pt idx="62">
                  <c:v>14.1</c:v>
                </c:pt>
                <c:pt idx="63">
                  <c:v>62.4</c:v>
                </c:pt>
                <c:pt idx="67">
                  <c:v>357</c:v>
                </c:pt>
                <c:pt idx="68">
                  <c:v>12.2</c:v>
                </c:pt>
                <c:pt idx="69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40-4089-8A1D-458FEA25A78D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0.56100000000000005</c:v>
                </c:pt>
                <c:pt idx="11">
                  <c:v>0</c:v>
                </c:pt>
                <c:pt idx="12">
                  <c:v>0.12</c:v>
                </c:pt>
                <c:pt idx="16">
                  <c:v>0</c:v>
                </c:pt>
                <c:pt idx="20">
                  <c:v>6.0999999999999999E-2</c:v>
                </c:pt>
                <c:pt idx="21">
                  <c:v>0.02</c:v>
                </c:pt>
                <c:pt idx="23">
                  <c:v>6.0999999999999999E-2</c:v>
                </c:pt>
                <c:pt idx="24">
                  <c:v>0.02</c:v>
                </c:pt>
                <c:pt idx="25">
                  <c:v>8.1000000000000003E-2</c:v>
                </c:pt>
                <c:pt idx="29">
                  <c:v>2.1000000000000001E-2</c:v>
                </c:pt>
                <c:pt idx="33">
                  <c:v>3.7410000000000001</c:v>
                </c:pt>
                <c:pt idx="34">
                  <c:v>0</c:v>
                </c:pt>
                <c:pt idx="35">
                  <c:v>0.45900000000000002</c:v>
                </c:pt>
                <c:pt idx="39">
                  <c:v>0.10100000000000001</c:v>
                </c:pt>
                <c:pt idx="40">
                  <c:v>0</c:v>
                </c:pt>
                <c:pt idx="41">
                  <c:v>0.04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2.4609999999999999</c:v>
                </c:pt>
                <c:pt idx="49">
                  <c:v>0.02</c:v>
                </c:pt>
                <c:pt idx="50">
                  <c:v>4.1000000000000002E-2</c:v>
                </c:pt>
                <c:pt idx="54">
                  <c:v>1.901</c:v>
                </c:pt>
                <c:pt idx="55">
                  <c:v>0</c:v>
                </c:pt>
                <c:pt idx="56">
                  <c:v>9.9000000000000005E-2</c:v>
                </c:pt>
                <c:pt idx="60">
                  <c:v>2.2400000000000002</c:v>
                </c:pt>
                <c:pt idx="61">
                  <c:v>0</c:v>
                </c:pt>
                <c:pt idx="62">
                  <c:v>0</c:v>
                </c:pt>
                <c:pt idx="63">
                  <c:v>4.1000000000000002E-2</c:v>
                </c:pt>
                <c:pt idx="67">
                  <c:v>7.8209999999999997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40-4089-8A1D-458FEA25A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8896"/>
        <c:axId val="358439328"/>
      </c:scatterChart>
      <c:valAx>
        <c:axId val="35844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9328"/>
        <c:crosses val="autoZero"/>
        <c:crossBetween val="midCat"/>
      </c:valAx>
      <c:valAx>
        <c:axId val="358439328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8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All!$BT$6:$BT$79</c:f>
              <c:numCache>
                <c:formatCode>General</c:formatCode>
                <c:ptCount val="74"/>
                <c:pt idx="0">
                  <c:v>4520.2839999999997</c:v>
                </c:pt>
                <c:pt idx="4">
                  <c:v>7198.0450000000001</c:v>
                </c:pt>
                <c:pt idx="5">
                  <c:v>7427.0330000000004</c:v>
                </c:pt>
                <c:pt idx="6">
                  <c:v>7444.3609999999999</c:v>
                </c:pt>
                <c:pt idx="10">
                  <c:v>7210.585</c:v>
                </c:pt>
                <c:pt idx="11">
                  <c:v>7317.3019999999997</c:v>
                </c:pt>
                <c:pt idx="12">
                  <c:v>7486.527</c:v>
                </c:pt>
                <c:pt idx="16">
                  <c:v>7127.2849999999999</c:v>
                </c:pt>
                <c:pt idx="20">
                  <c:v>7351.4059999999999</c:v>
                </c:pt>
                <c:pt idx="21">
                  <c:v>7356.7709999999997</c:v>
                </c:pt>
                <c:pt idx="23">
                  <c:v>7351.4059999999999</c:v>
                </c:pt>
                <c:pt idx="24">
                  <c:v>7356.7709999999997</c:v>
                </c:pt>
                <c:pt idx="25">
                  <c:v>7131.5349999999999</c:v>
                </c:pt>
                <c:pt idx="29">
                  <c:v>7311.2569999999996</c:v>
                </c:pt>
                <c:pt idx="33">
                  <c:v>6868.88</c:v>
                </c:pt>
                <c:pt idx="34">
                  <c:v>7297.5519999999997</c:v>
                </c:pt>
                <c:pt idx="35">
                  <c:v>6296.3860000000004</c:v>
                </c:pt>
                <c:pt idx="39">
                  <c:v>7314.3140000000003</c:v>
                </c:pt>
                <c:pt idx="40">
                  <c:v>7328.2960000000003</c:v>
                </c:pt>
                <c:pt idx="41">
                  <c:v>7321.43</c:v>
                </c:pt>
                <c:pt idx="42">
                  <c:v>7393.4780000000001</c:v>
                </c:pt>
                <c:pt idx="43">
                  <c:v>7337.7209999999995</c:v>
                </c:pt>
                <c:pt idx="44">
                  <c:v>5798.6369999999997</c:v>
                </c:pt>
                <c:pt idx="48">
                  <c:v>6756.9189999999999</c:v>
                </c:pt>
                <c:pt idx="49">
                  <c:v>7386.9189999999999</c:v>
                </c:pt>
                <c:pt idx="50">
                  <c:v>7393.3040000000001</c:v>
                </c:pt>
                <c:pt idx="54">
                  <c:v>7263.7809999999999</c:v>
                </c:pt>
                <c:pt idx="55">
                  <c:v>7396.1689999999999</c:v>
                </c:pt>
                <c:pt idx="56">
                  <c:v>7415.4870000000001</c:v>
                </c:pt>
                <c:pt idx="60">
                  <c:v>7348.2740000000003</c:v>
                </c:pt>
                <c:pt idx="61">
                  <c:v>7347.6660000000002</c:v>
                </c:pt>
                <c:pt idx="62">
                  <c:v>7348.4449999999997</c:v>
                </c:pt>
                <c:pt idx="63">
                  <c:v>7284.3159999999998</c:v>
                </c:pt>
                <c:pt idx="67">
                  <c:v>7447.4319999999998</c:v>
                </c:pt>
                <c:pt idx="68">
                  <c:v>7344.9179999999997</c:v>
                </c:pt>
                <c:pt idx="69">
                  <c:v>7367.5320000000002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3-4834-8089-1CFBF7937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37664"/>
        <c:axId val="358436000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22.681000000000001</c:v>
                </c:pt>
                <c:pt idx="6">
                  <c:v>0.99099999999999999</c:v>
                </c:pt>
                <c:pt idx="10">
                  <c:v>0</c:v>
                </c:pt>
                <c:pt idx="11">
                  <c:v>38.491999999999997</c:v>
                </c:pt>
                <c:pt idx="12">
                  <c:v>0.107</c:v>
                </c:pt>
                <c:pt idx="16">
                  <c:v>0</c:v>
                </c:pt>
                <c:pt idx="20">
                  <c:v>0</c:v>
                </c:pt>
                <c:pt idx="21">
                  <c:v>0.443</c:v>
                </c:pt>
                <c:pt idx="23">
                  <c:v>0</c:v>
                </c:pt>
                <c:pt idx="24">
                  <c:v>0.443</c:v>
                </c:pt>
                <c:pt idx="25">
                  <c:v>0</c:v>
                </c:pt>
                <c:pt idx="29">
                  <c:v>0</c:v>
                </c:pt>
                <c:pt idx="33">
                  <c:v>77.850999999999999</c:v>
                </c:pt>
                <c:pt idx="34">
                  <c:v>4.6689999999999996</c:v>
                </c:pt>
                <c:pt idx="35">
                  <c:v>1.0429999999999999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8.6999999999999994E-2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0.35099999999999998</c:v>
                </c:pt>
                <c:pt idx="60">
                  <c:v>0</c:v>
                </c:pt>
                <c:pt idx="61">
                  <c:v>0.26400000000000001</c:v>
                </c:pt>
                <c:pt idx="62">
                  <c:v>0.51200000000000001</c:v>
                </c:pt>
                <c:pt idx="63">
                  <c:v>7.5999999999999998E-2</c:v>
                </c:pt>
                <c:pt idx="67">
                  <c:v>0</c:v>
                </c:pt>
                <c:pt idx="68">
                  <c:v>0</c:v>
                </c:pt>
                <c:pt idx="69">
                  <c:v>9.2999999999999999E-2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B3-4834-8089-1CFBF7937DA5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B3-4834-8089-1CFBF7937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9840"/>
        <c:axId val="375156496"/>
      </c:scatterChart>
      <c:valAx>
        <c:axId val="35843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6000"/>
        <c:crosses val="autoZero"/>
        <c:crossBetween val="midCat"/>
      </c:valAx>
      <c:valAx>
        <c:axId val="358436000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7664"/>
        <c:crosses val="autoZero"/>
        <c:crossBetween val="midCat"/>
      </c:valAx>
      <c:valAx>
        <c:axId val="375156496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9840"/>
        <c:crosses val="max"/>
        <c:crossBetween val="midCat"/>
      </c:valAx>
      <c:valAx>
        <c:axId val="37514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649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All!$BY$6:$BY$79</c:f>
              <c:numCache>
                <c:formatCode>General</c:formatCode>
                <c:ptCount val="74"/>
                <c:pt idx="0">
                  <c:v>1.1060000000000001</c:v>
                </c:pt>
                <c:pt idx="4">
                  <c:v>1.3680000000000001</c:v>
                </c:pt>
                <c:pt idx="5">
                  <c:v>1.425</c:v>
                </c:pt>
                <c:pt idx="6">
                  <c:v>1.4910000000000001</c:v>
                </c:pt>
                <c:pt idx="10">
                  <c:v>1.4490000000000001</c:v>
                </c:pt>
                <c:pt idx="11">
                  <c:v>1.4379999999999999</c:v>
                </c:pt>
                <c:pt idx="12">
                  <c:v>1.4119999999999999</c:v>
                </c:pt>
                <c:pt idx="16">
                  <c:v>1.472</c:v>
                </c:pt>
                <c:pt idx="20">
                  <c:v>1.877</c:v>
                </c:pt>
                <c:pt idx="21">
                  <c:v>1.3959999999999999</c:v>
                </c:pt>
                <c:pt idx="23">
                  <c:v>1.877</c:v>
                </c:pt>
                <c:pt idx="24">
                  <c:v>1.3959999999999999</c:v>
                </c:pt>
                <c:pt idx="25">
                  <c:v>1.4</c:v>
                </c:pt>
                <c:pt idx="29">
                  <c:v>1.923</c:v>
                </c:pt>
                <c:pt idx="33">
                  <c:v>1.4490000000000001</c:v>
                </c:pt>
                <c:pt idx="34">
                  <c:v>1.448</c:v>
                </c:pt>
                <c:pt idx="35">
                  <c:v>1.2569999999999999</c:v>
                </c:pt>
                <c:pt idx="39">
                  <c:v>1.5129999999999999</c:v>
                </c:pt>
                <c:pt idx="40">
                  <c:v>1.458</c:v>
                </c:pt>
                <c:pt idx="41">
                  <c:v>1.573</c:v>
                </c:pt>
                <c:pt idx="42">
                  <c:v>1.494</c:v>
                </c:pt>
                <c:pt idx="43">
                  <c:v>1.5149999999999999</c:v>
                </c:pt>
                <c:pt idx="44">
                  <c:v>1.395</c:v>
                </c:pt>
                <c:pt idx="48">
                  <c:v>1.42</c:v>
                </c:pt>
                <c:pt idx="49">
                  <c:v>1.548</c:v>
                </c:pt>
                <c:pt idx="50">
                  <c:v>1.494</c:v>
                </c:pt>
                <c:pt idx="54">
                  <c:v>1.498</c:v>
                </c:pt>
                <c:pt idx="55">
                  <c:v>1.38</c:v>
                </c:pt>
                <c:pt idx="56">
                  <c:v>1.431</c:v>
                </c:pt>
                <c:pt idx="60">
                  <c:v>1.4330000000000001</c:v>
                </c:pt>
                <c:pt idx="61">
                  <c:v>1.587</c:v>
                </c:pt>
                <c:pt idx="62">
                  <c:v>1.391</c:v>
                </c:pt>
                <c:pt idx="63">
                  <c:v>1.4850000000000001</c:v>
                </c:pt>
                <c:pt idx="67">
                  <c:v>1.5389999999999999</c:v>
                </c:pt>
                <c:pt idx="68">
                  <c:v>1.4339999999999999</c:v>
                </c:pt>
                <c:pt idx="69">
                  <c:v>1.49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C-4432-9BAD-78DAC7B60E99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All!$BZ$6:$BZ$79</c:f>
              <c:numCache>
                <c:formatCode>General</c:formatCode>
                <c:ptCount val="74"/>
                <c:pt idx="0">
                  <c:v>1.49</c:v>
                </c:pt>
                <c:pt idx="4">
                  <c:v>2.0819999999999999</c:v>
                </c:pt>
                <c:pt idx="5">
                  <c:v>2.5609999999999999</c:v>
                </c:pt>
                <c:pt idx="6">
                  <c:v>2.5299999999999998</c:v>
                </c:pt>
                <c:pt idx="10">
                  <c:v>2.6349999999999998</c:v>
                </c:pt>
                <c:pt idx="11">
                  <c:v>2.9870000000000001</c:v>
                </c:pt>
                <c:pt idx="12">
                  <c:v>3.0779999999999998</c:v>
                </c:pt>
                <c:pt idx="16">
                  <c:v>2.2050000000000001</c:v>
                </c:pt>
                <c:pt idx="20">
                  <c:v>2.3639999999999999</c:v>
                </c:pt>
                <c:pt idx="21">
                  <c:v>2.5720000000000001</c:v>
                </c:pt>
                <c:pt idx="23">
                  <c:v>2.3639999999999999</c:v>
                </c:pt>
                <c:pt idx="24">
                  <c:v>2.5720000000000001</c:v>
                </c:pt>
                <c:pt idx="25">
                  <c:v>2.609</c:v>
                </c:pt>
                <c:pt idx="29">
                  <c:v>3.2389999999999999</c:v>
                </c:pt>
                <c:pt idx="33">
                  <c:v>2.8109999999999999</c:v>
                </c:pt>
                <c:pt idx="34">
                  <c:v>3.028</c:v>
                </c:pt>
                <c:pt idx="35">
                  <c:v>2.4860000000000002</c:v>
                </c:pt>
                <c:pt idx="39">
                  <c:v>2.673</c:v>
                </c:pt>
                <c:pt idx="40">
                  <c:v>3.246</c:v>
                </c:pt>
                <c:pt idx="41">
                  <c:v>3.1259999999999999</c:v>
                </c:pt>
                <c:pt idx="42">
                  <c:v>3.8809999999999998</c:v>
                </c:pt>
                <c:pt idx="43">
                  <c:v>3.1989999999999998</c:v>
                </c:pt>
                <c:pt idx="44">
                  <c:v>2.6659999999999999</c:v>
                </c:pt>
                <c:pt idx="48">
                  <c:v>2.177</c:v>
                </c:pt>
                <c:pt idx="49">
                  <c:v>2.6579999999999999</c:v>
                </c:pt>
                <c:pt idx="50">
                  <c:v>2.585</c:v>
                </c:pt>
                <c:pt idx="54">
                  <c:v>2.4300000000000002</c:v>
                </c:pt>
                <c:pt idx="55">
                  <c:v>3.133</c:v>
                </c:pt>
                <c:pt idx="56">
                  <c:v>2.6440000000000001</c:v>
                </c:pt>
                <c:pt idx="60">
                  <c:v>3.0489999999999999</c:v>
                </c:pt>
                <c:pt idx="61">
                  <c:v>3.3149999999999999</c:v>
                </c:pt>
                <c:pt idx="62">
                  <c:v>3.2360000000000002</c:v>
                </c:pt>
                <c:pt idx="63">
                  <c:v>3.5009999999999999</c:v>
                </c:pt>
                <c:pt idx="67">
                  <c:v>2.9129999999999998</c:v>
                </c:pt>
                <c:pt idx="68">
                  <c:v>3.089</c:v>
                </c:pt>
                <c:pt idx="69">
                  <c:v>2.9049999999999998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2C-4432-9BAD-78DAC7B60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2656"/>
        <c:axId val="358454304"/>
      </c:scatterChart>
      <c:valAx>
        <c:axId val="35844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4304"/>
        <c:crosses val="autoZero"/>
        <c:crossBetween val="midCat"/>
      </c:valAx>
      <c:valAx>
        <c:axId val="358454304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2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All!$BI$6:$BI$79</c:f>
              <c:numCache>
                <c:formatCode>General</c:formatCode>
                <c:ptCount val="74"/>
                <c:pt idx="0">
                  <c:v>65.835999999999999</c:v>
                </c:pt>
                <c:pt idx="4">
                  <c:v>65.924000000000007</c:v>
                </c:pt>
                <c:pt idx="6">
                  <c:v>66.117999999999995</c:v>
                </c:pt>
                <c:pt idx="10">
                  <c:v>65.308000000000007</c:v>
                </c:pt>
                <c:pt idx="12">
                  <c:v>66.905000000000001</c:v>
                </c:pt>
                <c:pt idx="16">
                  <c:v>66.787000000000006</c:v>
                </c:pt>
                <c:pt idx="20">
                  <c:v>66.884</c:v>
                </c:pt>
                <c:pt idx="21">
                  <c:v>66.635000000000005</c:v>
                </c:pt>
                <c:pt idx="23">
                  <c:v>66.884</c:v>
                </c:pt>
                <c:pt idx="24">
                  <c:v>66.635000000000005</c:v>
                </c:pt>
                <c:pt idx="25">
                  <c:v>67.783000000000001</c:v>
                </c:pt>
                <c:pt idx="29">
                  <c:v>68.087999999999994</c:v>
                </c:pt>
                <c:pt idx="35">
                  <c:v>66.001999999999995</c:v>
                </c:pt>
                <c:pt idx="39">
                  <c:v>66.256</c:v>
                </c:pt>
                <c:pt idx="44">
                  <c:v>66.616</c:v>
                </c:pt>
                <c:pt idx="48">
                  <c:v>67.62</c:v>
                </c:pt>
                <c:pt idx="50">
                  <c:v>68.057000000000002</c:v>
                </c:pt>
                <c:pt idx="54">
                  <c:v>67.688000000000002</c:v>
                </c:pt>
                <c:pt idx="56">
                  <c:v>66.894999999999996</c:v>
                </c:pt>
                <c:pt idx="60">
                  <c:v>66.316999999999993</c:v>
                </c:pt>
                <c:pt idx="63">
                  <c:v>67.338999999999999</c:v>
                </c:pt>
                <c:pt idx="67">
                  <c:v>67.94</c:v>
                </c:pt>
                <c:pt idx="69">
                  <c:v>68.349999999999994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E-454F-BE1D-84732427CB9A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All!$BJ$6:$BJ$79</c:f>
              <c:numCache>
                <c:formatCode>General</c:formatCode>
                <c:ptCount val="74"/>
                <c:pt idx="0">
                  <c:v>76.316000000000003</c:v>
                </c:pt>
                <c:pt idx="4">
                  <c:v>76.054000000000002</c:v>
                </c:pt>
                <c:pt idx="6">
                  <c:v>77.69</c:v>
                </c:pt>
                <c:pt idx="10">
                  <c:v>76.453000000000003</c:v>
                </c:pt>
                <c:pt idx="12">
                  <c:v>77.838999999999999</c:v>
                </c:pt>
                <c:pt idx="16">
                  <c:v>78.474999999999994</c:v>
                </c:pt>
                <c:pt idx="20">
                  <c:v>77.423000000000002</c:v>
                </c:pt>
                <c:pt idx="21">
                  <c:v>78.906000000000006</c:v>
                </c:pt>
                <c:pt idx="23">
                  <c:v>77.423000000000002</c:v>
                </c:pt>
                <c:pt idx="24">
                  <c:v>78.906000000000006</c:v>
                </c:pt>
                <c:pt idx="25">
                  <c:v>81.576999999999998</c:v>
                </c:pt>
                <c:pt idx="29">
                  <c:v>82.587999999999994</c:v>
                </c:pt>
                <c:pt idx="35">
                  <c:v>81.510000000000005</c:v>
                </c:pt>
                <c:pt idx="39">
                  <c:v>81.739000000000004</c:v>
                </c:pt>
                <c:pt idx="44">
                  <c:v>82.965999999999994</c:v>
                </c:pt>
                <c:pt idx="48">
                  <c:v>81.738</c:v>
                </c:pt>
                <c:pt idx="50">
                  <c:v>82.64</c:v>
                </c:pt>
                <c:pt idx="54">
                  <c:v>82.07</c:v>
                </c:pt>
                <c:pt idx="56">
                  <c:v>82.521000000000001</c:v>
                </c:pt>
                <c:pt idx="60">
                  <c:v>81.662000000000006</c:v>
                </c:pt>
                <c:pt idx="63">
                  <c:v>82.555999999999997</c:v>
                </c:pt>
                <c:pt idx="67">
                  <c:v>83.962000000000003</c:v>
                </c:pt>
                <c:pt idx="69">
                  <c:v>84.694999999999993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FE-454F-BE1D-84732427CB9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58455136"/>
        <c:axId val="358442656"/>
      </c:scatterChart>
      <c:valAx>
        <c:axId val="35845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2656"/>
        <c:crosses val="autoZero"/>
        <c:crossBetween val="midCat"/>
      </c:valAx>
      <c:valAx>
        <c:axId val="358442656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5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All!$AR$6:$AR$79</c:f>
              <c:numCache>
                <c:formatCode>General</c:formatCode>
                <c:ptCount val="74"/>
                <c:pt idx="4">
                  <c:v>43.863</c:v>
                </c:pt>
                <c:pt idx="5">
                  <c:v>41.576999999999998</c:v>
                </c:pt>
                <c:pt idx="6">
                  <c:v>42.406999999999996</c:v>
                </c:pt>
                <c:pt idx="10">
                  <c:v>42.89</c:v>
                </c:pt>
                <c:pt idx="11">
                  <c:v>43.34</c:v>
                </c:pt>
                <c:pt idx="12">
                  <c:v>40.720999999999997</c:v>
                </c:pt>
                <c:pt idx="16">
                  <c:v>44.523000000000003</c:v>
                </c:pt>
                <c:pt idx="20">
                  <c:v>40.957000000000001</c:v>
                </c:pt>
                <c:pt idx="21">
                  <c:v>43.904000000000003</c:v>
                </c:pt>
                <c:pt idx="23">
                  <c:v>40.957000000000001</c:v>
                </c:pt>
                <c:pt idx="24">
                  <c:v>43.904000000000003</c:v>
                </c:pt>
                <c:pt idx="25">
                  <c:v>45.914999999999999</c:v>
                </c:pt>
                <c:pt idx="29">
                  <c:v>44.673000000000002</c:v>
                </c:pt>
                <c:pt idx="33">
                  <c:v>39.817</c:v>
                </c:pt>
                <c:pt idx="34">
                  <c:v>39.018000000000001</c:v>
                </c:pt>
                <c:pt idx="39">
                  <c:v>39.908000000000001</c:v>
                </c:pt>
                <c:pt idx="40">
                  <c:v>39.085999999999999</c:v>
                </c:pt>
                <c:pt idx="41">
                  <c:v>38.569000000000003</c:v>
                </c:pt>
                <c:pt idx="42">
                  <c:v>39.536000000000001</c:v>
                </c:pt>
                <c:pt idx="43">
                  <c:v>38.313000000000002</c:v>
                </c:pt>
                <c:pt idx="48">
                  <c:v>43.411000000000001</c:v>
                </c:pt>
                <c:pt idx="49">
                  <c:v>41.578000000000003</c:v>
                </c:pt>
                <c:pt idx="50">
                  <c:v>42.805</c:v>
                </c:pt>
                <c:pt idx="54">
                  <c:v>41.502000000000002</c:v>
                </c:pt>
                <c:pt idx="55">
                  <c:v>37.429000000000002</c:v>
                </c:pt>
                <c:pt idx="56">
                  <c:v>40.472000000000001</c:v>
                </c:pt>
                <c:pt idx="60">
                  <c:v>40.378999999999998</c:v>
                </c:pt>
                <c:pt idx="61">
                  <c:v>40.408000000000001</c:v>
                </c:pt>
                <c:pt idx="62">
                  <c:v>40.991</c:v>
                </c:pt>
                <c:pt idx="63">
                  <c:v>40.863</c:v>
                </c:pt>
                <c:pt idx="67">
                  <c:v>41.313000000000002</c:v>
                </c:pt>
                <c:pt idx="68">
                  <c:v>41.795000000000002</c:v>
                </c:pt>
                <c:pt idx="69">
                  <c:v>41.74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1-4360-A6F6-6542698B710C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All!$AS$6:$AS$79</c:f>
              <c:numCache>
                <c:formatCode>General</c:formatCode>
                <c:ptCount val="74"/>
                <c:pt idx="4">
                  <c:v>36.921999999999997</c:v>
                </c:pt>
                <c:pt idx="5">
                  <c:v>37.744</c:v>
                </c:pt>
                <c:pt idx="6">
                  <c:v>37.784999999999997</c:v>
                </c:pt>
                <c:pt idx="10">
                  <c:v>38.753999999999998</c:v>
                </c:pt>
                <c:pt idx="11">
                  <c:v>39.533000000000001</c:v>
                </c:pt>
                <c:pt idx="12">
                  <c:v>36.984999999999999</c:v>
                </c:pt>
                <c:pt idx="16">
                  <c:v>36.658000000000001</c:v>
                </c:pt>
                <c:pt idx="20">
                  <c:v>34.963999999999999</c:v>
                </c:pt>
                <c:pt idx="21">
                  <c:v>34.904000000000003</c:v>
                </c:pt>
                <c:pt idx="23">
                  <c:v>34.963999999999999</c:v>
                </c:pt>
                <c:pt idx="24">
                  <c:v>34.904000000000003</c:v>
                </c:pt>
                <c:pt idx="25">
                  <c:v>37.664000000000001</c:v>
                </c:pt>
                <c:pt idx="29">
                  <c:v>35.518000000000001</c:v>
                </c:pt>
                <c:pt idx="33">
                  <c:v>33.771999999999998</c:v>
                </c:pt>
                <c:pt idx="34">
                  <c:v>34.033999999999999</c:v>
                </c:pt>
                <c:pt idx="39">
                  <c:v>35.892000000000003</c:v>
                </c:pt>
                <c:pt idx="40">
                  <c:v>35.061</c:v>
                </c:pt>
                <c:pt idx="41">
                  <c:v>35.295000000000002</c:v>
                </c:pt>
                <c:pt idx="42">
                  <c:v>38.402999999999999</c:v>
                </c:pt>
                <c:pt idx="43">
                  <c:v>37.218000000000004</c:v>
                </c:pt>
                <c:pt idx="48">
                  <c:v>39.000999999999998</c:v>
                </c:pt>
                <c:pt idx="49">
                  <c:v>37.036999999999999</c:v>
                </c:pt>
                <c:pt idx="50">
                  <c:v>39.167999999999999</c:v>
                </c:pt>
                <c:pt idx="54">
                  <c:v>38.113999999999997</c:v>
                </c:pt>
                <c:pt idx="55">
                  <c:v>35.372999999999998</c:v>
                </c:pt>
                <c:pt idx="56">
                  <c:v>39.356999999999999</c:v>
                </c:pt>
                <c:pt idx="60">
                  <c:v>39.704999999999998</c:v>
                </c:pt>
                <c:pt idx="61">
                  <c:v>37.082000000000001</c:v>
                </c:pt>
                <c:pt idx="62">
                  <c:v>38.11</c:v>
                </c:pt>
                <c:pt idx="63">
                  <c:v>39.055</c:v>
                </c:pt>
                <c:pt idx="67">
                  <c:v>38.404000000000003</c:v>
                </c:pt>
                <c:pt idx="68">
                  <c:v>39.667000000000002</c:v>
                </c:pt>
                <c:pt idx="69">
                  <c:v>40.087000000000003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51-4360-A6F6-6542698B7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33920"/>
        <c:axId val="358446400"/>
      </c:scatterChart>
      <c:valAx>
        <c:axId val="35843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6400"/>
        <c:crosses val="autoZero"/>
        <c:crossBetween val="midCat"/>
      </c:valAx>
      <c:valAx>
        <c:axId val="3584464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3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All!$F$6:$F$79</c:f>
              <c:numCache>
                <c:formatCode>General</c:formatCode>
                <c:ptCount val="74"/>
                <c:pt idx="0">
                  <c:v>303.69</c:v>
                </c:pt>
                <c:pt idx="4">
                  <c:v>321.56</c:v>
                </c:pt>
                <c:pt idx="5">
                  <c:v>325.17</c:v>
                </c:pt>
                <c:pt idx="6">
                  <c:v>330.04</c:v>
                </c:pt>
                <c:pt idx="10">
                  <c:v>325.08999999999997</c:v>
                </c:pt>
                <c:pt idx="11">
                  <c:v>331.84</c:v>
                </c:pt>
                <c:pt idx="12">
                  <c:v>324.70999999999998</c:v>
                </c:pt>
                <c:pt idx="16">
                  <c:v>327.04000000000002</c:v>
                </c:pt>
                <c:pt idx="20">
                  <c:v>331.32</c:v>
                </c:pt>
                <c:pt idx="21">
                  <c:v>332.11</c:v>
                </c:pt>
                <c:pt idx="23">
                  <c:v>331.32</c:v>
                </c:pt>
                <c:pt idx="24">
                  <c:v>332.11</c:v>
                </c:pt>
                <c:pt idx="25">
                  <c:v>325.07</c:v>
                </c:pt>
                <c:pt idx="29">
                  <c:v>325.44</c:v>
                </c:pt>
                <c:pt idx="33">
                  <c:v>327.07</c:v>
                </c:pt>
                <c:pt idx="34">
                  <c:v>330.51</c:v>
                </c:pt>
                <c:pt idx="35">
                  <c:v>288.77</c:v>
                </c:pt>
                <c:pt idx="39">
                  <c:v>326.83</c:v>
                </c:pt>
                <c:pt idx="40">
                  <c:v>328.76</c:v>
                </c:pt>
                <c:pt idx="41">
                  <c:v>328.85</c:v>
                </c:pt>
                <c:pt idx="42">
                  <c:v>331.72</c:v>
                </c:pt>
                <c:pt idx="43">
                  <c:v>328.69</c:v>
                </c:pt>
                <c:pt idx="44">
                  <c:v>288.31</c:v>
                </c:pt>
                <c:pt idx="48">
                  <c:v>326.25</c:v>
                </c:pt>
                <c:pt idx="49">
                  <c:v>329.54</c:v>
                </c:pt>
                <c:pt idx="50">
                  <c:v>328.24</c:v>
                </c:pt>
                <c:pt idx="54">
                  <c:v>326.52</c:v>
                </c:pt>
                <c:pt idx="55">
                  <c:v>330.63</c:v>
                </c:pt>
                <c:pt idx="56">
                  <c:v>325.91000000000003</c:v>
                </c:pt>
                <c:pt idx="60">
                  <c:v>326.93</c:v>
                </c:pt>
                <c:pt idx="61">
                  <c:v>328.35</c:v>
                </c:pt>
                <c:pt idx="62">
                  <c:v>331.25</c:v>
                </c:pt>
                <c:pt idx="63">
                  <c:v>328.72</c:v>
                </c:pt>
                <c:pt idx="67">
                  <c:v>328.29</c:v>
                </c:pt>
                <c:pt idx="68">
                  <c:v>331.45</c:v>
                </c:pt>
                <c:pt idx="69">
                  <c:v>330.21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38-4653-824D-E68A6A78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7648"/>
        <c:axId val="358442240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All!$IA$6:$IA$79</c:f>
              <c:numCache>
                <c:formatCode>General</c:formatCode>
                <c:ptCount val="74"/>
                <c:pt idx="0">
                  <c:v>1.7310000000000001</c:v>
                </c:pt>
                <c:pt idx="4">
                  <c:v>2.4470000000000001</c:v>
                </c:pt>
                <c:pt idx="5">
                  <c:v>2.7029999999999998</c:v>
                </c:pt>
                <c:pt idx="6">
                  <c:v>2.6509999999999998</c:v>
                </c:pt>
                <c:pt idx="10">
                  <c:v>2.5289999999999999</c:v>
                </c:pt>
                <c:pt idx="11">
                  <c:v>2.5750000000000002</c:v>
                </c:pt>
                <c:pt idx="12">
                  <c:v>2.7469999999999999</c:v>
                </c:pt>
                <c:pt idx="16">
                  <c:v>2.64</c:v>
                </c:pt>
                <c:pt idx="20">
                  <c:v>2.6190000000000002</c:v>
                </c:pt>
                <c:pt idx="21">
                  <c:v>2.6850000000000001</c:v>
                </c:pt>
                <c:pt idx="23">
                  <c:v>2.6190000000000002</c:v>
                </c:pt>
                <c:pt idx="24">
                  <c:v>2.6850000000000001</c:v>
                </c:pt>
                <c:pt idx="25">
                  <c:v>2.6709999999999998</c:v>
                </c:pt>
                <c:pt idx="29">
                  <c:v>2.802</c:v>
                </c:pt>
                <c:pt idx="33">
                  <c:v>2.331</c:v>
                </c:pt>
                <c:pt idx="34">
                  <c:v>3.1339999999999999</c:v>
                </c:pt>
                <c:pt idx="35">
                  <c:v>3.1269999999999998</c:v>
                </c:pt>
                <c:pt idx="39">
                  <c:v>2.5499999999999998</c:v>
                </c:pt>
                <c:pt idx="40">
                  <c:v>3.14</c:v>
                </c:pt>
                <c:pt idx="41">
                  <c:v>3.1539999999999999</c:v>
                </c:pt>
                <c:pt idx="42">
                  <c:v>3.0960000000000001</c:v>
                </c:pt>
                <c:pt idx="43">
                  <c:v>3.3119999999999998</c:v>
                </c:pt>
                <c:pt idx="44">
                  <c:v>3.0720000000000001</c:v>
                </c:pt>
                <c:pt idx="48">
                  <c:v>2.6179999999999999</c:v>
                </c:pt>
                <c:pt idx="49">
                  <c:v>2.7679999999999998</c:v>
                </c:pt>
                <c:pt idx="50">
                  <c:v>2.746</c:v>
                </c:pt>
                <c:pt idx="54">
                  <c:v>2.673</c:v>
                </c:pt>
                <c:pt idx="55">
                  <c:v>2.9729999999999999</c:v>
                </c:pt>
                <c:pt idx="56">
                  <c:v>2.7869999999999999</c:v>
                </c:pt>
                <c:pt idx="60">
                  <c:v>2.573</c:v>
                </c:pt>
                <c:pt idx="61">
                  <c:v>2.738</c:v>
                </c:pt>
                <c:pt idx="62">
                  <c:v>2.806</c:v>
                </c:pt>
                <c:pt idx="63">
                  <c:v>2.899</c:v>
                </c:pt>
                <c:pt idx="67">
                  <c:v>2.7320000000000002</c:v>
                </c:pt>
                <c:pt idx="68">
                  <c:v>2.7879999999999998</c:v>
                </c:pt>
                <c:pt idx="69">
                  <c:v>3.0059999999999998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38-4653-824D-E68A6A78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54832"/>
        <c:axId val="375142768"/>
      </c:scatterChart>
      <c:valAx>
        <c:axId val="35844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2240"/>
        <c:crosses val="autoZero"/>
        <c:crossBetween val="midCat"/>
      </c:valAx>
      <c:valAx>
        <c:axId val="358442240"/>
        <c:scaling>
          <c:orientation val="minMax"/>
          <c:max val="345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7648"/>
        <c:crosses val="autoZero"/>
        <c:crossBetween val="midCat"/>
      </c:valAx>
      <c:valAx>
        <c:axId val="375142768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54832"/>
        <c:crosses val="max"/>
        <c:crossBetween val="midCat"/>
      </c:valAx>
      <c:valAx>
        <c:axId val="375154832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4276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All!$AP$6:$AP$79</c:f>
              <c:numCache>
                <c:formatCode>General</c:formatCode>
                <c:ptCount val="74"/>
                <c:pt idx="4">
                  <c:v>2.589</c:v>
                </c:pt>
                <c:pt idx="5">
                  <c:v>2.544</c:v>
                </c:pt>
                <c:pt idx="6">
                  <c:v>2.6160000000000001</c:v>
                </c:pt>
                <c:pt idx="10">
                  <c:v>2.5249999999999999</c:v>
                </c:pt>
                <c:pt idx="11">
                  <c:v>2.5430000000000001</c:v>
                </c:pt>
                <c:pt idx="12">
                  <c:v>2.4910000000000001</c:v>
                </c:pt>
                <c:pt idx="16">
                  <c:v>2.4870000000000001</c:v>
                </c:pt>
                <c:pt idx="20">
                  <c:v>2.5</c:v>
                </c:pt>
                <c:pt idx="21">
                  <c:v>2.4670000000000001</c:v>
                </c:pt>
                <c:pt idx="23">
                  <c:v>2.5</c:v>
                </c:pt>
                <c:pt idx="24">
                  <c:v>2.4670000000000001</c:v>
                </c:pt>
                <c:pt idx="25">
                  <c:v>2.4390000000000001</c:v>
                </c:pt>
                <c:pt idx="29">
                  <c:v>2.4119999999999999</c:v>
                </c:pt>
                <c:pt idx="33">
                  <c:v>2.657</c:v>
                </c:pt>
                <c:pt idx="34">
                  <c:v>2.62</c:v>
                </c:pt>
                <c:pt idx="39">
                  <c:v>2.698</c:v>
                </c:pt>
                <c:pt idx="40">
                  <c:v>2.68</c:v>
                </c:pt>
                <c:pt idx="41">
                  <c:v>2.7149999999999999</c:v>
                </c:pt>
                <c:pt idx="42">
                  <c:v>2.74</c:v>
                </c:pt>
                <c:pt idx="43">
                  <c:v>2.71</c:v>
                </c:pt>
                <c:pt idx="48">
                  <c:v>2.5640000000000001</c:v>
                </c:pt>
                <c:pt idx="49">
                  <c:v>2.544</c:v>
                </c:pt>
                <c:pt idx="50">
                  <c:v>2.5379999999999998</c:v>
                </c:pt>
                <c:pt idx="54">
                  <c:v>2.56</c:v>
                </c:pt>
                <c:pt idx="55">
                  <c:v>2.5350000000000001</c:v>
                </c:pt>
                <c:pt idx="56">
                  <c:v>2.5419999999999998</c:v>
                </c:pt>
                <c:pt idx="60">
                  <c:v>2.5790000000000002</c:v>
                </c:pt>
                <c:pt idx="61">
                  <c:v>2.5339999999999998</c:v>
                </c:pt>
                <c:pt idx="62">
                  <c:v>2.5489999999999999</c:v>
                </c:pt>
                <c:pt idx="63">
                  <c:v>2.5299999999999998</c:v>
                </c:pt>
                <c:pt idx="67">
                  <c:v>2.5630000000000002</c:v>
                </c:pt>
                <c:pt idx="68">
                  <c:v>2.5550000000000002</c:v>
                </c:pt>
                <c:pt idx="69">
                  <c:v>2.5169999999999999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EA-49EB-B313-FE08E956DE34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All!$AQ$6:$AQ$79</c:f>
              <c:numCache>
                <c:formatCode>General</c:formatCode>
                <c:ptCount val="74"/>
                <c:pt idx="4">
                  <c:v>1.9490000000000001</c:v>
                </c:pt>
                <c:pt idx="5">
                  <c:v>1.9279999999999999</c:v>
                </c:pt>
                <c:pt idx="6">
                  <c:v>1.956</c:v>
                </c:pt>
                <c:pt idx="10">
                  <c:v>1.865</c:v>
                </c:pt>
                <c:pt idx="11">
                  <c:v>1.8660000000000001</c:v>
                </c:pt>
                <c:pt idx="12">
                  <c:v>1.849</c:v>
                </c:pt>
                <c:pt idx="16">
                  <c:v>1.853</c:v>
                </c:pt>
                <c:pt idx="20">
                  <c:v>1.837</c:v>
                </c:pt>
                <c:pt idx="21">
                  <c:v>1.8140000000000001</c:v>
                </c:pt>
                <c:pt idx="23">
                  <c:v>1.837</c:v>
                </c:pt>
                <c:pt idx="24">
                  <c:v>1.8140000000000001</c:v>
                </c:pt>
                <c:pt idx="25">
                  <c:v>1.829</c:v>
                </c:pt>
                <c:pt idx="29">
                  <c:v>1.8140000000000001</c:v>
                </c:pt>
                <c:pt idx="33">
                  <c:v>1.952</c:v>
                </c:pt>
                <c:pt idx="34">
                  <c:v>1.9359999999999999</c:v>
                </c:pt>
                <c:pt idx="39">
                  <c:v>2.0070000000000001</c:v>
                </c:pt>
                <c:pt idx="40">
                  <c:v>1.9810000000000001</c:v>
                </c:pt>
                <c:pt idx="41">
                  <c:v>2.008</c:v>
                </c:pt>
                <c:pt idx="42">
                  <c:v>1.9890000000000001</c:v>
                </c:pt>
                <c:pt idx="43">
                  <c:v>1.98</c:v>
                </c:pt>
                <c:pt idx="48">
                  <c:v>1.889</c:v>
                </c:pt>
                <c:pt idx="49">
                  <c:v>1.881</c:v>
                </c:pt>
                <c:pt idx="50">
                  <c:v>1.853</c:v>
                </c:pt>
                <c:pt idx="54">
                  <c:v>1.849</c:v>
                </c:pt>
                <c:pt idx="55">
                  <c:v>1.849</c:v>
                </c:pt>
                <c:pt idx="56">
                  <c:v>1.8520000000000001</c:v>
                </c:pt>
                <c:pt idx="60">
                  <c:v>1.8540000000000001</c:v>
                </c:pt>
                <c:pt idx="61">
                  <c:v>1.8480000000000001</c:v>
                </c:pt>
                <c:pt idx="62">
                  <c:v>1.85</c:v>
                </c:pt>
                <c:pt idx="63">
                  <c:v>1.8360000000000001</c:v>
                </c:pt>
                <c:pt idx="67">
                  <c:v>1.87</c:v>
                </c:pt>
                <c:pt idx="68">
                  <c:v>1.863</c:v>
                </c:pt>
                <c:pt idx="69">
                  <c:v>1.831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EA-49EB-B313-FE08E956D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7648"/>
        <c:axId val="358448064"/>
      </c:scatterChart>
      <c:valAx>
        <c:axId val="35844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8064"/>
        <c:crosses val="autoZero"/>
        <c:crossBetween val="midCat"/>
      </c:valAx>
      <c:valAx>
        <c:axId val="35844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All!$CC$6:$CC$79</c:f>
              <c:numCache>
                <c:formatCode>General</c:formatCode>
                <c:ptCount val="74"/>
                <c:pt idx="0">
                  <c:v>6.1740000000000004</c:v>
                </c:pt>
                <c:pt idx="4">
                  <c:v>6.0119999999999996</c:v>
                </c:pt>
                <c:pt idx="5">
                  <c:v>5.702</c:v>
                </c:pt>
                <c:pt idx="6">
                  <c:v>6.2549999999999999</c:v>
                </c:pt>
                <c:pt idx="10">
                  <c:v>5.8630000000000004</c:v>
                </c:pt>
                <c:pt idx="11">
                  <c:v>5.95</c:v>
                </c:pt>
                <c:pt idx="12">
                  <c:v>5.6779999999999999</c:v>
                </c:pt>
                <c:pt idx="16">
                  <c:v>5.8579999999999997</c:v>
                </c:pt>
                <c:pt idx="20">
                  <c:v>5.827</c:v>
                </c:pt>
                <c:pt idx="21">
                  <c:v>5.5519999999999996</c:v>
                </c:pt>
                <c:pt idx="23">
                  <c:v>5.827</c:v>
                </c:pt>
                <c:pt idx="24">
                  <c:v>5.5519999999999996</c:v>
                </c:pt>
                <c:pt idx="25">
                  <c:v>5.7530000000000001</c:v>
                </c:pt>
                <c:pt idx="29">
                  <c:v>5.61</c:v>
                </c:pt>
                <c:pt idx="33">
                  <c:v>6.2069999999999999</c:v>
                </c:pt>
                <c:pt idx="34">
                  <c:v>6.1829999999999998</c:v>
                </c:pt>
                <c:pt idx="35">
                  <c:v>6.3639999999999999</c:v>
                </c:pt>
                <c:pt idx="39">
                  <c:v>5.8620000000000001</c:v>
                </c:pt>
                <c:pt idx="40">
                  <c:v>6.0259999999999998</c:v>
                </c:pt>
                <c:pt idx="41">
                  <c:v>6.2510000000000003</c:v>
                </c:pt>
                <c:pt idx="42">
                  <c:v>6.1180000000000003</c:v>
                </c:pt>
                <c:pt idx="43">
                  <c:v>6.1669999999999998</c:v>
                </c:pt>
                <c:pt idx="44">
                  <c:v>6.1879999999999997</c:v>
                </c:pt>
                <c:pt idx="48">
                  <c:v>5.79</c:v>
                </c:pt>
                <c:pt idx="49">
                  <c:v>5.8390000000000004</c:v>
                </c:pt>
                <c:pt idx="50">
                  <c:v>5.7130000000000001</c:v>
                </c:pt>
                <c:pt idx="54">
                  <c:v>5.6870000000000003</c:v>
                </c:pt>
                <c:pt idx="55">
                  <c:v>5.8479999999999999</c:v>
                </c:pt>
                <c:pt idx="56">
                  <c:v>5.84</c:v>
                </c:pt>
                <c:pt idx="60">
                  <c:v>5.8</c:v>
                </c:pt>
                <c:pt idx="61">
                  <c:v>6.1420000000000003</c:v>
                </c:pt>
                <c:pt idx="62">
                  <c:v>5.6950000000000003</c:v>
                </c:pt>
                <c:pt idx="63">
                  <c:v>5.73</c:v>
                </c:pt>
                <c:pt idx="67">
                  <c:v>5.7930000000000001</c:v>
                </c:pt>
                <c:pt idx="68">
                  <c:v>5.7530000000000001</c:v>
                </c:pt>
                <c:pt idx="69">
                  <c:v>5.484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E-48BA-9694-837306E24C84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All!$CD$6:$CD$79</c:f>
              <c:numCache>
                <c:formatCode>General</c:formatCode>
                <c:ptCount val="74"/>
                <c:pt idx="0">
                  <c:v>2.4470000000000001</c:v>
                </c:pt>
                <c:pt idx="4">
                  <c:v>2.5640000000000001</c:v>
                </c:pt>
                <c:pt idx="5">
                  <c:v>2.7109999999999999</c:v>
                </c:pt>
                <c:pt idx="6">
                  <c:v>2.7149999999999999</c:v>
                </c:pt>
                <c:pt idx="10">
                  <c:v>2.3420000000000001</c:v>
                </c:pt>
                <c:pt idx="11">
                  <c:v>2.5409999999999999</c:v>
                </c:pt>
                <c:pt idx="12">
                  <c:v>2.3639999999999999</c:v>
                </c:pt>
                <c:pt idx="16">
                  <c:v>2.492</c:v>
                </c:pt>
                <c:pt idx="20">
                  <c:v>2.3029999999999999</c:v>
                </c:pt>
                <c:pt idx="21">
                  <c:v>2.2210000000000001</c:v>
                </c:pt>
                <c:pt idx="23">
                  <c:v>2.3029999999999999</c:v>
                </c:pt>
                <c:pt idx="24">
                  <c:v>2.2210000000000001</c:v>
                </c:pt>
                <c:pt idx="25">
                  <c:v>2.2570000000000001</c:v>
                </c:pt>
                <c:pt idx="29">
                  <c:v>2.3180000000000001</c:v>
                </c:pt>
                <c:pt idx="33">
                  <c:v>2.39</c:v>
                </c:pt>
                <c:pt idx="34">
                  <c:v>2.6920000000000002</c:v>
                </c:pt>
                <c:pt idx="35">
                  <c:v>2.282</c:v>
                </c:pt>
                <c:pt idx="39">
                  <c:v>2.6150000000000002</c:v>
                </c:pt>
                <c:pt idx="40">
                  <c:v>2.6139999999999999</c:v>
                </c:pt>
                <c:pt idx="41">
                  <c:v>2.4860000000000002</c:v>
                </c:pt>
                <c:pt idx="42">
                  <c:v>2.4500000000000002</c:v>
                </c:pt>
                <c:pt idx="43">
                  <c:v>2.4420000000000002</c:v>
                </c:pt>
                <c:pt idx="44">
                  <c:v>2.1469999999999998</c:v>
                </c:pt>
                <c:pt idx="48">
                  <c:v>2.3530000000000002</c:v>
                </c:pt>
                <c:pt idx="49">
                  <c:v>2.492</c:v>
                </c:pt>
                <c:pt idx="50">
                  <c:v>2.41</c:v>
                </c:pt>
                <c:pt idx="54">
                  <c:v>2.38</c:v>
                </c:pt>
                <c:pt idx="55">
                  <c:v>2.4449999999999998</c:v>
                </c:pt>
                <c:pt idx="56">
                  <c:v>2.4550000000000001</c:v>
                </c:pt>
                <c:pt idx="60">
                  <c:v>2.472</c:v>
                </c:pt>
                <c:pt idx="61">
                  <c:v>2.4710000000000001</c:v>
                </c:pt>
                <c:pt idx="62">
                  <c:v>2.3540000000000001</c:v>
                </c:pt>
                <c:pt idx="63">
                  <c:v>2.367</c:v>
                </c:pt>
                <c:pt idx="67">
                  <c:v>2.403</c:v>
                </c:pt>
                <c:pt idx="68">
                  <c:v>2.3570000000000002</c:v>
                </c:pt>
                <c:pt idx="69">
                  <c:v>2.2149999999999999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8E-48BA-9694-837306E2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54720"/>
        <c:axId val="358436416"/>
      </c:scatterChart>
      <c:valAx>
        <c:axId val="35845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6416"/>
        <c:crosses val="autoZero"/>
        <c:crossBetween val="midCat"/>
      </c:valAx>
      <c:valAx>
        <c:axId val="3584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4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All!$CE$6:$CE$79</c:f>
              <c:numCache>
                <c:formatCode>General</c:formatCode>
                <c:ptCount val="74"/>
                <c:pt idx="0">
                  <c:v>3.7080000000000002</c:v>
                </c:pt>
                <c:pt idx="4">
                  <c:v>3.9239999999999999</c:v>
                </c:pt>
                <c:pt idx="5">
                  <c:v>4.0990000000000002</c:v>
                </c:pt>
                <c:pt idx="6">
                  <c:v>3.9119999999999999</c:v>
                </c:pt>
                <c:pt idx="10">
                  <c:v>3.7250000000000001</c:v>
                </c:pt>
                <c:pt idx="11">
                  <c:v>3.73</c:v>
                </c:pt>
                <c:pt idx="12">
                  <c:v>3.6789999999999998</c:v>
                </c:pt>
                <c:pt idx="16">
                  <c:v>3.7959999999999998</c:v>
                </c:pt>
                <c:pt idx="20">
                  <c:v>3.964</c:v>
                </c:pt>
                <c:pt idx="21">
                  <c:v>3.7090000000000001</c:v>
                </c:pt>
                <c:pt idx="23">
                  <c:v>3.964</c:v>
                </c:pt>
                <c:pt idx="24">
                  <c:v>3.7090000000000001</c:v>
                </c:pt>
                <c:pt idx="25">
                  <c:v>3.6669999999999998</c:v>
                </c:pt>
                <c:pt idx="29">
                  <c:v>3.6909999999999998</c:v>
                </c:pt>
                <c:pt idx="33">
                  <c:v>3.976</c:v>
                </c:pt>
                <c:pt idx="34">
                  <c:v>3.9969999999999999</c:v>
                </c:pt>
                <c:pt idx="35">
                  <c:v>4.0999999999999996</c:v>
                </c:pt>
                <c:pt idx="39">
                  <c:v>4.0780000000000003</c:v>
                </c:pt>
                <c:pt idx="40">
                  <c:v>4.0090000000000003</c:v>
                </c:pt>
                <c:pt idx="41">
                  <c:v>3.9990000000000001</c:v>
                </c:pt>
                <c:pt idx="42">
                  <c:v>4.05</c:v>
                </c:pt>
                <c:pt idx="43">
                  <c:v>4.0650000000000004</c:v>
                </c:pt>
                <c:pt idx="44">
                  <c:v>4.1260000000000003</c:v>
                </c:pt>
                <c:pt idx="48">
                  <c:v>3.8359999999999999</c:v>
                </c:pt>
                <c:pt idx="49">
                  <c:v>3.7450000000000001</c:v>
                </c:pt>
                <c:pt idx="50">
                  <c:v>3.8250000000000002</c:v>
                </c:pt>
                <c:pt idx="54">
                  <c:v>3.7890000000000001</c:v>
                </c:pt>
                <c:pt idx="55">
                  <c:v>3.806</c:v>
                </c:pt>
                <c:pt idx="56">
                  <c:v>3.758</c:v>
                </c:pt>
                <c:pt idx="60">
                  <c:v>3.8130000000000002</c:v>
                </c:pt>
                <c:pt idx="61">
                  <c:v>3.8210000000000002</c:v>
                </c:pt>
                <c:pt idx="62">
                  <c:v>3.823</c:v>
                </c:pt>
                <c:pt idx="63">
                  <c:v>3.8130000000000002</c:v>
                </c:pt>
                <c:pt idx="67">
                  <c:v>3.8479999999999999</c:v>
                </c:pt>
                <c:pt idx="68">
                  <c:v>3.7829999999999999</c:v>
                </c:pt>
                <c:pt idx="69">
                  <c:v>3.746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B1-4285-BC6C-980C8ECEB9B2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All!$CF$6:$CF$79</c:f>
              <c:numCache>
                <c:formatCode>General</c:formatCode>
                <c:ptCount val="74"/>
                <c:pt idx="0">
                  <c:v>2.1469999999999998</c:v>
                </c:pt>
                <c:pt idx="4">
                  <c:v>2.4020000000000001</c:v>
                </c:pt>
                <c:pt idx="5">
                  <c:v>2.395</c:v>
                </c:pt>
                <c:pt idx="6">
                  <c:v>2.1949999999999998</c:v>
                </c:pt>
                <c:pt idx="10">
                  <c:v>2.1819999999999999</c:v>
                </c:pt>
                <c:pt idx="11">
                  <c:v>2.1339999999999999</c:v>
                </c:pt>
                <c:pt idx="12">
                  <c:v>2.1179999999999999</c:v>
                </c:pt>
                <c:pt idx="16">
                  <c:v>2.1949999999999998</c:v>
                </c:pt>
                <c:pt idx="20">
                  <c:v>2.2490000000000001</c:v>
                </c:pt>
                <c:pt idx="21">
                  <c:v>2.0790000000000002</c:v>
                </c:pt>
                <c:pt idx="23">
                  <c:v>2.2490000000000001</c:v>
                </c:pt>
                <c:pt idx="24">
                  <c:v>2.0790000000000002</c:v>
                </c:pt>
                <c:pt idx="25">
                  <c:v>2.0649999999999999</c:v>
                </c:pt>
                <c:pt idx="29">
                  <c:v>2.0830000000000002</c:v>
                </c:pt>
                <c:pt idx="33">
                  <c:v>2.274</c:v>
                </c:pt>
                <c:pt idx="34">
                  <c:v>2.234</c:v>
                </c:pt>
                <c:pt idx="35">
                  <c:v>2.2189999999999999</c:v>
                </c:pt>
                <c:pt idx="39">
                  <c:v>2.3530000000000002</c:v>
                </c:pt>
                <c:pt idx="40">
                  <c:v>2.2930000000000001</c:v>
                </c:pt>
                <c:pt idx="41">
                  <c:v>2.2250000000000001</c:v>
                </c:pt>
                <c:pt idx="42">
                  <c:v>2.2250000000000001</c:v>
                </c:pt>
                <c:pt idx="43">
                  <c:v>2.2240000000000002</c:v>
                </c:pt>
                <c:pt idx="44">
                  <c:v>2.0249999999999999</c:v>
                </c:pt>
                <c:pt idx="48">
                  <c:v>2.1880000000000002</c:v>
                </c:pt>
                <c:pt idx="49">
                  <c:v>2.1360000000000001</c:v>
                </c:pt>
                <c:pt idx="50">
                  <c:v>2.101</c:v>
                </c:pt>
                <c:pt idx="54">
                  <c:v>2.1269999999999998</c:v>
                </c:pt>
                <c:pt idx="55">
                  <c:v>2.1120000000000001</c:v>
                </c:pt>
                <c:pt idx="56">
                  <c:v>2.097</c:v>
                </c:pt>
                <c:pt idx="60">
                  <c:v>2.0990000000000002</c:v>
                </c:pt>
                <c:pt idx="61">
                  <c:v>2.153</c:v>
                </c:pt>
                <c:pt idx="62">
                  <c:v>2.0920000000000001</c:v>
                </c:pt>
                <c:pt idx="63">
                  <c:v>2.0779999999999998</c:v>
                </c:pt>
                <c:pt idx="67">
                  <c:v>2.0859999999999999</c:v>
                </c:pt>
                <c:pt idx="68">
                  <c:v>2.0699999999999998</c:v>
                </c:pt>
                <c:pt idx="69">
                  <c:v>2.0489999999999999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B1-4285-BC6C-980C8ECEB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53888"/>
        <c:axId val="358456800"/>
      </c:scatterChart>
      <c:valAx>
        <c:axId val="35845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6800"/>
        <c:crosses val="autoZero"/>
        <c:crossBetween val="midCat"/>
      </c:valAx>
      <c:valAx>
        <c:axId val="35845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3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All!$DP$6:$DP$79</c:f>
              <c:numCache>
                <c:formatCode>General</c:formatCode>
                <c:ptCount val="74"/>
                <c:pt idx="0">
                  <c:v>60.936</c:v>
                </c:pt>
                <c:pt idx="4">
                  <c:v>62.162999999999997</c:v>
                </c:pt>
                <c:pt idx="5">
                  <c:v>66.802999999999997</c:v>
                </c:pt>
                <c:pt idx="6">
                  <c:v>64.134</c:v>
                </c:pt>
                <c:pt idx="10">
                  <c:v>64.718999999999994</c:v>
                </c:pt>
                <c:pt idx="11">
                  <c:v>67.944999999999993</c:v>
                </c:pt>
                <c:pt idx="12">
                  <c:v>69.238</c:v>
                </c:pt>
                <c:pt idx="16">
                  <c:v>66.343999999999994</c:v>
                </c:pt>
                <c:pt idx="20">
                  <c:v>65.366</c:v>
                </c:pt>
                <c:pt idx="21">
                  <c:v>65.364000000000004</c:v>
                </c:pt>
                <c:pt idx="23">
                  <c:v>65.366</c:v>
                </c:pt>
                <c:pt idx="24">
                  <c:v>65.364000000000004</c:v>
                </c:pt>
                <c:pt idx="25">
                  <c:v>65.424999999999997</c:v>
                </c:pt>
                <c:pt idx="29">
                  <c:v>67.043000000000006</c:v>
                </c:pt>
                <c:pt idx="33">
                  <c:v>65.025999999999996</c:v>
                </c:pt>
                <c:pt idx="34">
                  <c:v>64.337000000000003</c:v>
                </c:pt>
                <c:pt idx="35">
                  <c:v>58.139000000000003</c:v>
                </c:pt>
                <c:pt idx="39">
                  <c:v>64.495999999999995</c:v>
                </c:pt>
                <c:pt idx="40">
                  <c:v>65.254999999999995</c:v>
                </c:pt>
                <c:pt idx="41">
                  <c:v>66.448999999999998</c:v>
                </c:pt>
                <c:pt idx="42">
                  <c:v>66.415999999999997</c:v>
                </c:pt>
                <c:pt idx="43">
                  <c:v>64.694000000000003</c:v>
                </c:pt>
                <c:pt idx="44">
                  <c:v>58.28</c:v>
                </c:pt>
                <c:pt idx="48">
                  <c:v>67.472999999999999</c:v>
                </c:pt>
                <c:pt idx="49">
                  <c:v>70.319000000000003</c:v>
                </c:pt>
                <c:pt idx="50">
                  <c:v>71.040999999999997</c:v>
                </c:pt>
                <c:pt idx="54">
                  <c:v>68.671000000000006</c:v>
                </c:pt>
                <c:pt idx="55">
                  <c:v>71.021000000000001</c:v>
                </c:pt>
                <c:pt idx="56">
                  <c:v>68.385000000000005</c:v>
                </c:pt>
                <c:pt idx="60">
                  <c:v>66.983000000000004</c:v>
                </c:pt>
                <c:pt idx="61">
                  <c:v>70.778999999999996</c:v>
                </c:pt>
                <c:pt idx="62">
                  <c:v>66.980999999999995</c:v>
                </c:pt>
                <c:pt idx="63">
                  <c:v>72.768000000000001</c:v>
                </c:pt>
                <c:pt idx="67">
                  <c:v>69.28</c:v>
                </c:pt>
                <c:pt idx="68">
                  <c:v>67.448999999999998</c:v>
                </c:pt>
                <c:pt idx="69">
                  <c:v>69.378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4-4FBF-85E6-220B20F012B8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All!$DQ$6:$DQ$79</c:f>
              <c:numCache>
                <c:formatCode>General</c:formatCode>
                <c:ptCount val="74"/>
                <c:pt idx="0">
                  <c:v>63.749000000000002</c:v>
                </c:pt>
                <c:pt idx="4">
                  <c:v>57.893999999999998</c:v>
                </c:pt>
                <c:pt idx="5">
                  <c:v>57.15</c:v>
                </c:pt>
                <c:pt idx="6">
                  <c:v>55.534999999999997</c:v>
                </c:pt>
                <c:pt idx="10">
                  <c:v>58.252000000000002</c:v>
                </c:pt>
                <c:pt idx="11">
                  <c:v>57.264000000000003</c:v>
                </c:pt>
                <c:pt idx="12">
                  <c:v>57.798999999999999</c:v>
                </c:pt>
                <c:pt idx="16">
                  <c:v>58.656999999999996</c:v>
                </c:pt>
                <c:pt idx="20">
                  <c:v>57.475000000000001</c:v>
                </c:pt>
                <c:pt idx="21">
                  <c:v>58.13</c:v>
                </c:pt>
                <c:pt idx="23">
                  <c:v>57.475000000000001</c:v>
                </c:pt>
                <c:pt idx="24">
                  <c:v>58.13</c:v>
                </c:pt>
                <c:pt idx="25">
                  <c:v>60.798000000000002</c:v>
                </c:pt>
                <c:pt idx="29">
                  <c:v>60.802</c:v>
                </c:pt>
                <c:pt idx="33">
                  <c:v>61.975000000000001</c:v>
                </c:pt>
                <c:pt idx="34">
                  <c:v>61.451999999999998</c:v>
                </c:pt>
                <c:pt idx="35">
                  <c:v>64.385000000000005</c:v>
                </c:pt>
                <c:pt idx="39">
                  <c:v>60.353999999999999</c:v>
                </c:pt>
                <c:pt idx="40">
                  <c:v>61.295000000000002</c:v>
                </c:pt>
                <c:pt idx="41">
                  <c:v>62.872999999999998</c:v>
                </c:pt>
                <c:pt idx="42">
                  <c:v>63.72</c:v>
                </c:pt>
                <c:pt idx="43">
                  <c:v>62.789000000000001</c:v>
                </c:pt>
                <c:pt idx="44">
                  <c:v>68.813999999999993</c:v>
                </c:pt>
                <c:pt idx="48">
                  <c:v>63.645000000000003</c:v>
                </c:pt>
                <c:pt idx="49">
                  <c:v>62.597000000000001</c:v>
                </c:pt>
                <c:pt idx="50">
                  <c:v>63.421999999999997</c:v>
                </c:pt>
                <c:pt idx="54">
                  <c:v>62.081000000000003</c:v>
                </c:pt>
                <c:pt idx="55">
                  <c:v>62.512</c:v>
                </c:pt>
                <c:pt idx="56">
                  <c:v>62.654000000000003</c:v>
                </c:pt>
                <c:pt idx="60">
                  <c:v>62.966000000000001</c:v>
                </c:pt>
                <c:pt idx="61">
                  <c:v>63.569000000000003</c:v>
                </c:pt>
                <c:pt idx="62">
                  <c:v>62.183</c:v>
                </c:pt>
                <c:pt idx="63">
                  <c:v>63.786999999999999</c:v>
                </c:pt>
                <c:pt idx="67">
                  <c:v>64.135999999999996</c:v>
                </c:pt>
                <c:pt idx="68">
                  <c:v>64.397999999999996</c:v>
                </c:pt>
                <c:pt idx="69">
                  <c:v>64.406999999999996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74-4FBF-85E6-220B20F012B8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All!$DR$6:$DR$79</c:f>
              <c:numCache>
                <c:formatCode>General</c:formatCode>
                <c:ptCount val="74"/>
                <c:pt idx="0">
                  <c:v>51.802</c:v>
                </c:pt>
                <c:pt idx="4">
                  <c:v>53.933999999999997</c:v>
                </c:pt>
                <c:pt idx="5">
                  <c:v>55.759</c:v>
                </c:pt>
                <c:pt idx="6">
                  <c:v>54.06</c:v>
                </c:pt>
                <c:pt idx="10">
                  <c:v>54.743000000000002</c:v>
                </c:pt>
                <c:pt idx="11">
                  <c:v>56.357999999999997</c:v>
                </c:pt>
                <c:pt idx="12">
                  <c:v>54.817999999999998</c:v>
                </c:pt>
                <c:pt idx="16">
                  <c:v>55.45</c:v>
                </c:pt>
                <c:pt idx="20">
                  <c:v>56.055</c:v>
                </c:pt>
                <c:pt idx="21">
                  <c:v>56.195999999999998</c:v>
                </c:pt>
                <c:pt idx="23">
                  <c:v>56.055</c:v>
                </c:pt>
                <c:pt idx="24">
                  <c:v>56.195999999999998</c:v>
                </c:pt>
                <c:pt idx="25">
                  <c:v>54.387999999999998</c:v>
                </c:pt>
                <c:pt idx="29">
                  <c:v>54.865000000000002</c:v>
                </c:pt>
                <c:pt idx="33">
                  <c:v>52.972999999999999</c:v>
                </c:pt>
                <c:pt idx="34">
                  <c:v>54.13</c:v>
                </c:pt>
                <c:pt idx="35">
                  <c:v>50.250999999999998</c:v>
                </c:pt>
                <c:pt idx="39">
                  <c:v>50.249000000000002</c:v>
                </c:pt>
                <c:pt idx="40">
                  <c:v>53.73</c:v>
                </c:pt>
                <c:pt idx="41">
                  <c:v>53.511000000000003</c:v>
                </c:pt>
                <c:pt idx="42">
                  <c:v>52.978000000000002</c:v>
                </c:pt>
                <c:pt idx="43">
                  <c:v>52.084000000000003</c:v>
                </c:pt>
                <c:pt idx="44">
                  <c:v>51.91</c:v>
                </c:pt>
                <c:pt idx="48">
                  <c:v>55.938000000000002</c:v>
                </c:pt>
                <c:pt idx="49">
                  <c:v>55.57</c:v>
                </c:pt>
                <c:pt idx="50">
                  <c:v>54.445</c:v>
                </c:pt>
                <c:pt idx="54">
                  <c:v>55.061</c:v>
                </c:pt>
                <c:pt idx="55">
                  <c:v>55.396000000000001</c:v>
                </c:pt>
                <c:pt idx="56">
                  <c:v>55.332000000000001</c:v>
                </c:pt>
                <c:pt idx="60">
                  <c:v>55.287999999999997</c:v>
                </c:pt>
                <c:pt idx="61">
                  <c:v>54.268000000000001</c:v>
                </c:pt>
                <c:pt idx="62">
                  <c:v>54.168999999999997</c:v>
                </c:pt>
                <c:pt idx="63">
                  <c:v>55.496000000000002</c:v>
                </c:pt>
                <c:pt idx="67">
                  <c:v>54.991</c:v>
                </c:pt>
                <c:pt idx="68">
                  <c:v>55.715000000000003</c:v>
                </c:pt>
                <c:pt idx="69">
                  <c:v>55.231000000000002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74-4FBF-85E6-220B20F012B8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All!$DS$6:$DS$79</c:f>
              <c:numCache>
                <c:formatCode>General</c:formatCode>
                <c:ptCount val="74"/>
                <c:pt idx="0">
                  <c:v>47.378999999999998</c:v>
                </c:pt>
                <c:pt idx="4">
                  <c:v>46.811999999999998</c:v>
                </c:pt>
                <c:pt idx="5">
                  <c:v>49.616</c:v>
                </c:pt>
                <c:pt idx="6">
                  <c:v>49.064</c:v>
                </c:pt>
                <c:pt idx="10">
                  <c:v>48.645000000000003</c:v>
                </c:pt>
                <c:pt idx="11">
                  <c:v>49.69</c:v>
                </c:pt>
                <c:pt idx="12">
                  <c:v>48.534999999999997</c:v>
                </c:pt>
                <c:pt idx="16">
                  <c:v>49.04</c:v>
                </c:pt>
                <c:pt idx="20">
                  <c:v>49.017000000000003</c:v>
                </c:pt>
                <c:pt idx="21">
                  <c:v>50.116999999999997</c:v>
                </c:pt>
                <c:pt idx="23">
                  <c:v>49.017000000000003</c:v>
                </c:pt>
                <c:pt idx="24">
                  <c:v>50.116999999999997</c:v>
                </c:pt>
                <c:pt idx="25">
                  <c:v>50.956000000000003</c:v>
                </c:pt>
                <c:pt idx="29">
                  <c:v>51.74</c:v>
                </c:pt>
                <c:pt idx="33">
                  <c:v>51.600999999999999</c:v>
                </c:pt>
                <c:pt idx="34">
                  <c:v>52.331000000000003</c:v>
                </c:pt>
                <c:pt idx="35">
                  <c:v>54.216000000000001</c:v>
                </c:pt>
                <c:pt idx="39">
                  <c:v>52.027999999999999</c:v>
                </c:pt>
                <c:pt idx="40">
                  <c:v>52.273000000000003</c:v>
                </c:pt>
                <c:pt idx="41">
                  <c:v>52.752000000000002</c:v>
                </c:pt>
                <c:pt idx="42">
                  <c:v>53.768000000000001</c:v>
                </c:pt>
                <c:pt idx="43">
                  <c:v>53.893999999999998</c:v>
                </c:pt>
                <c:pt idx="44">
                  <c:v>58.405000000000001</c:v>
                </c:pt>
                <c:pt idx="48">
                  <c:v>52.908000000000001</c:v>
                </c:pt>
                <c:pt idx="49">
                  <c:v>53.18</c:v>
                </c:pt>
                <c:pt idx="50">
                  <c:v>55.478999999999999</c:v>
                </c:pt>
                <c:pt idx="54">
                  <c:v>53.226999999999997</c:v>
                </c:pt>
                <c:pt idx="55">
                  <c:v>53.56</c:v>
                </c:pt>
                <c:pt idx="56">
                  <c:v>53.823999999999998</c:v>
                </c:pt>
                <c:pt idx="60">
                  <c:v>54.55</c:v>
                </c:pt>
                <c:pt idx="61">
                  <c:v>53.838000000000001</c:v>
                </c:pt>
                <c:pt idx="62">
                  <c:v>54.41</c:v>
                </c:pt>
                <c:pt idx="63">
                  <c:v>54.003</c:v>
                </c:pt>
                <c:pt idx="67">
                  <c:v>55.37</c:v>
                </c:pt>
                <c:pt idx="68">
                  <c:v>55.838999999999999</c:v>
                </c:pt>
                <c:pt idx="69">
                  <c:v>54.878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74-4FBF-85E6-220B20F0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1824"/>
        <c:axId val="358452224"/>
      </c:scatterChart>
      <c:valAx>
        <c:axId val="35844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2224"/>
        <c:crosses val="autoZero"/>
        <c:crossBetween val="midCat"/>
      </c:valAx>
      <c:valAx>
        <c:axId val="358452224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1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All!$DL$6:$DL$79</c:f>
              <c:numCache>
                <c:formatCode>General</c:formatCode>
                <c:ptCount val="74"/>
                <c:pt idx="0">
                  <c:v>0.61</c:v>
                </c:pt>
                <c:pt idx="4">
                  <c:v>0.60299999999999998</c:v>
                </c:pt>
                <c:pt idx="5">
                  <c:v>0.60599999999999998</c:v>
                </c:pt>
                <c:pt idx="6">
                  <c:v>0.61199999999999999</c:v>
                </c:pt>
                <c:pt idx="10">
                  <c:v>0.60699999999999998</c:v>
                </c:pt>
                <c:pt idx="11">
                  <c:v>0.61</c:v>
                </c:pt>
                <c:pt idx="12">
                  <c:v>0.60799999999999998</c:v>
                </c:pt>
                <c:pt idx="16">
                  <c:v>0.61099999999999999</c:v>
                </c:pt>
                <c:pt idx="20">
                  <c:v>0.61099999999999999</c:v>
                </c:pt>
                <c:pt idx="21">
                  <c:v>0.61399999999999999</c:v>
                </c:pt>
                <c:pt idx="23">
                  <c:v>0.61099999999999999</c:v>
                </c:pt>
                <c:pt idx="24">
                  <c:v>0.61399999999999999</c:v>
                </c:pt>
                <c:pt idx="25">
                  <c:v>0.60899999999999999</c:v>
                </c:pt>
                <c:pt idx="29">
                  <c:v>0.60799999999999998</c:v>
                </c:pt>
                <c:pt idx="33">
                  <c:v>0.61</c:v>
                </c:pt>
                <c:pt idx="34">
                  <c:v>0.60599999999999998</c:v>
                </c:pt>
                <c:pt idx="35">
                  <c:v>0.64100000000000001</c:v>
                </c:pt>
                <c:pt idx="39">
                  <c:v>0.60799999999999998</c:v>
                </c:pt>
                <c:pt idx="40">
                  <c:v>0.60499999999999998</c:v>
                </c:pt>
                <c:pt idx="41">
                  <c:v>0.60699999999999998</c:v>
                </c:pt>
                <c:pt idx="42">
                  <c:v>0.61299999999999999</c:v>
                </c:pt>
                <c:pt idx="43">
                  <c:v>0.60799999999999998</c:v>
                </c:pt>
                <c:pt idx="44">
                  <c:v>0.66800000000000004</c:v>
                </c:pt>
                <c:pt idx="48">
                  <c:v>0.60899999999999999</c:v>
                </c:pt>
                <c:pt idx="49">
                  <c:v>0.60899999999999999</c:v>
                </c:pt>
                <c:pt idx="50">
                  <c:v>0.61199999999999999</c:v>
                </c:pt>
                <c:pt idx="54">
                  <c:v>0.61199999999999999</c:v>
                </c:pt>
                <c:pt idx="55">
                  <c:v>0.61099999999999999</c:v>
                </c:pt>
                <c:pt idx="56">
                  <c:v>0.61399999999999999</c:v>
                </c:pt>
                <c:pt idx="60">
                  <c:v>0.61199999999999999</c:v>
                </c:pt>
                <c:pt idx="61">
                  <c:v>0.61299999999999999</c:v>
                </c:pt>
                <c:pt idx="62">
                  <c:v>0.61099999999999999</c:v>
                </c:pt>
                <c:pt idx="63">
                  <c:v>0.61299999999999999</c:v>
                </c:pt>
                <c:pt idx="67">
                  <c:v>0.61199999999999999</c:v>
                </c:pt>
                <c:pt idx="68">
                  <c:v>0.61099999999999999</c:v>
                </c:pt>
                <c:pt idx="69">
                  <c:v>0.61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75-4517-BAA3-966D7264B37D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All!$DM$6:$DM$79</c:f>
              <c:numCache>
                <c:formatCode>General</c:formatCode>
                <c:ptCount val="74"/>
                <c:pt idx="0">
                  <c:v>0.755</c:v>
                </c:pt>
                <c:pt idx="4">
                  <c:v>0.75800000000000001</c:v>
                </c:pt>
                <c:pt idx="5">
                  <c:v>0.752</c:v>
                </c:pt>
                <c:pt idx="6">
                  <c:v>0.755</c:v>
                </c:pt>
                <c:pt idx="10">
                  <c:v>0.69099999999999995</c:v>
                </c:pt>
                <c:pt idx="11">
                  <c:v>0.76200000000000001</c:v>
                </c:pt>
                <c:pt idx="12">
                  <c:v>0.754</c:v>
                </c:pt>
                <c:pt idx="16">
                  <c:v>0.77200000000000002</c:v>
                </c:pt>
                <c:pt idx="20">
                  <c:v>0.77300000000000002</c:v>
                </c:pt>
                <c:pt idx="21">
                  <c:v>0.78</c:v>
                </c:pt>
                <c:pt idx="23">
                  <c:v>0.77300000000000002</c:v>
                </c:pt>
                <c:pt idx="24">
                  <c:v>0.78</c:v>
                </c:pt>
                <c:pt idx="25">
                  <c:v>0.78600000000000003</c:v>
                </c:pt>
                <c:pt idx="29">
                  <c:v>0.77100000000000002</c:v>
                </c:pt>
                <c:pt idx="33">
                  <c:v>0.77600000000000002</c:v>
                </c:pt>
                <c:pt idx="34">
                  <c:v>0.76100000000000001</c:v>
                </c:pt>
                <c:pt idx="35">
                  <c:v>0.79</c:v>
                </c:pt>
                <c:pt idx="39">
                  <c:v>0.77</c:v>
                </c:pt>
                <c:pt idx="40">
                  <c:v>0.76300000000000001</c:v>
                </c:pt>
                <c:pt idx="41">
                  <c:v>0.75900000000000001</c:v>
                </c:pt>
                <c:pt idx="42">
                  <c:v>0.76200000000000001</c:v>
                </c:pt>
                <c:pt idx="43">
                  <c:v>0.76700000000000002</c:v>
                </c:pt>
                <c:pt idx="44">
                  <c:v>0.80800000000000005</c:v>
                </c:pt>
                <c:pt idx="48">
                  <c:v>0.78200000000000003</c:v>
                </c:pt>
                <c:pt idx="49">
                  <c:v>0.76400000000000001</c:v>
                </c:pt>
                <c:pt idx="50">
                  <c:v>0.77600000000000002</c:v>
                </c:pt>
                <c:pt idx="54">
                  <c:v>0.77800000000000002</c:v>
                </c:pt>
                <c:pt idx="55">
                  <c:v>0.76500000000000001</c:v>
                </c:pt>
                <c:pt idx="56">
                  <c:v>0.77800000000000002</c:v>
                </c:pt>
                <c:pt idx="60">
                  <c:v>0.78200000000000003</c:v>
                </c:pt>
                <c:pt idx="61">
                  <c:v>0.77500000000000002</c:v>
                </c:pt>
                <c:pt idx="62">
                  <c:v>0.76800000000000002</c:v>
                </c:pt>
                <c:pt idx="63">
                  <c:v>0.77900000000000003</c:v>
                </c:pt>
                <c:pt idx="67">
                  <c:v>0.79100000000000004</c:v>
                </c:pt>
                <c:pt idx="68">
                  <c:v>0.77700000000000002</c:v>
                </c:pt>
                <c:pt idx="69">
                  <c:v>0.77700000000000002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75-4517-BAA3-966D7264B37D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All!$DN$6:$DN$79</c:f>
              <c:numCache>
                <c:formatCode>General</c:formatCode>
                <c:ptCount val="74"/>
                <c:pt idx="0">
                  <c:v>0.747</c:v>
                </c:pt>
                <c:pt idx="4">
                  <c:v>0.73699999999999999</c:v>
                </c:pt>
                <c:pt idx="5">
                  <c:v>0.73399999999999999</c:v>
                </c:pt>
                <c:pt idx="6">
                  <c:v>0.75700000000000001</c:v>
                </c:pt>
                <c:pt idx="10">
                  <c:v>0.55200000000000005</c:v>
                </c:pt>
                <c:pt idx="11">
                  <c:v>0.76300000000000001</c:v>
                </c:pt>
                <c:pt idx="12">
                  <c:v>0.73199999999999998</c:v>
                </c:pt>
                <c:pt idx="16">
                  <c:v>0.75900000000000001</c:v>
                </c:pt>
                <c:pt idx="20">
                  <c:v>0.79700000000000004</c:v>
                </c:pt>
                <c:pt idx="21">
                  <c:v>0.76300000000000001</c:v>
                </c:pt>
                <c:pt idx="23">
                  <c:v>0.79700000000000004</c:v>
                </c:pt>
                <c:pt idx="24">
                  <c:v>0.76300000000000001</c:v>
                </c:pt>
                <c:pt idx="25">
                  <c:v>0.76600000000000001</c:v>
                </c:pt>
                <c:pt idx="29">
                  <c:v>0.73199999999999998</c:v>
                </c:pt>
                <c:pt idx="33">
                  <c:v>0.76300000000000001</c:v>
                </c:pt>
                <c:pt idx="34">
                  <c:v>0.76500000000000001</c:v>
                </c:pt>
                <c:pt idx="35">
                  <c:v>0.78900000000000003</c:v>
                </c:pt>
                <c:pt idx="39">
                  <c:v>0.76100000000000001</c:v>
                </c:pt>
                <c:pt idx="40">
                  <c:v>0.80500000000000005</c:v>
                </c:pt>
                <c:pt idx="41">
                  <c:v>0.754</c:v>
                </c:pt>
                <c:pt idx="42">
                  <c:v>0.77800000000000002</c:v>
                </c:pt>
                <c:pt idx="43">
                  <c:v>0.79</c:v>
                </c:pt>
                <c:pt idx="44">
                  <c:v>0.78400000000000003</c:v>
                </c:pt>
                <c:pt idx="48">
                  <c:v>0.77700000000000002</c:v>
                </c:pt>
                <c:pt idx="49">
                  <c:v>0.77300000000000002</c:v>
                </c:pt>
                <c:pt idx="50">
                  <c:v>0.80400000000000005</c:v>
                </c:pt>
                <c:pt idx="54">
                  <c:v>0.77700000000000002</c:v>
                </c:pt>
                <c:pt idx="55">
                  <c:v>0.79900000000000004</c:v>
                </c:pt>
                <c:pt idx="56">
                  <c:v>0.78</c:v>
                </c:pt>
                <c:pt idx="60">
                  <c:v>0.77800000000000002</c:v>
                </c:pt>
                <c:pt idx="61">
                  <c:v>0.81100000000000005</c:v>
                </c:pt>
                <c:pt idx="62">
                  <c:v>0.78100000000000003</c:v>
                </c:pt>
                <c:pt idx="63">
                  <c:v>0.745</c:v>
                </c:pt>
                <c:pt idx="67">
                  <c:v>0.80100000000000005</c:v>
                </c:pt>
                <c:pt idx="68">
                  <c:v>0.747</c:v>
                </c:pt>
                <c:pt idx="69">
                  <c:v>0.73799999999999999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75-4517-BAA3-966D7264B37D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All!$DO$6:$DO$79</c:f>
              <c:numCache>
                <c:formatCode>General</c:formatCode>
                <c:ptCount val="74"/>
                <c:pt idx="0">
                  <c:v>0.753</c:v>
                </c:pt>
                <c:pt idx="4">
                  <c:v>0.71299999999999997</c:v>
                </c:pt>
                <c:pt idx="5">
                  <c:v>0.69799999999999995</c:v>
                </c:pt>
                <c:pt idx="6">
                  <c:v>0.68700000000000006</c:v>
                </c:pt>
                <c:pt idx="10">
                  <c:v>0.71099999999999997</c:v>
                </c:pt>
                <c:pt idx="11">
                  <c:v>0.71399999999999997</c:v>
                </c:pt>
                <c:pt idx="12">
                  <c:v>0.69599999999999995</c:v>
                </c:pt>
                <c:pt idx="16">
                  <c:v>0.70499999999999996</c:v>
                </c:pt>
                <c:pt idx="20">
                  <c:v>0.71899999999999997</c:v>
                </c:pt>
                <c:pt idx="21">
                  <c:v>0.71</c:v>
                </c:pt>
                <c:pt idx="23">
                  <c:v>0.71899999999999997</c:v>
                </c:pt>
                <c:pt idx="24">
                  <c:v>0.71</c:v>
                </c:pt>
                <c:pt idx="25">
                  <c:v>0.76600000000000001</c:v>
                </c:pt>
                <c:pt idx="29">
                  <c:v>0.69399999999999995</c:v>
                </c:pt>
                <c:pt idx="33">
                  <c:v>0.71</c:v>
                </c:pt>
                <c:pt idx="34">
                  <c:v>0.72899999999999998</c:v>
                </c:pt>
                <c:pt idx="35">
                  <c:v>0.76400000000000001</c:v>
                </c:pt>
                <c:pt idx="39">
                  <c:v>0.70099999999999996</c:v>
                </c:pt>
                <c:pt idx="40">
                  <c:v>0.73599999999999999</c:v>
                </c:pt>
                <c:pt idx="41">
                  <c:v>0.70399999999999996</c:v>
                </c:pt>
                <c:pt idx="42">
                  <c:v>0.71499999999999997</c:v>
                </c:pt>
                <c:pt idx="43">
                  <c:v>0.73499999999999999</c:v>
                </c:pt>
                <c:pt idx="44">
                  <c:v>0.77700000000000002</c:v>
                </c:pt>
                <c:pt idx="48">
                  <c:v>0.73799999999999999</c:v>
                </c:pt>
                <c:pt idx="49">
                  <c:v>0.71099999999999997</c:v>
                </c:pt>
                <c:pt idx="50">
                  <c:v>0.70299999999999996</c:v>
                </c:pt>
                <c:pt idx="54">
                  <c:v>0.73799999999999999</c:v>
                </c:pt>
                <c:pt idx="55">
                  <c:v>0.71699999999999997</c:v>
                </c:pt>
                <c:pt idx="56">
                  <c:v>0.7</c:v>
                </c:pt>
                <c:pt idx="60">
                  <c:v>0.71299999999999997</c:v>
                </c:pt>
                <c:pt idx="61">
                  <c:v>0.73899999999999999</c:v>
                </c:pt>
                <c:pt idx="62">
                  <c:v>0.72699999999999998</c:v>
                </c:pt>
                <c:pt idx="63">
                  <c:v>0.71</c:v>
                </c:pt>
                <c:pt idx="67">
                  <c:v>0.71799999999999997</c:v>
                </c:pt>
                <c:pt idx="68">
                  <c:v>0.7</c:v>
                </c:pt>
                <c:pt idx="69">
                  <c:v>0.72599999999999998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75-4517-BAA3-966D7264B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35168"/>
        <c:axId val="358438080"/>
      </c:scatterChart>
      <c:valAx>
        <c:axId val="35843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8080"/>
        <c:crosses val="autoZero"/>
        <c:crossBetween val="midCat"/>
      </c:valAx>
      <c:valAx>
        <c:axId val="358438080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5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All!$HW$6:$HW$79</c:f>
              <c:numCache>
                <c:formatCode>General</c:formatCode>
                <c:ptCount val="74"/>
                <c:pt idx="0">
                  <c:v>60.38</c:v>
                </c:pt>
                <c:pt idx="4">
                  <c:v>40.299999999999997</c:v>
                </c:pt>
                <c:pt idx="5">
                  <c:v>39.68</c:v>
                </c:pt>
                <c:pt idx="6">
                  <c:v>39.68</c:v>
                </c:pt>
                <c:pt idx="10">
                  <c:v>38.47</c:v>
                </c:pt>
                <c:pt idx="11">
                  <c:v>38.47</c:v>
                </c:pt>
                <c:pt idx="12">
                  <c:v>42.26</c:v>
                </c:pt>
                <c:pt idx="16">
                  <c:v>62.5</c:v>
                </c:pt>
                <c:pt idx="20">
                  <c:v>39.03</c:v>
                </c:pt>
                <c:pt idx="21">
                  <c:v>39.03</c:v>
                </c:pt>
                <c:pt idx="23">
                  <c:v>39.03</c:v>
                </c:pt>
                <c:pt idx="24">
                  <c:v>39.03</c:v>
                </c:pt>
                <c:pt idx="25">
                  <c:v>65.66</c:v>
                </c:pt>
                <c:pt idx="29">
                  <c:v>62.71</c:v>
                </c:pt>
                <c:pt idx="33">
                  <c:v>34.96</c:v>
                </c:pt>
                <c:pt idx="34">
                  <c:v>34.96</c:v>
                </c:pt>
                <c:pt idx="35">
                  <c:v>42.27</c:v>
                </c:pt>
                <c:pt idx="39">
                  <c:v>41.59</c:v>
                </c:pt>
                <c:pt idx="40">
                  <c:v>38.950000000000003</c:v>
                </c:pt>
                <c:pt idx="41">
                  <c:v>35.270000000000003</c:v>
                </c:pt>
                <c:pt idx="42">
                  <c:v>35.270000000000003</c:v>
                </c:pt>
                <c:pt idx="43">
                  <c:v>39.4</c:v>
                </c:pt>
                <c:pt idx="44">
                  <c:v>42.64</c:v>
                </c:pt>
                <c:pt idx="48">
                  <c:v>36.25</c:v>
                </c:pt>
                <c:pt idx="49">
                  <c:v>36.25</c:v>
                </c:pt>
                <c:pt idx="50">
                  <c:v>36.79</c:v>
                </c:pt>
                <c:pt idx="54">
                  <c:v>35.950000000000003</c:v>
                </c:pt>
                <c:pt idx="55">
                  <c:v>33.409999999999997</c:v>
                </c:pt>
                <c:pt idx="56">
                  <c:v>33.409999999999997</c:v>
                </c:pt>
                <c:pt idx="60">
                  <c:v>39.75</c:v>
                </c:pt>
                <c:pt idx="61">
                  <c:v>38.159999999999997</c:v>
                </c:pt>
                <c:pt idx="62">
                  <c:v>36.18</c:v>
                </c:pt>
                <c:pt idx="63">
                  <c:v>36.18</c:v>
                </c:pt>
                <c:pt idx="67">
                  <c:v>35.97</c:v>
                </c:pt>
                <c:pt idx="68">
                  <c:v>35.97</c:v>
                </c:pt>
                <c:pt idx="69">
                  <c:v>37.700000000000003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A8-4507-8694-4BE531A0D700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All!$HX$6:$HX$79</c:f>
              <c:numCache>
                <c:formatCode>General</c:formatCode>
                <c:ptCount val="74"/>
                <c:pt idx="0">
                  <c:v>73.27</c:v>
                </c:pt>
                <c:pt idx="4">
                  <c:v>52.16</c:v>
                </c:pt>
                <c:pt idx="5">
                  <c:v>45.96</c:v>
                </c:pt>
                <c:pt idx="6">
                  <c:v>45.96</c:v>
                </c:pt>
                <c:pt idx="10">
                  <c:v>46.15</c:v>
                </c:pt>
                <c:pt idx="11">
                  <c:v>43.14</c:v>
                </c:pt>
                <c:pt idx="12">
                  <c:v>43.14</c:v>
                </c:pt>
                <c:pt idx="16">
                  <c:v>65.31</c:v>
                </c:pt>
                <c:pt idx="20">
                  <c:v>42.69</c:v>
                </c:pt>
                <c:pt idx="21">
                  <c:v>42.69</c:v>
                </c:pt>
                <c:pt idx="23">
                  <c:v>42.69</c:v>
                </c:pt>
                <c:pt idx="24">
                  <c:v>42.69</c:v>
                </c:pt>
                <c:pt idx="25">
                  <c:v>76.239999999999995</c:v>
                </c:pt>
                <c:pt idx="29">
                  <c:v>59.51</c:v>
                </c:pt>
                <c:pt idx="33">
                  <c:v>34.909999999999997</c:v>
                </c:pt>
                <c:pt idx="34">
                  <c:v>34.1</c:v>
                </c:pt>
                <c:pt idx="35">
                  <c:v>34.1</c:v>
                </c:pt>
                <c:pt idx="39">
                  <c:v>35.25</c:v>
                </c:pt>
                <c:pt idx="40">
                  <c:v>35.200000000000003</c:v>
                </c:pt>
                <c:pt idx="41">
                  <c:v>35.200000000000003</c:v>
                </c:pt>
                <c:pt idx="42">
                  <c:v>35.880000000000003</c:v>
                </c:pt>
                <c:pt idx="43">
                  <c:v>36.33</c:v>
                </c:pt>
                <c:pt idx="44">
                  <c:v>36.33</c:v>
                </c:pt>
                <c:pt idx="48">
                  <c:v>50.08</c:v>
                </c:pt>
                <c:pt idx="49">
                  <c:v>49.26</c:v>
                </c:pt>
                <c:pt idx="50">
                  <c:v>49.26</c:v>
                </c:pt>
                <c:pt idx="54">
                  <c:v>50.83</c:v>
                </c:pt>
                <c:pt idx="55">
                  <c:v>48.7</c:v>
                </c:pt>
                <c:pt idx="56">
                  <c:v>48.7</c:v>
                </c:pt>
                <c:pt idx="60">
                  <c:v>46.31</c:v>
                </c:pt>
                <c:pt idx="61">
                  <c:v>42.51</c:v>
                </c:pt>
                <c:pt idx="62">
                  <c:v>42.51</c:v>
                </c:pt>
                <c:pt idx="63">
                  <c:v>46.1</c:v>
                </c:pt>
                <c:pt idx="67">
                  <c:v>43.22</c:v>
                </c:pt>
                <c:pt idx="68">
                  <c:v>42.61</c:v>
                </c:pt>
                <c:pt idx="69">
                  <c:v>42.61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A8-4507-8694-4BE531A0D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55968"/>
        <c:axId val="358433088"/>
      </c:scatterChart>
      <c:valAx>
        <c:axId val="358455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33088"/>
        <c:crosses val="autoZero"/>
        <c:crossBetween val="midCat"/>
      </c:valAx>
      <c:valAx>
        <c:axId val="358433088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5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All!$HY$6:$HY$79</c:f>
              <c:numCache>
                <c:formatCode>General</c:formatCode>
                <c:ptCount val="74"/>
                <c:pt idx="4">
                  <c:v>51.95</c:v>
                </c:pt>
                <c:pt idx="5">
                  <c:v>50.94</c:v>
                </c:pt>
                <c:pt idx="11">
                  <c:v>51.49</c:v>
                </c:pt>
                <c:pt idx="34">
                  <c:v>47.87</c:v>
                </c:pt>
                <c:pt idx="40">
                  <c:v>47.69</c:v>
                </c:pt>
                <c:pt idx="41">
                  <c:v>50.02</c:v>
                </c:pt>
                <c:pt idx="42">
                  <c:v>49.71</c:v>
                </c:pt>
                <c:pt idx="43">
                  <c:v>46.9</c:v>
                </c:pt>
                <c:pt idx="49">
                  <c:v>50.74</c:v>
                </c:pt>
                <c:pt idx="54">
                  <c:v>49.58</c:v>
                </c:pt>
                <c:pt idx="55">
                  <c:v>50.09</c:v>
                </c:pt>
                <c:pt idx="61">
                  <c:v>54.55</c:v>
                </c:pt>
                <c:pt idx="62">
                  <c:v>50.7</c:v>
                </c:pt>
                <c:pt idx="68">
                  <c:v>51.23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E8-46B3-A53D-706DC3F00A11}"/>
            </c:ext>
          </c:extLst>
        </c:ser>
        <c:ser>
          <c:idx val="1"/>
          <c:order val="1"/>
          <c:tx>
            <c:v>Ave Ride_AxleRear_Porsche1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All!$HZ$6:$HZ$79</c:f>
              <c:numCache>
                <c:formatCode>General</c:formatCode>
                <c:ptCount val="74"/>
                <c:pt idx="4">
                  <c:v>51.95</c:v>
                </c:pt>
                <c:pt idx="5">
                  <c:v>50.94</c:v>
                </c:pt>
                <c:pt idx="11">
                  <c:v>51.49</c:v>
                </c:pt>
                <c:pt idx="34">
                  <c:v>47.87</c:v>
                </c:pt>
                <c:pt idx="40">
                  <c:v>47.69</c:v>
                </c:pt>
                <c:pt idx="41">
                  <c:v>50.02</c:v>
                </c:pt>
                <c:pt idx="42">
                  <c:v>49.71</c:v>
                </c:pt>
                <c:pt idx="43">
                  <c:v>46.9</c:v>
                </c:pt>
                <c:pt idx="49">
                  <c:v>50.74</c:v>
                </c:pt>
                <c:pt idx="54">
                  <c:v>49.58</c:v>
                </c:pt>
                <c:pt idx="55">
                  <c:v>50.09</c:v>
                </c:pt>
                <c:pt idx="61">
                  <c:v>54.55</c:v>
                </c:pt>
                <c:pt idx="62">
                  <c:v>50.7</c:v>
                </c:pt>
                <c:pt idx="68">
                  <c:v>51.23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E8-46B3-A53D-706DC3F0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5984"/>
        <c:axId val="358455968"/>
      </c:scatterChart>
      <c:valAx>
        <c:axId val="35844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55968"/>
        <c:crosses val="autoZero"/>
        <c:crossBetween val="midCat"/>
      </c:valAx>
      <c:valAx>
        <c:axId val="358455968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All!$AL$6:$AL$79</c:f>
              <c:numCache>
                <c:formatCode>General</c:formatCode>
                <c:ptCount val="74"/>
                <c:pt idx="0">
                  <c:v>496.59399999999999</c:v>
                </c:pt>
                <c:pt idx="4">
                  <c:v>591.35299999999995</c:v>
                </c:pt>
                <c:pt idx="5">
                  <c:v>660.67</c:v>
                </c:pt>
                <c:pt idx="6">
                  <c:v>651.93600000000004</c:v>
                </c:pt>
                <c:pt idx="10">
                  <c:v>612.56700000000001</c:v>
                </c:pt>
                <c:pt idx="11">
                  <c:v>663.18200000000002</c:v>
                </c:pt>
                <c:pt idx="12">
                  <c:v>635.17700000000002</c:v>
                </c:pt>
                <c:pt idx="16">
                  <c:v>612.82399999999996</c:v>
                </c:pt>
                <c:pt idx="20">
                  <c:v>630.76499999999999</c:v>
                </c:pt>
                <c:pt idx="21">
                  <c:v>662.75400000000002</c:v>
                </c:pt>
                <c:pt idx="23">
                  <c:v>630.76499999999999</c:v>
                </c:pt>
                <c:pt idx="24">
                  <c:v>662.75400000000002</c:v>
                </c:pt>
                <c:pt idx="25">
                  <c:v>601.16</c:v>
                </c:pt>
                <c:pt idx="29">
                  <c:v>671.25099999999998</c:v>
                </c:pt>
                <c:pt idx="33">
                  <c:v>578.89499999999998</c:v>
                </c:pt>
                <c:pt idx="34">
                  <c:v>684.15599999999995</c:v>
                </c:pt>
                <c:pt idx="35">
                  <c:v>597.84500000000003</c:v>
                </c:pt>
                <c:pt idx="39">
                  <c:v>597.49199999999996</c:v>
                </c:pt>
                <c:pt idx="40">
                  <c:v>720.16600000000005</c:v>
                </c:pt>
                <c:pt idx="41">
                  <c:v>674.55200000000002</c:v>
                </c:pt>
                <c:pt idx="42">
                  <c:v>657.08600000000001</c:v>
                </c:pt>
                <c:pt idx="43">
                  <c:v>714.91</c:v>
                </c:pt>
                <c:pt idx="44">
                  <c:v>606.92999999999995</c:v>
                </c:pt>
                <c:pt idx="48">
                  <c:v>572.22699999999998</c:v>
                </c:pt>
                <c:pt idx="49">
                  <c:v>631.38</c:v>
                </c:pt>
                <c:pt idx="50">
                  <c:v>628.15499999999997</c:v>
                </c:pt>
                <c:pt idx="54">
                  <c:v>581.45100000000002</c:v>
                </c:pt>
                <c:pt idx="55">
                  <c:v>668.99400000000003</c:v>
                </c:pt>
                <c:pt idx="56">
                  <c:v>586.05899999999997</c:v>
                </c:pt>
                <c:pt idx="60">
                  <c:v>564.63900000000001</c:v>
                </c:pt>
                <c:pt idx="61">
                  <c:v>670.99</c:v>
                </c:pt>
                <c:pt idx="62">
                  <c:v>654.46699999999998</c:v>
                </c:pt>
                <c:pt idx="63">
                  <c:v>630.36800000000005</c:v>
                </c:pt>
                <c:pt idx="67">
                  <c:v>615.06600000000003</c:v>
                </c:pt>
                <c:pt idx="68">
                  <c:v>626.94500000000005</c:v>
                </c:pt>
                <c:pt idx="69">
                  <c:v>644.726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1-4835-8B17-3B6A676F79B6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All!$AM$6:$AM$79</c:f>
              <c:numCache>
                <c:formatCode>General</c:formatCode>
                <c:ptCount val="74"/>
                <c:pt idx="0">
                  <c:v>477.98</c:v>
                </c:pt>
                <c:pt idx="4">
                  <c:v>584.52</c:v>
                </c:pt>
                <c:pt idx="5">
                  <c:v>647.84199999999998</c:v>
                </c:pt>
                <c:pt idx="6">
                  <c:v>655.99</c:v>
                </c:pt>
                <c:pt idx="10">
                  <c:v>605.47299999999996</c:v>
                </c:pt>
                <c:pt idx="11">
                  <c:v>643.14499999999998</c:v>
                </c:pt>
                <c:pt idx="12">
                  <c:v>655.35799999999995</c:v>
                </c:pt>
                <c:pt idx="16">
                  <c:v>629.62099999999998</c:v>
                </c:pt>
                <c:pt idx="20">
                  <c:v>626.48900000000003</c:v>
                </c:pt>
                <c:pt idx="21">
                  <c:v>668.07399999999996</c:v>
                </c:pt>
                <c:pt idx="23">
                  <c:v>626.48900000000003</c:v>
                </c:pt>
                <c:pt idx="24">
                  <c:v>668.07399999999996</c:v>
                </c:pt>
                <c:pt idx="25">
                  <c:v>624.76599999999996</c:v>
                </c:pt>
                <c:pt idx="29">
                  <c:v>685.86599999999999</c:v>
                </c:pt>
                <c:pt idx="33">
                  <c:v>594.28399999999999</c:v>
                </c:pt>
                <c:pt idx="34">
                  <c:v>666.17100000000005</c:v>
                </c:pt>
                <c:pt idx="35">
                  <c:v>585.05100000000004</c:v>
                </c:pt>
                <c:pt idx="39">
                  <c:v>626.774</c:v>
                </c:pt>
                <c:pt idx="40">
                  <c:v>695.38</c:v>
                </c:pt>
                <c:pt idx="41">
                  <c:v>669.49400000000003</c:v>
                </c:pt>
                <c:pt idx="42">
                  <c:v>648.98400000000004</c:v>
                </c:pt>
                <c:pt idx="43">
                  <c:v>715</c:v>
                </c:pt>
                <c:pt idx="44">
                  <c:v>626.63800000000003</c:v>
                </c:pt>
                <c:pt idx="48">
                  <c:v>585</c:v>
                </c:pt>
                <c:pt idx="49">
                  <c:v>676.81399999999996</c:v>
                </c:pt>
                <c:pt idx="50">
                  <c:v>660.06500000000005</c:v>
                </c:pt>
                <c:pt idx="54">
                  <c:v>586.14200000000005</c:v>
                </c:pt>
                <c:pt idx="55">
                  <c:v>663.10699999999997</c:v>
                </c:pt>
                <c:pt idx="56">
                  <c:v>611.37400000000002</c:v>
                </c:pt>
                <c:pt idx="60">
                  <c:v>578.38800000000003</c:v>
                </c:pt>
                <c:pt idx="61">
                  <c:v>663.74699999999996</c:v>
                </c:pt>
                <c:pt idx="62">
                  <c:v>650.49300000000005</c:v>
                </c:pt>
                <c:pt idx="63">
                  <c:v>632.07000000000005</c:v>
                </c:pt>
                <c:pt idx="67">
                  <c:v>628.02800000000002</c:v>
                </c:pt>
                <c:pt idx="68">
                  <c:v>638.69299999999998</c:v>
                </c:pt>
                <c:pt idx="69">
                  <c:v>662.06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81-4835-8B17-3B6A676F79B6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All!$AN$6:$AN$79</c:f>
              <c:numCache>
                <c:formatCode>General</c:formatCode>
                <c:ptCount val="74"/>
                <c:pt idx="0">
                  <c:v>552.41800000000001</c:v>
                </c:pt>
                <c:pt idx="4">
                  <c:v>692.23599999999999</c:v>
                </c:pt>
                <c:pt idx="5">
                  <c:v>759.93200000000002</c:v>
                </c:pt>
                <c:pt idx="6">
                  <c:v>794.59199999999998</c:v>
                </c:pt>
                <c:pt idx="10">
                  <c:v>735.97</c:v>
                </c:pt>
                <c:pt idx="11">
                  <c:v>789.29300000000001</c:v>
                </c:pt>
                <c:pt idx="12">
                  <c:v>750.73099999999999</c:v>
                </c:pt>
                <c:pt idx="16">
                  <c:v>719.45</c:v>
                </c:pt>
                <c:pt idx="20">
                  <c:v>744.35500000000002</c:v>
                </c:pt>
                <c:pt idx="21">
                  <c:v>805.76900000000001</c:v>
                </c:pt>
                <c:pt idx="23">
                  <c:v>744.35500000000002</c:v>
                </c:pt>
                <c:pt idx="24">
                  <c:v>805.76900000000001</c:v>
                </c:pt>
                <c:pt idx="25">
                  <c:v>760.50400000000002</c:v>
                </c:pt>
                <c:pt idx="29">
                  <c:v>825.62300000000005</c:v>
                </c:pt>
                <c:pt idx="33">
                  <c:v>664.62099999999998</c:v>
                </c:pt>
                <c:pt idx="34">
                  <c:v>756.01800000000003</c:v>
                </c:pt>
                <c:pt idx="35">
                  <c:v>711.822</c:v>
                </c:pt>
                <c:pt idx="39">
                  <c:v>686.87599999999998</c:v>
                </c:pt>
                <c:pt idx="40">
                  <c:v>806.45</c:v>
                </c:pt>
                <c:pt idx="41">
                  <c:v>793.24300000000005</c:v>
                </c:pt>
                <c:pt idx="42">
                  <c:v>758.971</c:v>
                </c:pt>
                <c:pt idx="43">
                  <c:v>815.43399999999997</c:v>
                </c:pt>
                <c:pt idx="44">
                  <c:v>759.11400000000003</c:v>
                </c:pt>
                <c:pt idx="48">
                  <c:v>648.42499999999995</c:v>
                </c:pt>
                <c:pt idx="49">
                  <c:v>746.98299999999995</c:v>
                </c:pt>
                <c:pt idx="50">
                  <c:v>728.95</c:v>
                </c:pt>
                <c:pt idx="54">
                  <c:v>670.85799999999995</c:v>
                </c:pt>
                <c:pt idx="55">
                  <c:v>788.15700000000004</c:v>
                </c:pt>
                <c:pt idx="56">
                  <c:v>714.88400000000001</c:v>
                </c:pt>
                <c:pt idx="60">
                  <c:v>689.84199999999998</c:v>
                </c:pt>
                <c:pt idx="61">
                  <c:v>786.71</c:v>
                </c:pt>
                <c:pt idx="62">
                  <c:v>777.93700000000001</c:v>
                </c:pt>
                <c:pt idx="63">
                  <c:v>748.84400000000005</c:v>
                </c:pt>
                <c:pt idx="67">
                  <c:v>706.97900000000004</c:v>
                </c:pt>
                <c:pt idx="68">
                  <c:v>747.572</c:v>
                </c:pt>
                <c:pt idx="69">
                  <c:v>756.06100000000004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81-4835-8B17-3B6A676F79B6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All!$AO$6:$AO$79</c:f>
              <c:numCache>
                <c:formatCode>General</c:formatCode>
                <c:ptCount val="74"/>
                <c:pt idx="0">
                  <c:v>535.47699999999998</c:v>
                </c:pt>
                <c:pt idx="4">
                  <c:v>684.25599999999997</c:v>
                </c:pt>
                <c:pt idx="5">
                  <c:v>749.12300000000005</c:v>
                </c:pt>
                <c:pt idx="6">
                  <c:v>789.39800000000002</c:v>
                </c:pt>
                <c:pt idx="10">
                  <c:v>763.529</c:v>
                </c:pt>
                <c:pt idx="11">
                  <c:v>789.83799999999997</c:v>
                </c:pt>
                <c:pt idx="12">
                  <c:v>724.80499999999995</c:v>
                </c:pt>
                <c:pt idx="16">
                  <c:v>736.35799999999995</c:v>
                </c:pt>
                <c:pt idx="20">
                  <c:v>731.18600000000004</c:v>
                </c:pt>
                <c:pt idx="21">
                  <c:v>759.56</c:v>
                </c:pt>
                <c:pt idx="23">
                  <c:v>731.18600000000004</c:v>
                </c:pt>
                <c:pt idx="24">
                  <c:v>759.56</c:v>
                </c:pt>
                <c:pt idx="25">
                  <c:v>740.774</c:v>
                </c:pt>
                <c:pt idx="29">
                  <c:v>818.95899999999995</c:v>
                </c:pt>
                <c:pt idx="33">
                  <c:v>674.45399999999995</c:v>
                </c:pt>
                <c:pt idx="34">
                  <c:v>760.37199999999996</c:v>
                </c:pt>
                <c:pt idx="35">
                  <c:v>668.96799999999996</c:v>
                </c:pt>
                <c:pt idx="39">
                  <c:v>684.74900000000002</c:v>
                </c:pt>
                <c:pt idx="40">
                  <c:v>775.54899999999998</c:v>
                </c:pt>
                <c:pt idx="41">
                  <c:v>760.11199999999997</c:v>
                </c:pt>
                <c:pt idx="42">
                  <c:v>749.10599999999999</c:v>
                </c:pt>
                <c:pt idx="43">
                  <c:v>795.87199999999996</c:v>
                </c:pt>
                <c:pt idx="44">
                  <c:v>686.42</c:v>
                </c:pt>
                <c:pt idx="48">
                  <c:v>666.34400000000005</c:v>
                </c:pt>
                <c:pt idx="49">
                  <c:v>739.76700000000005</c:v>
                </c:pt>
                <c:pt idx="50">
                  <c:v>727.096</c:v>
                </c:pt>
                <c:pt idx="54">
                  <c:v>720.11400000000003</c:v>
                </c:pt>
                <c:pt idx="55">
                  <c:v>737.07</c:v>
                </c:pt>
                <c:pt idx="56">
                  <c:v>722.44100000000003</c:v>
                </c:pt>
                <c:pt idx="60">
                  <c:v>706.74400000000003</c:v>
                </c:pt>
                <c:pt idx="61">
                  <c:v>781.61699999999996</c:v>
                </c:pt>
                <c:pt idx="62">
                  <c:v>770.85699999999997</c:v>
                </c:pt>
                <c:pt idx="63">
                  <c:v>760.53499999999997</c:v>
                </c:pt>
                <c:pt idx="67">
                  <c:v>705.86800000000005</c:v>
                </c:pt>
                <c:pt idx="68">
                  <c:v>738.10500000000002</c:v>
                </c:pt>
                <c:pt idx="69">
                  <c:v>734.98599999999999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81-4835-8B17-3B6A676F7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45984"/>
        <c:axId val="358446816"/>
      </c:scatterChart>
      <c:valAx>
        <c:axId val="35844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6816"/>
        <c:crosses val="autoZero"/>
        <c:crossBetween val="midCat"/>
      </c:valAx>
      <c:valAx>
        <c:axId val="358446816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4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All!$BU$6:$BU$79</c:f>
              <c:numCache>
                <c:formatCode>General</c:formatCode>
                <c:ptCount val="74"/>
                <c:pt idx="0">
                  <c:v>95.543999999999997</c:v>
                </c:pt>
                <c:pt idx="4">
                  <c:v>82.730999999999995</c:v>
                </c:pt>
                <c:pt idx="5">
                  <c:v>79.781999999999996</c:v>
                </c:pt>
                <c:pt idx="6">
                  <c:v>81.096999999999994</c:v>
                </c:pt>
                <c:pt idx="10">
                  <c:v>81.722999999999999</c:v>
                </c:pt>
                <c:pt idx="11">
                  <c:v>79.105999999999995</c:v>
                </c:pt>
                <c:pt idx="12">
                  <c:v>81.2</c:v>
                </c:pt>
                <c:pt idx="16">
                  <c:v>82.912999999999997</c:v>
                </c:pt>
                <c:pt idx="20">
                  <c:v>81.179000000000002</c:v>
                </c:pt>
                <c:pt idx="21">
                  <c:v>81.391999999999996</c:v>
                </c:pt>
                <c:pt idx="23">
                  <c:v>81.179000000000002</c:v>
                </c:pt>
                <c:pt idx="24">
                  <c:v>81.391999999999996</c:v>
                </c:pt>
                <c:pt idx="25">
                  <c:v>82.460999999999999</c:v>
                </c:pt>
                <c:pt idx="29">
                  <c:v>82.471999999999994</c:v>
                </c:pt>
                <c:pt idx="33">
                  <c:v>87.275000000000006</c:v>
                </c:pt>
                <c:pt idx="34">
                  <c:v>79.707999999999998</c:v>
                </c:pt>
                <c:pt idx="35">
                  <c:v>83.525999999999996</c:v>
                </c:pt>
                <c:pt idx="39">
                  <c:v>89.046999999999997</c:v>
                </c:pt>
                <c:pt idx="40">
                  <c:v>78.989000000000004</c:v>
                </c:pt>
                <c:pt idx="41">
                  <c:v>79.269000000000005</c:v>
                </c:pt>
                <c:pt idx="42">
                  <c:v>79.954999999999998</c:v>
                </c:pt>
                <c:pt idx="43">
                  <c:v>78.884</c:v>
                </c:pt>
                <c:pt idx="44">
                  <c:v>81.233000000000004</c:v>
                </c:pt>
                <c:pt idx="48">
                  <c:v>89.474000000000004</c:v>
                </c:pt>
                <c:pt idx="49">
                  <c:v>79.38</c:v>
                </c:pt>
                <c:pt idx="50">
                  <c:v>82.921000000000006</c:v>
                </c:pt>
                <c:pt idx="54">
                  <c:v>82.287999999999997</c:v>
                </c:pt>
                <c:pt idx="55">
                  <c:v>79.241</c:v>
                </c:pt>
                <c:pt idx="56">
                  <c:v>81.41</c:v>
                </c:pt>
                <c:pt idx="60">
                  <c:v>82.146000000000001</c:v>
                </c:pt>
                <c:pt idx="61">
                  <c:v>79.725999999999999</c:v>
                </c:pt>
                <c:pt idx="62">
                  <c:v>78.790000000000006</c:v>
                </c:pt>
                <c:pt idx="63">
                  <c:v>83.266999999999996</c:v>
                </c:pt>
                <c:pt idx="67">
                  <c:v>81.632999999999996</c:v>
                </c:pt>
                <c:pt idx="68">
                  <c:v>80.468999999999994</c:v>
                </c:pt>
                <c:pt idx="69">
                  <c:v>80.748000000000005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66-4A0E-BB95-AC4E5142ECD3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All!$BV$6:$BV$79</c:f>
              <c:numCache>
                <c:formatCode>General</c:formatCode>
                <c:ptCount val="74"/>
                <c:pt idx="0">
                  <c:v>69.213999999999999</c:v>
                </c:pt>
                <c:pt idx="4">
                  <c:v>67.445999999999998</c:v>
                </c:pt>
                <c:pt idx="5">
                  <c:v>63.332000000000001</c:v>
                </c:pt>
                <c:pt idx="6">
                  <c:v>65.378</c:v>
                </c:pt>
                <c:pt idx="10">
                  <c:v>66.31</c:v>
                </c:pt>
                <c:pt idx="11">
                  <c:v>61.832000000000001</c:v>
                </c:pt>
                <c:pt idx="12">
                  <c:v>61.93</c:v>
                </c:pt>
                <c:pt idx="16">
                  <c:v>64.622</c:v>
                </c:pt>
                <c:pt idx="20">
                  <c:v>66.007000000000005</c:v>
                </c:pt>
                <c:pt idx="21">
                  <c:v>66.710999999999999</c:v>
                </c:pt>
                <c:pt idx="23">
                  <c:v>66.007000000000005</c:v>
                </c:pt>
                <c:pt idx="24">
                  <c:v>66.710999999999999</c:v>
                </c:pt>
                <c:pt idx="25">
                  <c:v>66.715000000000003</c:v>
                </c:pt>
                <c:pt idx="29">
                  <c:v>68.486999999999995</c:v>
                </c:pt>
                <c:pt idx="33">
                  <c:v>69.158000000000001</c:v>
                </c:pt>
                <c:pt idx="34">
                  <c:v>61.947000000000003</c:v>
                </c:pt>
                <c:pt idx="35">
                  <c:v>68.091999999999999</c:v>
                </c:pt>
                <c:pt idx="39">
                  <c:v>65.816999999999993</c:v>
                </c:pt>
                <c:pt idx="40">
                  <c:v>62.603000000000002</c:v>
                </c:pt>
                <c:pt idx="41">
                  <c:v>62.134</c:v>
                </c:pt>
                <c:pt idx="42">
                  <c:v>64.775999999999996</c:v>
                </c:pt>
                <c:pt idx="43">
                  <c:v>63.244999999999997</c:v>
                </c:pt>
                <c:pt idx="44">
                  <c:v>68.647000000000006</c:v>
                </c:pt>
                <c:pt idx="48">
                  <c:v>66.638999999999996</c:v>
                </c:pt>
                <c:pt idx="49">
                  <c:v>63.000999999999998</c:v>
                </c:pt>
                <c:pt idx="50">
                  <c:v>63.981000000000002</c:v>
                </c:pt>
                <c:pt idx="54">
                  <c:v>64.403999999999996</c:v>
                </c:pt>
                <c:pt idx="55">
                  <c:v>63.823999999999998</c:v>
                </c:pt>
                <c:pt idx="56">
                  <c:v>63.945</c:v>
                </c:pt>
                <c:pt idx="60">
                  <c:v>65.744</c:v>
                </c:pt>
                <c:pt idx="61">
                  <c:v>62.61</c:v>
                </c:pt>
                <c:pt idx="62">
                  <c:v>60.786000000000001</c:v>
                </c:pt>
                <c:pt idx="63">
                  <c:v>63.247999999999998</c:v>
                </c:pt>
                <c:pt idx="67">
                  <c:v>63.353000000000002</c:v>
                </c:pt>
                <c:pt idx="68">
                  <c:v>69.049000000000007</c:v>
                </c:pt>
                <c:pt idx="69">
                  <c:v>65.347999999999999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66-4A0E-BB95-AC4E5142ECD3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All!$BW$6:$BW$79</c:f>
              <c:numCache>
                <c:formatCode>General</c:formatCode>
                <c:ptCount val="74"/>
                <c:pt idx="0">
                  <c:v>77.774000000000001</c:v>
                </c:pt>
                <c:pt idx="4">
                  <c:v>68.766000000000005</c:v>
                </c:pt>
                <c:pt idx="5">
                  <c:v>62.201000000000001</c:v>
                </c:pt>
                <c:pt idx="6">
                  <c:v>59.012</c:v>
                </c:pt>
                <c:pt idx="10">
                  <c:v>65.5</c:v>
                </c:pt>
                <c:pt idx="11">
                  <c:v>60.75</c:v>
                </c:pt>
                <c:pt idx="12">
                  <c:v>61.838999999999999</c:v>
                </c:pt>
                <c:pt idx="16">
                  <c:v>67.254000000000005</c:v>
                </c:pt>
                <c:pt idx="20">
                  <c:v>64.83</c:v>
                </c:pt>
                <c:pt idx="21">
                  <c:v>63.749000000000002</c:v>
                </c:pt>
                <c:pt idx="23">
                  <c:v>64.83</c:v>
                </c:pt>
                <c:pt idx="24">
                  <c:v>63.749000000000002</c:v>
                </c:pt>
                <c:pt idx="25">
                  <c:v>73.072000000000003</c:v>
                </c:pt>
                <c:pt idx="29">
                  <c:v>63.052999999999997</c:v>
                </c:pt>
                <c:pt idx="33">
                  <c:v>66.590999999999994</c:v>
                </c:pt>
                <c:pt idx="34">
                  <c:v>59.911999999999999</c:v>
                </c:pt>
                <c:pt idx="35">
                  <c:v>71.960999999999999</c:v>
                </c:pt>
                <c:pt idx="39">
                  <c:v>65.049000000000007</c:v>
                </c:pt>
                <c:pt idx="40">
                  <c:v>56.594000000000001</c:v>
                </c:pt>
                <c:pt idx="41">
                  <c:v>57.927999999999997</c:v>
                </c:pt>
                <c:pt idx="42">
                  <c:v>60.460999999999999</c:v>
                </c:pt>
                <c:pt idx="43">
                  <c:v>56.424999999999997</c:v>
                </c:pt>
                <c:pt idx="44">
                  <c:v>68.644000000000005</c:v>
                </c:pt>
                <c:pt idx="48">
                  <c:v>70.212000000000003</c:v>
                </c:pt>
                <c:pt idx="49">
                  <c:v>61.411000000000001</c:v>
                </c:pt>
                <c:pt idx="50">
                  <c:v>62.158999999999999</c:v>
                </c:pt>
                <c:pt idx="54">
                  <c:v>68.37</c:v>
                </c:pt>
                <c:pt idx="55">
                  <c:v>60.671999999999997</c:v>
                </c:pt>
                <c:pt idx="56">
                  <c:v>61.753</c:v>
                </c:pt>
                <c:pt idx="60">
                  <c:v>65.930000000000007</c:v>
                </c:pt>
                <c:pt idx="61">
                  <c:v>63.195</c:v>
                </c:pt>
                <c:pt idx="62">
                  <c:v>59.893999999999998</c:v>
                </c:pt>
                <c:pt idx="63">
                  <c:v>57.848999999999997</c:v>
                </c:pt>
                <c:pt idx="67">
                  <c:v>63.569000000000003</c:v>
                </c:pt>
                <c:pt idx="68">
                  <c:v>54.552</c:v>
                </c:pt>
                <c:pt idx="69">
                  <c:v>56.103999999999999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66-4A0E-BB95-AC4E5142ECD3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All!$BX$6:$BX$79</c:f>
              <c:numCache>
                <c:formatCode>General</c:formatCode>
                <c:ptCount val="74"/>
                <c:pt idx="4">
                  <c:v>59.564999999999998</c:v>
                </c:pt>
                <c:pt idx="5">
                  <c:v>67.712999999999994</c:v>
                </c:pt>
                <c:pt idx="6">
                  <c:v>64.213999999999999</c:v>
                </c:pt>
                <c:pt idx="10">
                  <c:v>60.637</c:v>
                </c:pt>
                <c:pt idx="11">
                  <c:v>65.094999999999999</c:v>
                </c:pt>
                <c:pt idx="12">
                  <c:v>66.028999999999996</c:v>
                </c:pt>
                <c:pt idx="16">
                  <c:v>63.43</c:v>
                </c:pt>
                <c:pt idx="20">
                  <c:v>66.808999999999997</c:v>
                </c:pt>
                <c:pt idx="21">
                  <c:v>66.100999999999999</c:v>
                </c:pt>
                <c:pt idx="23">
                  <c:v>66.808999999999997</c:v>
                </c:pt>
                <c:pt idx="24">
                  <c:v>66.100999999999999</c:v>
                </c:pt>
                <c:pt idx="25">
                  <c:v>64.477999999999994</c:v>
                </c:pt>
                <c:pt idx="29">
                  <c:v>63.158000000000001</c:v>
                </c:pt>
                <c:pt idx="33">
                  <c:v>69.135000000000005</c:v>
                </c:pt>
                <c:pt idx="34">
                  <c:v>66.075999999999993</c:v>
                </c:pt>
                <c:pt idx="35">
                  <c:v>75.597999999999999</c:v>
                </c:pt>
                <c:pt idx="39">
                  <c:v>67.338999999999999</c:v>
                </c:pt>
                <c:pt idx="40">
                  <c:v>66.063999999999993</c:v>
                </c:pt>
                <c:pt idx="41">
                  <c:v>65.941999999999993</c:v>
                </c:pt>
                <c:pt idx="42">
                  <c:v>72.811999999999998</c:v>
                </c:pt>
                <c:pt idx="43">
                  <c:v>65.861000000000004</c:v>
                </c:pt>
                <c:pt idx="44">
                  <c:v>79.477999999999994</c:v>
                </c:pt>
                <c:pt idx="48">
                  <c:v>62.781999999999996</c:v>
                </c:pt>
                <c:pt idx="49">
                  <c:v>65.39</c:v>
                </c:pt>
                <c:pt idx="50">
                  <c:v>65.438999999999993</c:v>
                </c:pt>
                <c:pt idx="54">
                  <c:v>60.819000000000003</c:v>
                </c:pt>
                <c:pt idx="55">
                  <c:v>65.147999999999996</c:v>
                </c:pt>
                <c:pt idx="56">
                  <c:v>65.683000000000007</c:v>
                </c:pt>
                <c:pt idx="60">
                  <c:v>62.902000000000001</c:v>
                </c:pt>
                <c:pt idx="61">
                  <c:v>65.602999999999994</c:v>
                </c:pt>
                <c:pt idx="62">
                  <c:v>65.914000000000001</c:v>
                </c:pt>
                <c:pt idx="63">
                  <c:v>66.105000000000004</c:v>
                </c:pt>
                <c:pt idx="67">
                  <c:v>64.832999999999998</c:v>
                </c:pt>
                <c:pt idx="68">
                  <c:v>65.975999999999999</c:v>
                </c:pt>
                <c:pt idx="69">
                  <c:v>65.132999999999996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66-4A0E-BB95-AC4E5142E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465120"/>
        <c:axId val="358465952"/>
      </c:scatterChart>
      <c:valAx>
        <c:axId val="35846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65952"/>
        <c:crosses val="autoZero"/>
        <c:crossBetween val="midCat"/>
      </c:valAx>
      <c:valAx>
        <c:axId val="358465952"/>
        <c:scaling>
          <c:orientation val="minMax"/>
          <c:max val="7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58465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All!$CA$6:$CA$79</c:f>
              <c:numCache>
                <c:formatCode>General</c:formatCode>
                <c:ptCount val="74"/>
                <c:pt idx="0">
                  <c:v>1.9470000000000001</c:v>
                </c:pt>
                <c:pt idx="4">
                  <c:v>3.16</c:v>
                </c:pt>
                <c:pt idx="5">
                  <c:v>3.3279999999999998</c:v>
                </c:pt>
                <c:pt idx="6">
                  <c:v>3.4009999999999998</c:v>
                </c:pt>
                <c:pt idx="10">
                  <c:v>3.3839999999999999</c:v>
                </c:pt>
                <c:pt idx="11">
                  <c:v>3.476</c:v>
                </c:pt>
                <c:pt idx="12">
                  <c:v>2.7959999999999998</c:v>
                </c:pt>
                <c:pt idx="16">
                  <c:v>2.827</c:v>
                </c:pt>
                <c:pt idx="20">
                  <c:v>3.2589999999999999</c:v>
                </c:pt>
                <c:pt idx="21">
                  <c:v>2.8839999999999999</c:v>
                </c:pt>
                <c:pt idx="23">
                  <c:v>3.2589999999999999</c:v>
                </c:pt>
                <c:pt idx="24">
                  <c:v>2.8839999999999999</c:v>
                </c:pt>
                <c:pt idx="25">
                  <c:v>2.988</c:v>
                </c:pt>
                <c:pt idx="29">
                  <c:v>3.2639999999999998</c:v>
                </c:pt>
                <c:pt idx="33">
                  <c:v>2.9159999999999999</c:v>
                </c:pt>
                <c:pt idx="34">
                  <c:v>3.7069999999999999</c:v>
                </c:pt>
                <c:pt idx="35">
                  <c:v>3.4180000000000001</c:v>
                </c:pt>
                <c:pt idx="39">
                  <c:v>2.9590000000000001</c:v>
                </c:pt>
                <c:pt idx="40">
                  <c:v>3.7269999999999999</c:v>
                </c:pt>
                <c:pt idx="41">
                  <c:v>4.117</c:v>
                </c:pt>
                <c:pt idx="42">
                  <c:v>3.1520000000000001</c:v>
                </c:pt>
                <c:pt idx="43">
                  <c:v>3.9009999999999998</c:v>
                </c:pt>
                <c:pt idx="44">
                  <c:v>2.5840000000000001</c:v>
                </c:pt>
                <c:pt idx="48">
                  <c:v>3.1960000000000002</c:v>
                </c:pt>
                <c:pt idx="49">
                  <c:v>3.641</c:v>
                </c:pt>
                <c:pt idx="50">
                  <c:v>3.4609999999999999</c:v>
                </c:pt>
                <c:pt idx="54">
                  <c:v>3.323</c:v>
                </c:pt>
                <c:pt idx="55">
                  <c:v>4.1760000000000002</c:v>
                </c:pt>
                <c:pt idx="56">
                  <c:v>3.4649999999999999</c:v>
                </c:pt>
                <c:pt idx="60">
                  <c:v>3.5659999999999998</c:v>
                </c:pt>
                <c:pt idx="61">
                  <c:v>3.488</c:v>
                </c:pt>
                <c:pt idx="62">
                  <c:v>3.722</c:v>
                </c:pt>
                <c:pt idx="63">
                  <c:v>3.7719999999999998</c:v>
                </c:pt>
                <c:pt idx="67">
                  <c:v>3.9940000000000002</c:v>
                </c:pt>
                <c:pt idx="68">
                  <c:v>3.1379999999999999</c:v>
                </c:pt>
                <c:pt idx="69">
                  <c:v>3.3809999999999998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7B-44A8-889B-8FBCE7D7E8A2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All!$CB$6:$CB$79</c:f>
              <c:numCache>
                <c:formatCode>General</c:formatCode>
                <c:ptCount val="74"/>
                <c:pt idx="0">
                  <c:v>1.921</c:v>
                </c:pt>
                <c:pt idx="4">
                  <c:v>2.6280000000000001</c:v>
                </c:pt>
                <c:pt idx="5">
                  <c:v>3.0859999999999999</c:v>
                </c:pt>
                <c:pt idx="6">
                  <c:v>3.0640000000000001</c:v>
                </c:pt>
                <c:pt idx="10">
                  <c:v>2.86</c:v>
                </c:pt>
                <c:pt idx="11">
                  <c:v>2.9780000000000002</c:v>
                </c:pt>
                <c:pt idx="12">
                  <c:v>3.1850000000000001</c:v>
                </c:pt>
                <c:pt idx="16">
                  <c:v>2.9489999999999998</c:v>
                </c:pt>
                <c:pt idx="20">
                  <c:v>4.1769999999999996</c:v>
                </c:pt>
                <c:pt idx="21">
                  <c:v>3.53</c:v>
                </c:pt>
                <c:pt idx="23">
                  <c:v>4.1769999999999996</c:v>
                </c:pt>
                <c:pt idx="24">
                  <c:v>3.53</c:v>
                </c:pt>
                <c:pt idx="25">
                  <c:v>2.9089999999999998</c:v>
                </c:pt>
                <c:pt idx="29">
                  <c:v>3.1560000000000001</c:v>
                </c:pt>
                <c:pt idx="33">
                  <c:v>3.7280000000000002</c:v>
                </c:pt>
                <c:pt idx="34">
                  <c:v>4.1769999999999996</c:v>
                </c:pt>
                <c:pt idx="35">
                  <c:v>3.3889999999999998</c:v>
                </c:pt>
                <c:pt idx="39">
                  <c:v>3.3090000000000002</c:v>
                </c:pt>
                <c:pt idx="40">
                  <c:v>3.9950000000000001</c:v>
                </c:pt>
                <c:pt idx="41">
                  <c:v>4.1769999999999996</c:v>
                </c:pt>
                <c:pt idx="42">
                  <c:v>3.7559999999999998</c:v>
                </c:pt>
                <c:pt idx="43">
                  <c:v>4.1769999999999996</c:v>
                </c:pt>
                <c:pt idx="44">
                  <c:v>3.5830000000000002</c:v>
                </c:pt>
                <c:pt idx="48">
                  <c:v>3.34</c:v>
                </c:pt>
                <c:pt idx="49">
                  <c:v>3.2810000000000001</c:v>
                </c:pt>
                <c:pt idx="50">
                  <c:v>3.5059999999999998</c:v>
                </c:pt>
                <c:pt idx="54">
                  <c:v>3.2509999999999999</c:v>
                </c:pt>
                <c:pt idx="55">
                  <c:v>3.2869999999999999</c:v>
                </c:pt>
                <c:pt idx="56">
                  <c:v>3.597</c:v>
                </c:pt>
                <c:pt idx="60">
                  <c:v>3.1309999999999998</c:v>
                </c:pt>
                <c:pt idx="61">
                  <c:v>3.7749999999999999</c:v>
                </c:pt>
                <c:pt idx="62">
                  <c:v>3.6419999999999999</c:v>
                </c:pt>
                <c:pt idx="63">
                  <c:v>3.2730000000000001</c:v>
                </c:pt>
                <c:pt idx="67">
                  <c:v>3.1389999999999998</c:v>
                </c:pt>
                <c:pt idx="68">
                  <c:v>3.6179999999999999</c:v>
                </c:pt>
                <c:pt idx="69">
                  <c:v>3.8820000000000001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7B-44A8-889B-8FBCE7D7E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24432"/>
        <c:axId val="381233168"/>
      </c:scatterChart>
      <c:valAx>
        <c:axId val="38122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33168"/>
        <c:crosses val="autoZero"/>
        <c:crossBetween val="midCat"/>
      </c:valAx>
      <c:valAx>
        <c:axId val="381233168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2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All!$DF$6:$DF$79</c:f>
              <c:numCache>
                <c:formatCode>General</c:formatCode>
                <c:ptCount val="74"/>
                <c:pt idx="0">
                  <c:v>0.02</c:v>
                </c:pt>
                <c:pt idx="4">
                  <c:v>0.12</c:v>
                </c:pt>
                <c:pt idx="5">
                  <c:v>0.191</c:v>
                </c:pt>
                <c:pt idx="6">
                  <c:v>0.20799999999999999</c:v>
                </c:pt>
                <c:pt idx="10">
                  <c:v>0.128</c:v>
                </c:pt>
                <c:pt idx="11">
                  <c:v>0.19400000000000001</c:v>
                </c:pt>
                <c:pt idx="12">
                  <c:v>0.126</c:v>
                </c:pt>
                <c:pt idx="16">
                  <c:v>0.22</c:v>
                </c:pt>
                <c:pt idx="20">
                  <c:v>0.16600000000000001</c:v>
                </c:pt>
                <c:pt idx="21">
                  <c:v>0.19</c:v>
                </c:pt>
                <c:pt idx="23">
                  <c:v>0.16600000000000001</c:v>
                </c:pt>
                <c:pt idx="24">
                  <c:v>0.19</c:v>
                </c:pt>
                <c:pt idx="25">
                  <c:v>0.193</c:v>
                </c:pt>
                <c:pt idx="29">
                  <c:v>0.18</c:v>
                </c:pt>
                <c:pt idx="33">
                  <c:v>0.14699999999999999</c:v>
                </c:pt>
                <c:pt idx="34">
                  <c:v>0.16500000000000001</c:v>
                </c:pt>
                <c:pt idx="35">
                  <c:v>0.14199999999999999</c:v>
                </c:pt>
                <c:pt idx="39">
                  <c:v>0.13</c:v>
                </c:pt>
                <c:pt idx="40">
                  <c:v>0.13600000000000001</c:v>
                </c:pt>
                <c:pt idx="41">
                  <c:v>0.11899999999999999</c:v>
                </c:pt>
                <c:pt idx="42">
                  <c:v>5.0999999999999997E-2</c:v>
                </c:pt>
                <c:pt idx="43">
                  <c:v>0.104</c:v>
                </c:pt>
                <c:pt idx="44">
                  <c:v>3.1E-2</c:v>
                </c:pt>
                <c:pt idx="48">
                  <c:v>0.155</c:v>
                </c:pt>
                <c:pt idx="49">
                  <c:v>0.156</c:v>
                </c:pt>
                <c:pt idx="50">
                  <c:v>0.127</c:v>
                </c:pt>
                <c:pt idx="54">
                  <c:v>0.219</c:v>
                </c:pt>
                <c:pt idx="55">
                  <c:v>0.19600000000000001</c:v>
                </c:pt>
                <c:pt idx="56">
                  <c:v>0.17799999999999999</c:v>
                </c:pt>
                <c:pt idx="60">
                  <c:v>0.157</c:v>
                </c:pt>
                <c:pt idx="61">
                  <c:v>0.158</c:v>
                </c:pt>
                <c:pt idx="62">
                  <c:v>0.18099999999999999</c:v>
                </c:pt>
                <c:pt idx="63">
                  <c:v>0.16</c:v>
                </c:pt>
                <c:pt idx="67">
                  <c:v>0.192</c:v>
                </c:pt>
                <c:pt idx="68">
                  <c:v>0.185</c:v>
                </c:pt>
                <c:pt idx="69">
                  <c:v>0.19900000000000001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B-44F3-B12B-5F49D0708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20272"/>
        <c:axId val="381217360"/>
      </c:scatterChart>
      <c:valAx>
        <c:axId val="3812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17360"/>
        <c:crosses val="autoZero"/>
        <c:crossBetween val="midCat"/>
      </c:valAx>
      <c:valAx>
        <c:axId val="38121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2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All!$DG$6:$DG$79</c:f>
              <c:numCache>
                <c:formatCode>General</c:formatCode>
                <c:ptCount val="74"/>
                <c:pt idx="0">
                  <c:v>8.1000000000000003E-2</c:v>
                </c:pt>
                <c:pt idx="4">
                  <c:v>0.73299999999999998</c:v>
                </c:pt>
                <c:pt idx="5">
                  <c:v>0.95599999999999996</c:v>
                </c:pt>
                <c:pt idx="6">
                  <c:v>0.38100000000000001</c:v>
                </c:pt>
                <c:pt idx="10">
                  <c:v>0.17899999999999999</c:v>
                </c:pt>
                <c:pt idx="11">
                  <c:v>0.61699999999999999</c:v>
                </c:pt>
                <c:pt idx="12">
                  <c:v>0.28299999999999997</c:v>
                </c:pt>
                <c:pt idx="16">
                  <c:v>0.214</c:v>
                </c:pt>
                <c:pt idx="20">
                  <c:v>0.185</c:v>
                </c:pt>
                <c:pt idx="21">
                  <c:v>0.42799999999999999</c:v>
                </c:pt>
                <c:pt idx="23">
                  <c:v>0.185</c:v>
                </c:pt>
                <c:pt idx="24">
                  <c:v>0.42799999999999999</c:v>
                </c:pt>
                <c:pt idx="25">
                  <c:v>0.67200000000000004</c:v>
                </c:pt>
                <c:pt idx="29">
                  <c:v>0.45700000000000002</c:v>
                </c:pt>
                <c:pt idx="33">
                  <c:v>0.129</c:v>
                </c:pt>
                <c:pt idx="34">
                  <c:v>1.194</c:v>
                </c:pt>
                <c:pt idx="35">
                  <c:v>0.187</c:v>
                </c:pt>
                <c:pt idx="39">
                  <c:v>0.44700000000000001</c:v>
                </c:pt>
                <c:pt idx="40">
                  <c:v>1.607</c:v>
                </c:pt>
                <c:pt idx="41">
                  <c:v>1.4330000000000001</c:v>
                </c:pt>
                <c:pt idx="42">
                  <c:v>0.69699999999999995</c:v>
                </c:pt>
                <c:pt idx="43">
                  <c:v>1.2789999999999999</c:v>
                </c:pt>
                <c:pt idx="44">
                  <c:v>0.3</c:v>
                </c:pt>
                <c:pt idx="48">
                  <c:v>0.54800000000000004</c:v>
                </c:pt>
                <c:pt idx="49">
                  <c:v>1.1879999999999999</c:v>
                </c:pt>
                <c:pt idx="50">
                  <c:v>0.61299999999999999</c:v>
                </c:pt>
                <c:pt idx="54">
                  <c:v>0.55000000000000004</c:v>
                </c:pt>
                <c:pt idx="55">
                  <c:v>1.117</c:v>
                </c:pt>
                <c:pt idx="56">
                  <c:v>0.46100000000000002</c:v>
                </c:pt>
                <c:pt idx="60">
                  <c:v>0.51</c:v>
                </c:pt>
                <c:pt idx="61">
                  <c:v>1.022</c:v>
                </c:pt>
                <c:pt idx="62">
                  <c:v>0.90600000000000003</c:v>
                </c:pt>
                <c:pt idx="63">
                  <c:v>0.47099999999999997</c:v>
                </c:pt>
                <c:pt idx="67">
                  <c:v>1.0820000000000001</c:v>
                </c:pt>
                <c:pt idx="68">
                  <c:v>0.67500000000000004</c:v>
                </c:pt>
                <c:pt idx="69">
                  <c:v>0.51700000000000002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5-4A53-8A0B-0EED6AA4B215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All!$DH$6:$DH$79</c:f>
              <c:numCache>
                <c:formatCode>General</c:formatCode>
                <c:ptCount val="74"/>
                <c:pt idx="0">
                  <c:v>0.95399999999999996</c:v>
                </c:pt>
                <c:pt idx="4">
                  <c:v>2.95</c:v>
                </c:pt>
                <c:pt idx="5">
                  <c:v>2.8410000000000002</c:v>
                </c:pt>
                <c:pt idx="6">
                  <c:v>1.9450000000000001</c:v>
                </c:pt>
                <c:pt idx="10">
                  <c:v>1.6240000000000001</c:v>
                </c:pt>
                <c:pt idx="11">
                  <c:v>1.627</c:v>
                </c:pt>
                <c:pt idx="12">
                  <c:v>1.7809999999999999</c:v>
                </c:pt>
                <c:pt idx="16">
                  <c:v>1.9730000000000001</c:v>
                </c:pt>
                <c:pt idx="20">
                  <c:v>2.5470000000000002</c:v>
                </c:pt>
                <c:pt idx="21">
                  <c:v>1.879</c:v>
                </c:pt>
                <c:pt idx="23">
                  <c:v>2.5470000000000002</c:v>
                </c:pt>
                <c:pt idx="24">
                  <c:v>1.879</c:v>
                </c:pt>
                <c:pt idx="25">
                  <c:v>2.8239999999999998</c:v>
                </c:pt>
                <c:pt idx="29">
                  <c:v>2.15</c:v>
                </c:pt>
                <c:pt idx="33">
                  <c:v>1.6539999999999999</c:v>
                </c:pt>
                <c:pt idx="34">
                  <c:v>3.355</c:v>
                </c:pt>
                <c:pt idx="35">
                  <c:v>0.754</c:v>
                </c:pt>
                <c:pt idx="39">
                  <c:v>1.712</c:v>
                </c:pt>
                <c:pt idx="40">
                  <c:v>3.4529999999999998</c:v>
                </c:pt>
                <c:pt idx="41">
                  <c:v>2.7250000000000001</c:v>
                </c:pt>
                <c:pt idx="42">
                  <c:v>2.6549999999999998</c:v>
                </c:pt>
                <c:pt idx="43">
                  <c:v>2.6760000000000002</c:v>
                </c:pt>
                <c:pt idx="44">
                  <c:v>0.90400000000000003</c:v>
                </c:pt>
                <c:pt idx="48">
                  <c:v>2.14</c:v>
                </c:pt>
                <c:pt idx="49">
                  <c:v>3.0310000000000001</c:v>
                </c:pt>
                <c:pt idx="50">
                  <c:v>2.048</c:v>
                </c:pt>
                <c:pt idx="54">
                  <c:v>2.5369999999999999</c:v>
                </c:pt>
                <c:pt idx="55">
                  <c:v>2.226</c:v>
                </c:pt>
                <c:pt idx="56">
                  <c:v>2.1190000000000002</c:v>
                </c:pt>
                <c:pt idx="60">
                  <c:v>1.921</c:v>
                </c:pt>
                <c:pt idx="61">
                  <c:v>2.3780000000000001</c:v>
                </c:pt>
                <c:pt idx="62">
                  <c:v>2.4700000000000002</c:v>
                </c:pt>
                <c:pt idx="63">
                  <c:v>2.7320000000000002</c:v>
                </c:pt>
                <c:pt idx="67">
                  <c:v>1.8009999999999999</c:v>
                </c:pt>
                <c:pt idx="68">
                  <c:v>2.0019999999999998</c:v>
                </c:pt>
                <c:pt idx="69">
                  <c:v>2.6560000000000001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5-4A53-8A0B-0EED6AA4B215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All!$DI$6:$DI$79</c:f>
              <c:numCache>
                <c:formatCode>General</c:formatCode>
                <c:ptCount val="74"/>
                <c:pt idx="0">
                  <c:v>0.89700000000000002</c:v>
                </c:pt>
                <c:pt idx="4">
                  <c:v>1.5369999999999999</c:v>
                </c:pt>
                <c:pt idx="5">
                  <c:v>1.214</c:v>
                </c:pt>
                <c:pt idx="6">
                  <c:v>1.022</c:v>
                </c:pt>
                <c:pt idx="10">
                  <c:v>0.94299999999999995</c:v>
                </c:pt>
                <c:pt idx="11">
                  <c:v>0.94799999999999995</c:v>
                </c:pt>
                <c:pt idx="12">
                  <c:v>0.97499999999999998</c:v>
                </c:pt>
                <c:pt idx="16">
                  <c:v>1.087</c:v>
                </c:pt>
                <c:pt idx="20">
                  <c:v>1.2729999999999999</c:v>
                </c:pt>
                <c:pt idx="21">
                  <c:v>1.0389999999999999</c:v>
                </c:pt>
                <c:pt idx="23">
                  <c:v>1.2729999999999999</c:v>
                </c:pt>
                <c:pt idx="24">
                  <c:v>1.0389999999999999</c:v>
                </c:pt>
                <c:pt idx="25">
                  <c:v>0.89500000000000002</c:v>
                </c:pt>
                <c:pt idx="29">
                  <c:v>1.028</c:v>
                </c:pt>
                <c:pt idx="33">
                  <c:v>1.1419999999999999</c:v>
                </c:pt>
                <c:pt idx="34">
                  <c:v>1.7809999999999999</c:v>
                </c:pt>
                <c:pt idx="35">
                  <c:v>0.66100000000000003</c:v>
                </c:pt>
                <c:pt idx="39">
                  <c:v>1.454</c:v>
                </c:pt>
                <c:pt idx="40">
                  <c:v>1.978</c:v>
                </c:pt>
                <c:pt idx="41">
                  <c:v>1.625</c:v>
                </c:pt>
                <c:pt idx="42">
                  <c:v>1.206</c:v>
                </c:pt>
                <c:pt idx="43">
                  <c:v>1.4019999999999999</c:v>
                </c:pt>
                <c:pt idx="44">
                  <c:v>0.83699999999999997</c:v>
                </c:pt>
                <c:pt idx="48">
                  <c:v>1.458</c:v>
                </c:pt>
                <c:pt idx="49">
                  <c:v>1.466</c:v>
                </c:pt>
                <c:pt idx="50">
                  <c:v>1.137</c:v>
                </c:pt>
                <c:pt idx="54">
                  <c:v>1.595</c:v>
                </c:pt>
                <c:pt idx="55">
                  <c:v>1.6639999999999999</c:v>
                </c:pt>
                <c:pt idx="56">
                  <c:v>1.0860000000000001</c:v>
                </c:pt>
                <c:pt idx="60">
                  <c:v>1.1719999999999999</c:v>
                </c:pt>
                <c:pt idx="61">
                  <c:v>1.341</c:v>
                </c:pt>
                <c:pt idx="62">
                  <c:v>1.419</c:v>
                </c:pt>
                <c:pt idx="63">
                  <c:v>1.244</c:v>
                </c:pt>
                <c:pt idx="67">
                  <c:v>1.175</c:v>
                </c:pt>
                <c:pt idx="68">
                  <c:v>1.256</c:v>
                </c:pt>
                <c:pt idx="69">
                  <c:v>1.4990000000000001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F5-4A53-8A0B-0EED6AA4B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25264"/>
        <c:axId val="381226096"/>
      </c:scatterChart>
      <c:valAx>
        <c:axId val="38122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26096"/>
        <c:crosses val="autoZero"/>
        <c:crossBetween val="midCat"/>
      </c:valAx>
      <c:valAx>
        <c:axId val="38122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2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All!$DJ$6:$DJ$79</c:f>
              <c:numCache>
                <c:formatCode>General</c:formatCode>
                <c:ptCount val="74"/>
                <c:pt idx="0">
                  <c:v>0.27600000000000002</c:v>
                </c:pt>
                <c:pt idx="4">
                  <c:v>0.30299999999999999</c:v>
                </c:pt>
                <c:pt idx="5">
                  <c:v>0.38800000000000001</c:v>
                </c:pt>
                <c:pt idx="6">
                  <c:v>0.29599999999999999</c:v>
                </c:pt>
                <c:pt idx="10">
                  <c:v>0.27</c:v>
                </c:pt>
                <c:pt idx="11">
                  <c:v>0.28999999999999998</c:v>
                </c:pt>
                <c:pt idx="12">
                  <c:v>0.3</c:v>
                </c:pt>
                <c:pt idx="16">
                  <c:v>0.23799999999999999</c:v>
                </c:pt>
                <c:pt idx="20">
                  <c:v>0.313</c:v>
                </c:pt>
                <c:pt idx="21">
                  <c:v>0.28199999999999997</c:v>
                </c:pt>
                <c:pt idx="23">
                  <c:v>0.313</c:v>
                </c:pt>
                <c:pt idx="24">
                  <c:v>0.28199999999999997</c:v>
                </c:pt>
                <c:pt idx="25">
                  <c:v>0.19</c:v>
                </c:pt>
                <c:pt idx="29">
                  <c:v>0.152</c:v>
                </c:pt>
                <c:pt idx="33">
                  <c:v>0.245</c:v>
                </c:pt>
                <c:pt idx="34">
                  <c:v>0.435</c:v>
                </c:pt>
                <c:pt idx="35">
                  <c:v>8.1000000000000003E-2</c:v>
                </c:pt>
                <c:pt idx="39">
                  <c:v>0.314</c:v>
                </c:pt>
                <c:pt idx="40">
                  <c:v>0.52900000000000003</c:v>
                </c:pt>
                <c:pt idx="41">
                  <c:v>0.374</c:v>
                </c:pt>
                <c:pt idx="42">
                  <c:v>0.23400000000000001</c:v>
                </c:pt>
                <c:pt idx="43">
                  <c:v>0.33900000000000002</c:v>
                </c:pt>
                <c:pt idx="44">
                  <c:v>0.23899999999999999</c:v>
                </c:pt>
                <c:pt idx="48">
                  <c:v>0.23899999999999999</c:v>
                </c:pt>
                <c:pt idx="49">
                  <c:v>0.28399999999999997</c:v>
                </c:pt>
                <c:pt idx="50">
                  <c:v>0.21099999999999999</c:v>
                </c:pt>
                <c:pt idx="54">
                  <c:v>0.497</c:v>
                </c:pt>
                <c:pt idx="55">
                  <c:v>0.34499999999999997</c:v>
                </c:pt>
                <c:pt idx="56">
                  <c:v>0.26300000000000001</c:v>
                </c:pt>
                <c:pt idx="60">
                  <c:v>0.33300000000000002</c:v>
                </c:pt>
                <c:pt idx="61">
                  <c:v>0.25</c:v>
                </c:pt>
                <c:pt idx="62">
                  <c:v>0.35</c:v>
                </c:pt>
                <c:pt idx="63">
                  <c:v>0.33</c:v>
                </c:pt>
                <c:pt idx="67">
                  <c:v>0.48199999999999998</c:v>
                </c:pt>
                <c:pt idx="68">
                  <c:v>0.186</c:v>
                </c:pt>
                <c:pt idx="69">
                  <c:v>0.18099999999999999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3-4D89-87EF-DA8C08CA7E7A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All!$DK$6:$DK$79</c:f>
              <c:numCache>
                <c:formatCode>General</c:formatCode>
                <c:ptCount val="74"/>
                <c:pt idx="0">
                  <c:v>0.92800000000000005</c:v>
                </c:pt>
                <c:pt idx="4">
                  <c:v>0.98</c:v>
                </c:pt>
                <c:pt idx="5">
                  <c:v>1.405</c:v>
                </c:pt>
                <c:pt idx="6">
                  <c:v>1.357</c:v>
                </c:pt>
                <c:pt idx="10">
                  <c:v>1.016</c:v>
                </c:pt>
                <c:pt idx="11">
                  <c:v>1.2929999999999999</c:v>
                </c:pt>
                <c:pt idx="12">
                  <c:v>0.97899999999999998</c:v>
                </c:pt>
                <c:pt idx="16">
                  <c:v>1.097</c:v>
                </c:pt>
                <c:pt idx="20">
                  <c:v>0.748</c:v>
                </c:pt>
                <c:pt idx="21">
                  <c:v>1.0289999999999999</c:v>
                </c:pt>
                <c:pt idx="23">
                  <c:v>0.748</c:v>
                </c:pt>
                <c:pt idx="24">
                  <c:v>1.0289999999999999</c:v>
                </c:pt>
                <c:pt idx="25">
                  <c:v>0.88500000000000001</c:v>
                </c:pt>
                <c:pt idx="29">
                  <c:v>1.03</c:v>
                </c:pt>
                <c:pt idx="33">
                  <c:v>0.996</c:v>
                </c:pt>
                <c:pt idx="34">
                  <c:v>1.085</c:v>
                </c:pt>
                <c:pt idx="35">
                  <c:v>0.69299999999999995</c:v>
                </c:pt>
                <c:pt idx="39">
                  <c:v>1.0449999999999999</c:v>
                </c:pt>
                <c:pt idx="40">
                  <c:v>1.204</c:v>
                </c:pt>
                <c:pt idx="41">
                  <c:v>0.97899999999999998</c:v>
                </c:pt>
                <c:pt idx="42">
                  <c:v>0.76600000000000001</c:v>
                </c:pt>
                <c:pt idx="43">
                  <c:v>0.86499999999999999</c:v>
                </c:pt>
                <c:pt idx="44">
                  <c:v>0.73799999999999999</c:v>
                </c:pt>
                <c:pt idx="48">
                  <c:v>1.089</c:v>
                </c:pt>
                <c:pt idx="49">
                  <c:v>1.2190000000000001</c:v>
                </c:pt>
                <c:pt idx="50">
                  <c:v>1.1990000000000001</c:v>
                </c:pt>
                <c:pt idx="54">
                  <c:v>1.2589999999999999</c:v>
                </c:pt>
                <c:pt idx="55">
                  <c:v>1.1819999999999999</c:v>
                </c:pt>
                <c:pt idx="56">
                  <c:v>1.143</c:v>
                </c:pt>
                <c:pt idx="60">
                  <c:v>1.087</c:v>
                </c:pt>
                <c:pt idx="61">
                  <c:v>1.1419999999999999</c:v>
                </c:pt>
                <c:pt idx="62">
                  <c:v>1.2669999999999999</c:v>
                </c:pt>
                <c:pt idx="63">
                  <c:v>1.0189999999999999</c:v>
                </c:pt>
                <c:pt idx="67">
                  <c:v>1.123</c:v>
                </c:pt>
                <c:pt idx="68">
                  <c:v>1.254</c:v>
                </c:pt>
                <c:pt idx="69">
                  <c:v>1.03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73-4D89-87EF-DA8C08CA7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40656"/>
        <c:axId val="381248976"/>
      </c:scatterChart>
      <c:valAx>
        <c:axId val="38124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48976"/>
        <c:crosses val="autoZero"/>
        <c:crossBetween val="midCat"/>
      </c:valAx>
      <c:valAx>
        <c:axId val="3812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4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All!$DT$6:$DT$79</c:f>
              <c:numCache>
                <c:formatCode>General</c:formatCode>
                <c:ptCount val="74"/>
                <c:pt idx="0">
                  <c:v>0.13</c:v>
                </c:pt>
                <c:pt idx="4">
                  <c:v>0.81</c:v>
                </c:pt>
                <c:pt idx="5">
                  <c:v>5.8</c:v>
                </c:pt>
                <c:pt idx="6">
                  <c:v>5.35</c:v>
                </c:pt>
                <c:pt idx="10">
                  <c:v>3.8</c:v>
                </c:pt>
                <c:pt idx="11">
                  <c:v>5.94</c:v>
                </c:pt>
                <c:pt idx="12">
                  <c:v>4.57</c:v>
                </c:pt>
                <c:pt idx="16">
                  <c:v>0.55000000000000004</c:v>
                </c:pt>
                <c:pt idx="20">
                  <c:v>4.96</c:v>
                </c:pt>
                <c:pt idx="21">
                  <c:v>5.46</c:v>
                </c:pt>
                <c:pt idx="23">
                  <c:v>4.96</c:v>
                </c:pt>
                <c:pt idx="24">
                  <c:v>5.46</c:v>
                </c:pt>
                <c:pt idx="25">
                  <c:v>0.74</c:v>
                </c:pt>
                <c:pt idx="29">
                  <c:v>2.46</c:v>
                </c:pt>
                <c:pt idx="33">
                  <c:v>2.39</c:v>
                </c:pt>
                <c:pt idx="34">
                  <c:v>6.34</c:v>
                </c:pt>
                <c:pt idx="35">
                  <c:v>0.87</c:v>
                </c:pt>
                <c:pt idx="39">
                  <c:v>2.2799999999999998</c:v>
                </c:pt>
                <c:pt idx="40">
                  <c:v>6.46</c:v>
                </c:pt>
                <c:pt idx="41">
                  <c:v>6.24</c:v>
                </c:pt>
                <c:pt idx="42">
                  <c:v>5.7</c:v>
                </c:pt>
                <c:pt idx="43">
                  <c:v>6.49</c:v>
                </c:pt>
                <c:pt idx="44">
                  <c:v>2.5299999999999998</c:v>
                </c:pt>
                <c:pt idx="48">
                  <c:v>0.48</c:v>
                </c:pt>
                <c:pt idx="49">
                  <c:v>6.33</c:v>
                </c:pt>
                <c:pt idx="50">
                  <c:v>4.92</c:v>
                </c:pt>
                <c:pt idx="54">
                  <c:v>4.01</c:v>
                </c:pt>
                <c:pt idx="55">
                  <c:v>6.48</c:v>
                </c:pt>
                <c:pt idx="56">
                  <c:v>5.09</c:v>
                </c:pt>
                <c:pt idx="60">
                  <c:v>4.09</c:v>
                </c:pt>
                <c:pt idx="61">
                  <c:v>6.55</c:v>
                </c:pt>
                <c:pt idx="62">
                  <c:v>6.42</c:v>
                </c:pt>
                <c:pt idx="63">
                  <c:v>4.55</c:v>
                </c:pt>
                <c:pt idx="67">
                  <c:v>2.06</c:v>
                </c:pt>
                <c:pt idx="68">
                  <c:v>5.17</c:v>
                </c:pt>
                <c:pt idx="69">
                  <c:v>5.17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9-481A-94D3-E2490C6F315D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All!$DU$6:$DU$79</c:f>
              <c:numCache>
                <c:formatCode>General</c:formatCode>
                <c:ptCount val="74"/>
                <c:pt idx="0">
                  <c:v>0.15</c:v>
                </c:pt>
                <c:pt idx="4">
                  <c:v>0.87</c:v>
                </c:pt>
                <c:pt idx="5">
                  <c:v>6.03</c:v>
                </c:pt>
                <c:pt idx="6">
                  <c:v>5.79</c:v>
                </c:pt>
                <c:pt idx="10">
                  <c:v>4.46</c:v>
                </c:pt>
                <c:pt idx="11">
                  <c:v>6.45</c:v>
                </c:pt>
                <c:pt idx="12">
                  <c:v>5.77</c:v>
                </c:pt>
                <c:pt idx="16">
                  <c:v>0.64</c:v>
                </c:pt>
                <c:pt idx="20">
                  <c:v>5.78</c:v>
                </c:pt>
                <c:pt idx="21">
                  <c:v>6.16</c:v>
                </c:pt>
                <c:pt idx="23">
                  <c:v>5.78</c:v>
                </c:pt>
                <c:pt idx="24">
                  <c:v>6.16</c:v>
                </c:pt>
                <c:pt idx="25">
                  <c:v>0.93</c:v>
                </c:pt>
                <c:pt idx="29">
                  <c:v>2.87</c:v>
                </c:pt>
                <c:pt idx="33">
                  <c:v>2.71</c:v>
                </c:pt>
                <c:pt idx="34">
                  <c:v>6.54</c:v>
                </c:pt>
                <c:pt idx="35">
                  <c:v>0.92</c:v>
                </c:pt>
                <c:pt idx="39">
                  <c:v>2.63</c:v>
                </c:pt>
                <c:pt idx="40">
                  <c:v>6.65</c:v>
                </c:pt>
                <c:pt idx="41">
                  <c:v>6.42</c:v>
                </c:pt>
                <c:pt idx="42">
                  <c:v>5.73</c:v>
                </c:pt>
                <c:pt idx="43">
                  <c:v>6.86</c:v>
                </c:pt>
                <c:pt idx="44">
                  <c:v>2.6</c:v>
                </c:pt>
                <c:pt idx="48">
                  <c:v>0.57999999999999996</c:v>
                </c:pt>
                <c:pt idx="49">
                  <c:v>6.82</c:v>
                </c:pt>
                <c:pt idx="50">
                  <c:v>5.27</c:v>
                </c:pt>
                <c:pt idx="54">
                  <c:v>4.2300000000000004</c:v>
                </c:pt>
                <c:pt idx="55">
                  <c:v>6.65</c:v>
                </c:pt>
                <c:pt idx="56">
                  <c:v>5.51</c:v>
                </c:pt>
                <c:pt idx="60">
                  <c:v>4.87</c:v>
                </c:pt>
                <c:pt idx="61">
                  <c:v>6.73</c:v>
                </c:pt>
                <c:pt idx="62">
                  <c:v>6.83</c:v>
                </c:pt>
                <c:pt idx="63">
                  <c:v>4.8099999999999996</c:v>
                </c:pt>
                <c:pt idx="67">
                  <c:v>2.3199999999999998</c:v>
                </c:pt>
                <c:pt idx="68">
                  <c:v>6.25</c:v>
                </c:pt>
                <c:pt idx="69">
                  <c:v>5.81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39-481A-94D3-E2490C6F315D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All!$DV$6:$DV$79</c:f>
              <c:numCache>
                <c:formatCode>General</c:formatCode>
                <c:ptCount val="74"/>
                <c:pt idx="0">
                  <c:v>0.21</c:v>
                </c:pt>
                <c:pt idx="4">
                  <c:v>1.63</c:v>
                </c:pt>
                <c:pt idx="5">
                  <c:v>11.44</c:v>
                </c:pt>
                <c:pt idx="6">
                  <c:v>10.95</c:v>
                </c:pt>
                <c:pt idx="10">
                  <c:v>8.44</c:v>
                </c:pt>
                <c:pt idx="11">
                  <c:v>12.38</c:v>
                </c:pt>
                <c:pt idx="12">
                  <c:v>10.45</c:v>
                </c:pt>
                <c:pt idx="16">
                  <c:v>1.23</c:v>
                </c:pt>
                <c:pt idx="20">
                  <c:v>10.88</c:v>
                </c:pt>
                <c:pt idx="21">
                  <c:v>11.85</c:v>
                </c:pt>
                <c:pt idx="23">
                  <c:v>10.88</c:v>
                </c:pt>
                <c:pt idx="24">
                  <c:v>11.85</c:v>
                </c:pt>
                <c:pt idx="25">
                  <c:v>1.61</c:v>
                </c:pt>
                <c:pt idx="29">
                  <c:v>5.23</c:v>
                </c:pt>
                <c:pt idx="33">
                  <c:v>7.77</c:v>
                </c:pt>
                <c:pt idx="34">
                  <c:v>18.11</c:v>
                </c:pt>
                <c:pt idx="35">
                  <c:v>2.33</c:v>
                </c:pt>
                <c:pt idx="39">
                  <c:v>7.42</c:v>
                </c:pt>
                <c:pt idx="40">
                  <c:v>18.87</c:v>
                </c:pt>
                <c:pt idx="41">
                  <c:v>18.920000000000002</c:v>
                </c:pt>
                <c:pt idx="42">
                  <c:v>17.91</c:v>
                </c:pt>
                <c:pt idx="43">
                  <c:v>19.14</c:v>
                </c:pt>
                <c:pt idx="44">
                  <c:v>7.87</c:v>
                </c:pt>
                <c:pt idx="48">
                  <c:v>1.46</c:v>
                </c:pt>
                <c:pt idx="49">
                  <c:v>17.39</c:v>
                </c:pt>
                <c:pt idx="50">
                  <c:v>14.17</c:v>
                </c:pt>
                <c:pt idx="54">
                  <c:v>12.23</c:v>
                </c:pt>
                <c:pt idx="55">
                  <c:v>18.850000000000001</c:v>
                </c:pt>
                <c:pt idx="56">
                  <c:v>15.86</c:v>
                </c:pt>
                <c:pt idx="60">
                  <c:v>14.04</c:v>
                </c:pt>
                <c:pt idx="61">
                  <c:v>18.52</c:v>
                </c:pt>
                <c:pt idx="62">
                  <c:v>19.309999999999999</c:v>
                </c:pt>
                <c:pt idx="63">
                  <c:v>14.2</c:v>
                </c:pt>
                <c:pt idx="67">
                  <c:v>6.5</c:v>
                </c:pt>
                <c:pt idx="68">
                  <c:v>17.420000000000002</c:v>
                </c:pt>
                <c:pt idx="69">
                  <c:v>17.13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39-481A-94D3-E2490C6F315D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All!$DW$6:$DW$79</c:f>
              <c:numCache>
                <c:formatCode>General</c:formatCode>
                <c:ptCount val="74"/>
                <c:pt idx="0">
                  <c:v>0.17</c:v>
                </c:pt>
                <c:pt idx="4">
                  <c:v>1.28</c:v>
                </c:pt>
                <c:pt idx="5">
                  <c:v>8.6</c:v>
                </c:pt>
                <c:pt idx="6">
                  <c:v>8.16</c:v>
                </c:pt>
                <c:pt idx="10">
                  <c:v>6.63</c:v>
                </c:pt>
                <c:pt idx="11">
                  <c:v>9.52</c:v>
                </c:pt>
                <c:pt idx="12">
                  <c:v>8.02</c:v>
                </c:pt>
                <c:pt idx="16">
                  <c:v>1</c:v>
                </c:pt>
                <c:pt idx="20">
                  <c:v>8.86</c:v>
                </c:pt>
                <c:pt idx="21">
                  <c:v>9.3699999999999992</c:v>
                </c:pt>
                <c:pt idx="23">
                  <c:v>8.86</c:v>
                </c:pt>
                <c:pt idx="24">
                  <c:v>9.3699999999999992</c:v>
                </c:pt>
                <c:pt idx="25">
                  <c:v>1.37</c:v>
                </c:pt>
                <c:pt idx="29">
                  <c:v>4.1100000000000003</c:v>
                </c:pt>
                <c:pt idx="33">
                  <c:v>6.09</c:v>
                </c:pt>
                <c:pt idx="34">
                  <c:v>14.53</c:v>
                </c:pt>
                <c:pt idx="35">
                  <c:v>1.77</c:v>
                </c:pt>
                <c:pt idx="39">
                  <c:v>6.28</c:v>
                </c:pt>
                <c:pt idx="40">
                  <c:v>15.03</c:v>
                </c:pt>
                <c:pt idx="41">
                  <c:v>15.2</c:v>
                </c:pt>
                <c:pt idx="42">
                  <c:v>14.65</c:v>
                </c:pt>
                <c:pt idx="43">
                  <c:v>16.11</c:v>
                </c:pt>
                <c:pt idx="44">
                  <c:v>6.06</c:v>
                </c:pt>
                <c:pt idx="48">
                  <c:v>1.18</c:v>
                </c:pt>
                <c:pt idx="49">
                  <c:v>14.16</c:v>
                </c:pt>
                <c:pt idx="50">
                  <c:v>11.18</c:v>
                </c:pt>
                <c:pt idx="54">
                  <c:v>10.15</c:v>
                </c:pt>
                <c:pt idx="55">
                  <c:v>14.9</c:v>
                </c:pt>
                <c:pt idx="56">
                  <c:v>12.35</c:v>
                </c:pt>
                <c:pt idx="60">
                  <c:v>11.1</c:v>
                </c:pt>
                <c:pt idx="61">
                  <c:v>14.57</c:v>
                </c:pt>
                <c:pt idx="62">
                  <c:v>15.12</c:v>
                </c:pt>
                <c:pt idx="63">
                  <c:v>11.3</c:v>
                </c:pt>
                <c:pt idx="67">
                  <c:v>5</c:v>
                </c:pt>
                <c:pt idx="68">
                  <c:v>13.33</c:v>
                </c:pt>
                <c:pt idx="69">
                  <c:v>13.46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39-481A-94D3-E2490C6F3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06544"/>
        <c:axId val="381200720"/>
      </c:scatterChart>
      <c:valAx>
        <c:axId val="38120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00720"/>
        <c:crosses val="autoZero"/>
        <c:crossBetween val="midCat"/>
      </c:valAx>
      <c:valAx>
        <c:axId val="38120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06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All!$DX$6:$DX$79</c:f>
              <c:numCache>
                <c:formatCode>General</c:formatCode>
                <c:ptCount val="74"/>
                <c:pt idx="0">
                  <c:v>0.14000000000000001</c:v>
                </c:pt>
                <c:pt idx="4">
                  <c:v>0.82</c:v>
                </c:pt>
                <c:pt idx="5">
                  <c:v>6.09</c:v>
                </c:pt>
                <c:pt idx="6">
                  <c:v>5.58</c:v>
                </c:pt>
                <c:pt idx="10">
                  <c:v>3.87</c:v>
                </c:pt>
                <c:pt idx="11">
                  <c:v>6.17</c:v>
                </c:pt>
                <c:pt idx="12">
                  <c:v>4.99</c:v>
                </c:pt>
                <c:pt idx="16">
                  <c:v>0.56000000000000005</c:v>
                </c:pt>
                <c:pt idx="20">
                  <c:v>5.0999999999999996</c:v>
                </c:pt>
                <c:pt idx="21">
                  <c:v>5.64</c:v>
                </c:pt>
                <c:pt idx="23">
                  <c:v>5.0999999999999996</c:v>
                </c:pt>
                <c:pt idx="24">
                  <c:v>5.64</c:v>
                </c:pt>
                <c:pt idx="25">
                  <c:v>0.77</c:v>
                </c:pt>
                <c:pt idx="29">
                  <c:v>2.6</c:v>
                </c:pt>
                <c:pt idx="33">
                  <c:v>2.75</c:v>
                </c:pt>
                <c:pt idx="34">
                  <c:v>6.76</c:v>
                </c:pt>
                <c:pt idx="35">
                  <c:v>1.1000000000000001</c:v>
                </c:pt>
                <c:pt idx="39">
                  <c:v>2.5</c:v>
                </c:pt>
                <c:pt idx="40">
                  <c:v>6.74</c:v>
                </c:pt>
                <c:pt idx="41">
                  <c:v>6.79</c:v>
                </c:pt>
                <c:pt idx="42">
                  <c:v>6.35</c:v>
                </c:pt>
                <c:pt idx="43">
                  <c:v>7.23</c:v>
                </c:pt>
                <c:pt idx="44">
                  <c:v>3.06</c:v>
                </c:pt>
                <c:pt idx="48">
                  <c:v>0.56999999999999995</c:v>
                </c:pt>
                <c:pt idx="49">
                  <c:v>7.1</c:v>
                </c:pt>
                <c:pt idx="50">
                  <c:v>5.54</c:v>
                </c:pt>
                <c:pt idx="54">
                  <c:v>4.45</c:v>
                </c:pt>
                <c:pt idx="55">
                  <c:v>7.18</c:v>
                </c:pt>
                <c:pt idx="56">
                  <c:v>5.51</c:v>
                </c:pt>
                <c:pt idx="60">
                  <c:v>4.7300000000000004</c:v>
                </c:pt>
                <c:pt idx="61">
                  <c:v>7.03</c:v>
                </c:pt>
                <c:pt idx="62">
                  <c:v>7.05</c:v>
                </c:pt>
                <c:pt idx="63">
                  <c:v>5.21</c:v>
                </c:pt>
                <c:pt idx="67">
                  <c:v>2.31</c:v>
                </c:pt>
                <c:pt idx="68">
                  <c:v>5.91</c:v>
                </c:pt>
                <c:pt idx="69">
                  <c:v>5.92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5-4637-B13E-C0064420FAA5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All!$DY$6:$DY$79</c:f>
              <c:numCache>
                <c:formatCode>General</c:formatCode>
                <c:ptCount val="74"/>
                <c:pt idx="0">
                  <c:v>0.15</c:v>
                </c:pt>
                <c:pt idx="4">
                  <c:v>0.85</c:v>
                </c:pt>
                <c:pt idx="5">
                  <c:v>6.18</c:v>
                </c:pt>
                <c:pt idx="6">
                  <c:v>5.96</c:v>
                </c:pt>
                <c:pt idx="10">
                  <c:v>4.4400000000000004</c:v>
                </c:pt>
                <c:pt idx="11">
                  <c:v>6.84</c:v>
                </c:pt>
                <c:pt idx="12">
                  <c:v>5.95</c:v>
                </c:pt>
                <c:pt idx="16">
                  <c:v>0.62</c:v>
                </c:pt>
                <c:pt idx="20">
                  <c:v>6.19</c:v>
                </c:pt>
                <c:pt idx="21">
                  <c:v>6.69</c:v>
                </c:pt>
                <c:pt idx="23">
                  <c:v>6.19</c:v>
                </c:pt>
                <c:pt idx="24">
                  <c:v>6.69</c:v>
                </c:pt>
                <c:pt idx="25">
                  <c:v>0.94</c:v>
                </c:pt>
                <c:pt idx="29">
                  <c:v>3.05</c:v>
                </c:pt>
                <c:pt idx="33">
                  <c:v>2.78</c:v>
                </c:pt>
                <c:pt idx="34">
                  <c:v>6.77</c:v>
                </c:pt>
                <c:pt idx="35">
                  <c:v>1.01</c:v>
                </c:pt>
                <c:pt idx="39">
                  <c:v>2.66</c:v>
                </c:pt>
                <c:pt idx="40">
                  <c:v>7.23</c:v>
                </c:pt>
                <c:pt idx="41">
                  <c:v>6.97</c:v>
                </c:pt>
                <c:pt idx="42">
                  <c:v>6.25</c:v>
                </c:pt>
                <c:pt idx="43">
                  <c:v>7.24</c:v>
                </c:pt>
                <c:pt idx="44">
                  <c:v>2.92</c:v>
                </c:pt>
                <c:pt idx="48">
                  <c:v>0.56999999999999995</c:v>
                </c:pt>
                <c:pt idx="49">
                  <c:v>7.29</c:v>
                </c:pt>
                <c:pt idx="50">
                  <c:v>5.78</c:v>
                </c:pt>
                <c:pt idx="54">
                  <c:v>4.45</c:v>
                </c:pt>
                <c:pt idx="55">
                  <c:v>7.05</c:v>
                </c:pt>
                <c:pt idx="56">
                  <c:v>6.01</c:v>
                </c:pt>
                <c:pt idx="60">
                  <c:v>4.87</c:v>
                </c:pt>
                <c:pt idx="61">
                  <c:v>7.35</c:v>
                </c:pt>
                <c:pt idx="62">
                  <c:v>7.26</c:v>
                </c:pt>
                <c:pt idx="63">
                  <c:v>5.25</c:v>
                </c:pt>
                <c:pt idx="67">
                  <c:v>2.4</c:v>
                </c:pt>
                <c:pt idx="68">
                  <c:v>6.45</c:v>
                </c:pt>
                <c:pt idx="69">
                  <c:v>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C5-4637-B13E-C0064420FAA5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All!$DZ$6:$DZ$79</c:f>
              <c:numCache>
                <c:formatCode>General</c:formatCode>
                <c:ptCount val="74"/>
                <c:pt idx="0">
                  <c:v>0.19</c:v>
                </c:pt>
                <c:pt idx="4">
                  <c:v>1.54</c:v>
                </c:pt>
                <c:pt idx="5">
                  <c:v>11.15</c:v>
                </c:pt>
                <c:pt idx="6">
                  <c:v>10.51</c:v>
                </c:pt>
                <c:pt idx="10">
                  <c:v>7.88</c:v>
                </c:pt>
                <c:pt idx="11">
                  <c:v>11.81</c:v>
                </c:pt>
                <c:pt idx="12">
                  <c:v>10.11</c:v>
                </c:pt>
                <c:pt idx="16">
                  <c:v>1.1599999999999999</c:v>
                </c:pt>
                <c:pt idx="20">
                  <c:v>10.06</c:v>
                </c:pt>
                <c:pt idx="21">
                  <c:v>11.32</c:v>
                </c:pt>
                <c:pt idx="23">
                  <c:v>10.06</c:v>
                </c:pt>
                <c:pt idx="24">
                  <c:v>11.32</c:v>
                </c:pt>
                <c:pt idx="25">
                  <c:v>1.53</c:v>
                </c:pt>
                <c:pt idx="29">
                  <c:v>5.01</c:v>
                </c:pt>
                <c:pt idx="33">
                  <c:v>7.43</c:v>
                </c:pt>
                <c:pt idx="34">
                  <c:v>17.38</c:v>
                </c:pt>
                <c:pt idx="35">
                  <c:v>2.29</c:v>
                </c:pt>
                <c:pt idx="39">
                  <c:v>7.14</c:v>
                </c:pt>
                <c:pt idx="40">
                  <c:v>18.420000000000002</c:v>
                </c:pt>
                <c:pt idx="41">
                  <c:v>18.38</c:v>
                </c:pt>
                <c:pt idx="42">
                  <c:v>17.04</c:v>
                </c:pt>
                <c:pt idx="43">
                  <c:v>18.62</c:v>
                </c:pt>
                <c:pt idx="44">
                  <c:v>7.39</c:v>
                </c:pt>
                <c:pt idx="48">
                  <c:v>1.37</c:v>
                </c:pt>
                <c:pt idx="49">
                  <c:v>16.79</c:v>
                </c:pt>
                <c:pt idx="50">
                  <c:v>13.38</c:v>
                </c:pt>
                <c:pt idx="54">
                  <c:v>11.55</c:v>
                </c:pt>
                <c:pt idx="55">
                  <c:v>18.14</c:v>
                </c:pt>
                <c:pt idx="56">
                  <c:v>15.11</c:v>
                </c:pt>
                <c:pt idx="60">
                  <c:v>13.52</c:v>
                </c:pt>
                <c:pt idx="61">
                  <c:v>17.88</c:v>
                </c:pt>
                <c:pt idx="62">
                  <c:v>18.75</c:v>
                </c:pt>
                <c:pt idx="63">
                  <c:v>13.64</c:v>
                </c:pt>
                <c:pt idx="67">
                  <c:v>6.12</c:v>
                </c:pt>
                <c:pt idx="68">
                  <c:v>16.34</c:v>
                </c:pt>
                <c:pt idx="69">
                  <c:v>16.27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C5-4637-B13E-C0064420FAA5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All!$EA$6:$EA$79</c:f>
              <c:numCache>
                <c:formatCode>General</c:formatCode>
                <c:ptCount val="74"/>
                <c:pt idx="0">
                  <c:v>0.16</c:v>
                </c:pt>
                <c:pt idx="4">
                  <c:v>1.21</c:v>
                </c:pt>
                <c:pt idx="5">
                  <c:v>8.39</c:v>
                </c:pt>
                <c:pt idx="6">
                  <c:v>8.0299999999999994</c:v>
                </c:pt>
                <c:pt idx="10">
                  <c:v>6.49</c:v>
                </c:pt>
                <c:pt idx="11">
                  <c:v>9.27</c:v>
                </c:pt>
                <c:pt idx="12">
                  <c:v>7.99</c:v>
                </c:pt>
                <c:pt idx="16">
                  <c:v>0.93</c:v>
                </c:pt>
                <c:pt idx="20">
                  <c:v>8.65</c:v>
                </c:pt>
                <c:pt idx="21">
                  <c:v>9.19</c:v>
                </c:pt>
                <c:pt idx="23">
                  <c:v>8.65</c:v>
                </c:pt>
                <c:pt idx="24">
                  <c:v>9.19</c:v>
                </c:pt>
                <c:pt idx="25">
                  <c:v>1.34</c:v>
                </c:pt>
                <c:pt idx="29">
                  <c:v>4.1500000000000004</c:v>
                </c:pt>
                <c:pt idx="33">
                  <c:v>5.9</c:v>
                </c:pt>
                <c:pt idx="34">
                  <c:v>14.4</c:v>
                </c:pt>
                <c:pt idx="35">
                  <c:v>1.79</c:v>
                </c:pt>
                <c:pt idx="39">
                  <c:v>6.04</c:v>
                </c:pt>
                <c:pt idx="40">
                  <c:v>14.95</c:v>
                </c:pt>
                <c:pt idx="41">
                  <c:v>15.09</c:v>
                </c:pt>
                <c:pt idx="42">
                  <c:v>14.51</c:v>
                </c:pt>
                <c:pt idx="43">
                  <c:v>15.84</c:v>
                </c:pt>
                <c:pt idx="44">
                  <c:v>6.04</c:v>
                </c:pt>
                <c:pt idx="48">
                  <c:v>1.1399999999999999</c:v>
                </c:pt>
                <c:pt idx="49">
                  <c:v>13.85</c:v>
                </c:pt>
                <c:pt idx="50">
                  <c:v>11.05</c:v>
                </c:pt>
                <c:pt idx="54">
                  <c:v>9.91</c:v>
                </c:pt>
                <c:pt idx="55">
                  <c:v>14.35</c:v>
                </c:pt>
                <c:pt idx="56">
                  <c:v>12.02</c:v>
                </c:pt>
                <c:pt idx="60">
                  <c:v>10.57</c:v>
                </c:pt>
                <c:pt idx="61">
                  <c:v>14.33</c:v>
                </c:pt>
                <c:pt idx="62">
                  <c:v>14.68</c:v>
                </c:pt>
                <c:pt idx="63">
                  <c:v>11.09</c:v>
                </c:pt>
                <c:pt idx="67">
                  <c:v>4.78</c:v>
                </c:pt>
                <c:pt idx="68">
                  <c:v>13.06</c:v>
                </c:pt>
                <c:pt idx="69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C5-4637-B13E-C0064420F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86160"/>
        <c:axId val="381207376"/>
      </c:scatterChart>
      <c:valAx>
        <c:axId val="38118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207376"/>
        <c:crosses val="autoZero"/>
        <c:crossBetween val="midCat"/>
      </c:valAx>
      <c:valAx>
        <c:axId val="38120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118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All!$EB$6:$EB$79</c:f>
              <c:numCache>
                <c:formatCode>General</c:formatCode>
                <c:ptCount val="74"/>
                <c:pt idx="0">
                  <c:v>9.3699999999999992</c:v>
                </c:pt>
                <c:pt idx="4">
                  <c:v>9.24</c:v>
                </c:pt>
                <c:pt idx="5">
                  <c:v>42.36</c:v>
                </c:pt>
                <c:pt idx="6">
                  <c:v>42.77</c:v>
                </c:pt>
                <c:pt idx="10">
                  <c:v>35.6</c:v>
                </c:pt>
                <c:pt idx="11">
                  <c:v>42.41</c:v>
                </c:pt>
                <c:pt idx="12">
                  <c:v>42.75</c:v>
                </c:pt>
                <c:pt idx="16">
                  <c:v>5.75</c:v>
                </c:pt>
                <c:pt idx="20">
                  <c:v>40.61</c:v>
                </c:pt>
                <c:pt idx="21">
                  <c:v>42</c:v>
                </c:pt>
                <c:pt idx="23">
                  <c:v>40.61</c:v>
                </c:pt>
                <c:pt idx="24">
                  <c:v>42</c:v>
                </c:pt>
                <c:pt idx="25">
                  <c:v>7.43</c:v>
                </c:pt>
                <c:pt idx="29">
                  <c:v>19.98</c:v>
                </c:pt>
                <c:pt idx="33">
                  <c:v>28.22</c:v>
                </c:pt>
                <c:pt idx="34">
                  <c:v>42.55</c:v>
                </c:pt>
                <c:pt idx="35">
                  <c:v>33.28</c:v>
                </c:pt>
                <c:pt idx="39">
                  <c:v>23.28</c:v>
                </c:pt>
                <c:pt idx="40">
                  <c:v>41.73</c:v>
                </c:pt>
                <c:pt idx="41">
                  <c:v>42.81</c:v>
                </c:pt>
                <c:pt idx="42">
                  <c:v>42.78</c:v>
                </c:pt>
                <c:pt idx="43">
                  <c:v>42.43</c:v>
                </c:pt>
                <c:pt idx="44">
                  <c:v>43.31</c:v>
                </c:pt>
                <c:pt idx="48">
                  <c:v>5.41</c:v>
                </c:pt>
                <c:pt idx="49">
                  <c:v>42.73</c:v>
                </c:pt>
                <c:pt idx="50">
                  <c:v>37.409999999999997</c:v>
                </c:pt>
                <c:pt idx="54">
                  <c:v>37.33</c:v>
                </c:pt>
                <c:pt idx="55">
                  <c:v>42.72</c:v>
                </c:pt>
                <c:pt idx="56">
                  <c:v>41.84</c:v>
                </c:pt>
                <c:pt idx="60">
                  <c:v>39.020000000000003</c:v>
                </c:pt>
                <c:pt idx="61">
                  <c:v>42.18</c:v>
                </c:pt>
                <c:pt idx="62">
                  <c:v>42.39</c:v>
                </c:pt>
                <c:pt idx="63">
                  <c:v>36</c:v>
                </c:pt>
                <c:pt idx="67">
                  <c:v>17.39</c:v>
                </c:pt>
                <c:pt idx="68">
                  <c:v>43.62</c:v>
                </c:pt>
                <c:pt idx="69">
                  <c:v>42.16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CD-456A-B183-61FE55759BC5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All!$EC$6:$EC$79</c:f>
              <c:numCache>
                <c:formatCode>General</c:formatCode>
                <c:ptCount val="74"/>
                <c:pt idx="0">
                  <c:v>26.8</c:v>
                </c:pt>
                <c:pt idx="4">
                  <c:v>9.31</c:v>
                </c:pt>
                <c:pt idx="5">
                  <c:v>41.49</c:v>
                </c:pt>
                <c:pt idx="6">
                  <c:v>41.56</c:v>
                </c:pt>
                <c:pt idx="10">
                  <c:v>35.31</c:v>
                </c:pt>
                <c:pt idx="11">
                  <c:v>41.72</c:v>
                </c:pt>
                <c:pt idx="12">
                  <c:v>41.83</c:v>
                </c:pt>
                <c:pt idx="16">
                  <c:v>5.47</c:v>
                </c:pt>
                <c:pt idx="20">
                  <c:v>39.299999999999997</c:v>
                </c:pt>
                <c:pt idx="21">
                  <c:v>41.43</c:v>
                </c:pt>
                <c:pt idx="23">
                  <c:v>39.299999999999997</c:v>
                </c:pt>
                <c:pt idx="24">
                  <c:v>41.43</c:v>
                </c:pt>
                <c:pt idx="25">
                  <c:v>7.09</c:v>
                </c:pt>
                <c:pt idx="29">
                  <c:v>19.829999999999998</c:v>
                </c:pt>
                <c:pt idx="33">
                  <c:v>27.37</c:v>
                </c:pt>
                <c:pt idx="34">
                  <c:v>40.270000000000003</c:v>
                </c:pt>
                <c:pt idx="35">
                  <c:v>32.03</c:v>
                </c:pt>
                <c:pt idx="39">
                  <c:v>21.71</c:v>
                </c:pt>
                <c:pt idx="40">
                  <c:v>40.5</c:v>
                </c:pt>
                <c:pt idx="41">
                  <c:v>40.5</c:v>
                </c:pt>
                <c:pt idx="42">
                  <c:v>41.16</c:v>
                </c:pt>
                <c:pt idx="43">
                  <c:v>40.01</c:v>
                </c:pt>
                <c:pt idx="44">
                  <c:v>41.78</c:v>
                </c:pt>
                <c:pt idx="48">
                  <c:v>4.91</c:v>
                </c:pt>
                <c:pt idx="49">
                  <c:v>40.75</c:v>
                </c:pt>
                <c:pt idx="50">
                  <c:v>36.409999999999997</c:v>
                </c:pt>
                <c:pt idx="54">
                  <c:v>36.08</c:v>
                </c:pt>
                <c:pt idx="55">
                  <c:v>40.42</c:v>
                </c:pt>
                <c:pt idx="56">
                  <c:v>39.68</c:v>
                </c:pt>
                <c:pt idx="60">
                  <c:v>37.700000000000003</c:v>
                </c:pt>
                <c:pt idx="61">
                  <c:v>40.56</c:v>
                </c:pt>
                <c:pt idx="62">
                  <c:v>40.26</c:v>
                </c:pt>
                <c:pt idx="63">
                  <c:v>33.51</c:v>
                </c:pt>
                <c:pt idx="67">
                  <c:v>16.36</c:v>
                </c:pt>
                <c:pt idx="68">
                  <c:v>41.61</c:v>
                </c:pt>
                <c:pt idx="69">
                  <c:v>39.85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CD-456A-B183-61FE55759BC5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All!$ED$6:$ED$79</c:f>
              <c:numCache>
                <c:formatCode>General</c:formatCode>
                <c:ptCount val="74"/>
                <c:pt idx="0">
                  <c:v>60.25</c:v>
                </c:pt>
                <c:pt idx="4">
                  <c:v>7.73</c:v>
                </c:pt>
                <c:pt idx="5">
                  <c:v>34.619999999999997</c:v>
                </c:pt>
                <c:pt idx="6">
                  <c:v>34.200000000000003</c:v>
                </c:pt>
                <c:pt idx="10">
                  <c:v>28.77</c:v>
                </c:pt>
                <c:pt idx="11">
                  <c:v>34.130000000000003</c:v>
                </c:pt>
                <c:pt idx="12">
                  <c:v>34.58</c:v>
                </c:pt>
                <c:pt idx="16">
                  <c:v>4.62</c:v>
                </c:pt>
                <c:pt idx="20">
                  <c:v>30.79</c:v>
                </c:pt>
                <c:pt idx="21">
                  <c:v>33.25</c:v>
                </c:pt>
                <c:pt idx="23">
                  <c:v>30.79</c:v>
                </c:pt>
                <c:pt idx="24">
                  <c:v>33.25</c:v>
                </c:pt>
                <c:pt idx="25">
                  <c:v>5.99</c:v>
                </c:pt>
                <c:pt idx="29">
                  <c:v>15.81</c:v>
                </c:pt>
                <c:pt idx="33">
                  <c:v>21.77</c:v>
                </c:pt>
                <c:pt idx="34">
                  <c:v>30.73</c:v>
                </c:pt>
                <c:pt idx="35">
                  <c:v>36.619999999999997</c:v>
                </c:pt>
                <c:pt idx="39">
                  <c:v>17.73</c:v>
                </c:pt>
                <c:pt idx="40">
                  <c:v>30.08</c:v>
                </c:pt>
                <c:pt idx="41">
                  <c:v>30.07</c:v>
                </c:pt>
                <c:pt idx="42">
                  <c:v>30.44</c:v>
                </c:pt>
                <c:pt idx="43">
                  <c:v>29.25</c:v>
                </c:pt>
                <c:pt idx="44">
                  <c:v>38.11</c:v>
                </c:pt>
                <c:pt idx="48">
                  <c:v>4.16</c:v>
                </c:pt>
                <c:pt idx="49">
                  <c:v>30.79</c:v>
                </c:pt>
                <c:pt idx="50">
                  <c:v>28.82</c:v>
                </c:pt>
                <c:pt idx="54">
                  <c:v>29.55</c:v>
                </c:pt>
                <c:pt idx="55">
                  <c:v>29.73</c:v>
                </c:pt>
                <c:pt idx="56">
                  <c:v>30.93</c:v>
                </c:pt>
                <c:pt idx="60">
                  <c:v>29.96</c:v>
                </c:pt>
                <c:pt idx="61">
                  <c:v>29.94</c:v>
                </c:pt>
                <c:pt idx="62">
                  <c:v>29.38</c:v>
                </c:pt>
                <c:pt idx="63">
                  <c:v>25.51</c:v>
                </c:pt>
                <c:pt idx="67">
                  <c:v>13.07</c:v>
                </c:pt>
                <c:pt idx="68">
                  <c:v>31.08</c:v>
                </c:pt>
                <c:pt idx="69">
                  <c:v>30.1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CD-456A-B183-61FE55759BC5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All!$EE$6:$EE$79</c:f>
              <c:numCache>
                <c:formatCode>General</c:formatCode>
                <c:ptCount val="74"/>
                <c:pt idx="0">
                  <c:v>7.77</c:v>
                </c:pt>
                <c:pt idx="4">
                  <c:v>8.3000000000000007</c:v>
                </c:pt>
                <c:pt idx="5">
                  <c:v>37.06</c:v>
                </c:pt>
                <c:pt idx="6">
                  <c:v>36.47</c:v>
                </c:pt>
                <c:pt idx="10">
                  <c:v>30.94</c:v>
                </c:pt>
                <c:pt idx="11">
                  <c:v>36.76</c:v>
                </c:pt>
                <c:pt idx="12">
                  <c:v>36.909999999999997</c:v>
                </c:pt>
                <c:pt idx="16">
                  <c:v>4.72</c:v>
                </c:pt>
                <c:pt idx="20">
                  <c:v>34.65</c:v>
                </c:pt>
                <c:pt idx="21">
                  <c:v>35.54</c:v>
                </c:pt>
                <c:pt idx="23">
                  <c:v>34.65</c:v>
                </c:pt>
                <c:pt idx="24">
                  <c:v>35.54</c:v>
                </c:pt>
                <c:pt idx="25">
                  <c:v>6.26</c:v>
                </c:pt>
                <c:pt idx="29">
                  <c:v>17.12</c:v>
                </c:pt>
                <c:pt idx="33">
                  <c:v>23.04</c:v>
                </c:pt>
                <c:pt idx="34">
                  <c:v>33.92</c:v>
                </c:pt>
                <c:pt idx="35">
                  <c:v>34.380000000000003</c:v>
                </c:pt>
                <c:pt idx="39">
                  <c:v>19.649999999999999</c:v>
                </c:pt>
                <c:pt idx="40">
                  <c:v>33.64</c:v>
                </c:pt>
                <c:pt idx="41">
                  <c:v>33.950000000000003</c:v>
                </c:pt>
                <c:pt idx="42">
                  <c:v>33.950000000000003</c:v>
                </c:pt>
                <c:pt idx="43">
                  <c:v>32.76</c:v>
                </c:pt>
                <c:pt idx="44">
                  <c:v>40.21</c:v>
                </c:pt>
                <c:pt idx="48">
                  <c:v>4.3</c:v>
                </c:pt>
                <c:pt idx="49">
                  <c:v>33.909999999999997</c:v>
                </c:pt>
                <c:pt idx="50">
                  <c:v>29.65</c:v>
                </c:pt>
                <c:pt idx="54">
                  <c:v>31.32</c:v>
                </c:pt>
                <c:pt idx="55">
                  <c:v>33.049999999999997</c:v>
                </c:pt>
                <c:pt idx="56">
                  <c:v>33.17</c:v>
                </c:pt>
                <c:pt idx="60">
                  <c:v>32.93</c:v>
                </c:pt>
                <c:pt idx="61">
                  <c:v>33.67</c:v>
                </c:pt>
                <c:pt idx="62">
                  <c:v>33.07</c:v>
                </c:pt>
                <c:pt idx="63">
                  <c:v>27.76</c:v>
                </c:pt>
                <c:pt idx="67">
                  <c:v>14.2</c:v>
                </c:pt>
                <c:pt idx="68">
                  <c:v>35.07</c:v>
                </c:pt>
                <c:pt idx="69">
                  <c:v>33.46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CD-456A-B183-61FE55759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13904"/>
        <c:axId val="436218064"/>
      </c:scatterChart>
      <c:valAx>
        <c:axId val="43621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18064"/>
        <c:crosses val="autoZero"/>
        <c:crossBetween val="midCat"/>
      </c:valAx>
      <c:valAx>
        <c:axId val="43621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1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All!$EF$6:$EF$79</c:f>
              <c:numCache>
                <c:formatCode>General</c:formatCode>
                <c:ptCount val="74"/>
                <c:pt idx="0">
                  <c:v>90.35</c:v>
                </c:pt>
                <c:pt idx="4">
                  <c:v>89.14</c:v>
                </c:pt>
                <c:pt idx="5">
                  <c:v>45.75</c:v>
                </c:pt>
                <c:pt idx="6">
                  <c:v>46.29</c:v>
                </c:pt>
                <c:pt idx="10">
                  <c:v>56.74</c:v>
                </c:pt>
                <c:pt idx="11">
                  <c:v>45.48</c:v>
                </c:pt>
                <c:pt idx="12">
                  <c:v>47.68</c:v>
                </c:pt>
                <c:pt idx="16">
                  <c:v>93.14</c:v>
                </c:pt>
                <c:pt idx="20">
                  <c:v>49.34</c:v>
                </c:pt>
                <c:pt idx="21">
                  <c:v>46.9</c:v>
                </c:pt>
                <c:pt idx="23">
                  <c:v>49.34</c:v>
                </c:pt>
                <c:pt idx="24">
                  <c:v>46.9</c:v>
                </c:pt>
                <c:pt idx="25">
                  <c:v>91.05</c:v>
                </c:pt>
                <c:pt idx="29">
                  <c:v>74.959999999999994</c:v>
                </c:pt>
                <c:pt idx="33">
                  <c:v>66.64</c:v>
                </c:pt>
                <c:pt idx="34">
                  <c:v>44.35</c:v>
                </c:pt>
                <c:pt idx="35">
                  <c:v>64.75</c:v>
                </c:pt>
                <c:pt idx="39">
                  <c:v>71.94</c:v>
                </c:pt>
                <c:pt idx="40">
                  <c:v>45.07</c:v>
                </c:pt>
                <c:pt idx="41">
                  <c:v>44.16</c:v>
                </c:pt>
                <c:pt idx="42">
                  <c:v>45.17</c:v>
                </c:pt>
                <c:pt idx="43">
                  <c:v>43.85</c:v>
                </c:pt>
                <c:pt idx="44">
                  <c:v>51.09</c:v>
                </c:pt>
                <c:pt idx="48">
                  <c:v>93.54</c:v>
                </c:pt>
                <c:pt idx="49">
                  <c:v>43.84</c:v>
                </c:pt>
                <c:pt idx="50">
                  <c:v>52.14</c:v>
                </c:pt>
                <c:pt idx="54">
                  <c:v>54.21</c:v>
                </c:pt>
                <c:pt idx="55">
                  <c:v>43.62</c:v>
                </c:pt>
                <c:pt idx="56">
                  <c:v>47.56</c:v>
                </c:pt>
                <c:pt idx="60">
                  <c:v>52.16</c:v>
                </c:pt>
                <c:pt idx="61">
                  <c:v>44.23</c:v>
                </c:pt>
                <c:pt idx="62">
                  <c:v>44.14</c:v>
                </c:pt>
                <c:pt idx="63">
                  <c:v>54.24</c:v>
                </c:pt>
                <c:pt idx="67">
                  <c:v>78.239999999999995</c:v>
                </c:pt>
                <c:pt idx="68">
                  <c:v>45.31</c:v>
                </c:pt>
                <c:pt idx="69">
                  <c:v>46.75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4-48E3-96C9-BAED8F42446D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All!$EG$6:$EG$79</c:f>
              <c:numCache>
                <c:formatCode>General</c:formatCode>
                <c:ptCount val="74"/>
                <c:pt idx="0">
                  <c:v>72.91</c:v>
                </c:pt>
                <c:pt idx="4">
                  <c:v>88.96</c:v>
                </c:pt>
                <c:pt idx="5">
                  <c:v>46.3</c:v>
                </c:pt>
                <c:pt idx="6">
                  <c:v>46.68</c:v>
                </c:pt>
                <c:pt idx="10">
                  <c:v>55.79</c:v>
                </c:pt>
                <c:pt idx="11">
                  <c:v>44.99</c:v>
                </c:pt>
                <c:pt idx="12">
                  <c:v>46.44</c:v>
                </c:pt>
                <c:pt idx="16">
                  <c:v>93.26</c:v>
                </c:pt>
                <c:pt idx="20">
                  <c:v>48.73</c:v>
                </c:pt>
                <c:pt idx="21">
                  <c:v>45.72</c:v>
                </c:pt>
                <c:pt idx="23">
                  <c:v>48.73</c:v>
                </c:pt>
                <c:pt idx="24">
                  <c:v>45.72</c:v>
                </c:pt>
                <c:pt idx="25">
                  <c:v>91.04</c:v>
                </c:pt>
                <c:pt idx="29">
                  <c:v>74.25</c:v>
                </c:pt>
                <c:pt idx="33">
                  <c:v>67.150000000000006</c:v>
                </c:pt>
                <c:pt idx="34">
                  <c:v>46.42</c:v>
                </c:pt>
                <c:pt idx="35">
                  <c:v>66.040000000000006</c:v>
                </c:pt>
                <c:pt idx="39">
                  <c:v>73</c:v>
                </c:pt>
                <c:pt idx="40">
                  <c:v>45.63</c:v>
                </c:pt>
                <c:pt idx="41">
                  <c:v>46.11</c:v>
                </c:pt>
                <c:pt idx="42">
                  <c:v>46.86</c:v>
                </c:pt>
                <c:pt idx="43">
                  <c:v>45.89</c:v>
                </c:pt>
                <c:pt idx="44">
                  <c:v>52.69</c:v>
                </c:pt>
                <c:pt idx="48">
                  <c:v>93.94</c:v>
                </c:pt>
                <c:pt idx="49">
                  <c:v>45.14</c:v>
                </c:pt>
                <c:pt idx="50">
                  <c:v>52.54</c:v>
                </c:pt>
                <c:pt idx="54">
                  <c:v>55.24</c:v>
                </c:pt>
                <c:pt idx="55">
                  <c:v>45.88</c:v>
                </c:pt>
                <c:pt idx="56">
                  <c:v>48.79</c:v>
                </c:pt>
                <c:pt idx="60">
                  <c:v>52.56</c:v>
                </c:pt>
                <c:pt idx="61">
                  <c:v>45.35</c:v>
                </c:pt>
                <c:pt idx="62">
                  <c:v>45.65</c:v>
                </c:pt>
                <c:pt idx="63">
                  <c:v>56.43</c:v>
                </c:pt>
                <c:pt idx="67">
                  <c:v>78.92</c:v>
                </c:pt>
                <c:pt idx="68">
                  <c:v>45.69</c:v>
                </c:pt>
                <c:pt idx="69">
                  <c:v>48.19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14-48E3-96C9-BAED8F42446D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All!$EH$6:$EH$79</c:f>
              <c:numCache>
                <c:formatCode>General</c:formatCode>
                <c:ptCount val="74"/>
                <c:pt idx="0">
                  <c:v>39.35</c:v>
                </c:pt>
                <c:pt idx="4">
                  <c:v>89.11</c:v>
                </c:pt>
                <c:pt idx="5">
                  <c:v>42.79</c:v>
                </c:pt>
                <c:pt idx="6">
                  <c:v>44.33</c:v>
                </c:pt>
                <c:pt idx="10">
                  <c:v>54.92</c:v>
                </c:pt>
                <c:pt idx="11">
                  <c:v>41.69</c:v>
                </c:pt>
                <c:pt idx="12">
                  <c:v>44.86</c:v>
                </c:pt>
                <c:pt idx="16">
                  <c:v>92.99</c:v>
                </c:pt>
                <c:pt idx="20">
                  <c:v>48.27</c:v>
                </c:pt>
                <c:pt idx="21">
                  <c:v>43.58</c:v>
                </c:pt>
                <c:pt idx="23">
                  <c:v>48.27</c:v>
                </c:pt>
                <c:pt idx="24">
                  <c:v>43.58</c:v>
                </c:pt>
                <c:pt idx="25">
                  <c:v>90.87</c:v>
                </c:pt>
                <c:pt idx="29">
                  <c:v>73.94</c:v>
                </c:pt>
                <c:pt idx="33">
                  <c:v>63.03</c:v>
                </c:pt>
                <c:pt idx="34">
                  <c:v>33.770000000000003</c:v>
                </c:pt>
                <c:pt idx="35">
                  <c:v>58.76</c:v>
                </c:pt>
                <c:pt idx="39">
                  <c:v>67.709999999999994</c:v>
                </c:pt>
                <c:pt idx="40">
                  <c:v>32.630000000000003</c:v>
                </c:pt>
                <c:pt idx="41">
                  <c:v>32.630000000000003</c:v>
                </c:pt>
                <c:pt idx="42">
                  <c:v>34.61</c:v>
                </c:pt>
                <c:pt idx="43">
                  <c:v>32.99</c:v>
                </c:pt>
                <c:pt idx="44">
                  <c:v>46.62</c:v>
                </c:pt>
                <c:pt idx="48">
                  <c:v>93.01</c:v>
                </c:pt>
                <c:pt idx="49">
                  <c:v>35.03</c:v>
                </c:pt>
                <c:pt idx="50">
                  <c:v>43.63</c:v>
                </c:pt>
                <c:pt idx="54">
                  <c:v>46.67</c:v>
                </c:pt>
                <c:pt idx="55">
                  <c:v>33.28</c:v>
                </c:pt>
                <c:pt idx="56">
                  <c:v>38.1</c:v>
                </c:pt>
                <c:pt idx="60">
                  <c:v>42.48</c:v>
                </c:pt>
                <c:pt idx="61">
                  <c:v>33.67</c:v>
                </c:pt>
                <c:pt idx="62">
                  <c:v>32.57</c:v>
                </c:pt>
                <c:pt idx="63">
                  <c:v>46.65</c:v>
                </c:pt>
                <c:pt idx="67">
                  <c:v>74.31</c:v>
                </c:pt>
                <c:pt idx="68">
                  <c:v>35.159999999999997</c:v>
                </c:pt>
                <c:pt idx="69">
                  <c:v>36.5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14-48E3-96C9-BAED8F42446D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All!$EI$6:$EI$79</c:f>
              <c:numCache>
                <c:formatCode>General</c:formatCode>
                <c:ptCount val="74"/>
                <c:pt idx="0">
                  <c:v>91.9</c:v>
                </c:pt>
                <c:pt idx="4">
                  <c:v>89.21</c:v>
                </c:pt>
                <c:pt idx="5">
                  <c:v>45.95</c:v>
                </c:pt>
                <c:pt idx="6">
                  <c:v>47.33</c:v>
                </c:pt>
                <c:pt idx="10">
                  <c:v>55.94</c:v>
                </c:pt>
                <c:pt idx="11">
                  <c:v>44.45</c:v>
                </c:pt>
                <c:pt idx="12">
                  <c:v>47.07</c:v>
                </c:pt>
                <c:pt idx="16">
                  <c:v>93.36</c:v>
                </c:pt>
                <c:pt idx="20">
                  <c:v>47.85</c:v>
                </c:pt>
                <c:pt idx="21">
                  <c:v>45.9</c:v>
                </c:pt>
                <c:pt idx="23">
                  <c:v>47.85</c:v>
                </c:pt>
                <c:pt idx="24">
                  <c:v>45.9</c:v>
                </c:pt>
                <c:pt idx="25">
                  <c:v>91.03</c:v>
                </c:pt>
                <c:pt idx="29">
                  <c:v>74.62</c:v>
                </c:pt>
                <c:pt idx="33">
                  <c:v>64.97</c:v>
                </c:pt>
                <c:pt idx="34">
                  <c:v>37.15</c:v>
                </c:pt>
                <c:pt idx="35">
                  <c:v>62.06</c:v>
                </c:pt>
                <c:pt idx="39">
                  <c:v>68.03</c:v>
                </c:pt>
                <c:pt idx="40">
                  <c:v>36.380000000000003</c:v>
                </c:pt>
                <c:pt idx="41">
                  <c:v>35.76</c:v>
                </c:pt>
                <c:pt idx="42">
                  <c:v>36.9</c:v>
                </c:pt>
                <c:pt idx="43">
                  <c:v>35.29</c:v>
                </c:pt>
                <c:pt idx="44">
                  <c:v>47.68</c:v>
                </c:pt>
                <c:pt idx="48">
                  <c:v>93.38</c:v>
                </c:pt>
                <c:pt idx="49">
                  <c:v>38.08</c:v>
                </c:pt>
                <c:pt idx="50">
                  <c:v>48.12</c:v>
                </c:pt>
                <c:pt idx="54">
                  <c:v>48.61</c:v>
                </c:pt>
                <c:pt idx="55">
                  <c:v>37.700000000000003</c:v>
                </c:pt>
                <c:pt idx="56">
                  <c:v>42.47</c:v>
                </c:pt>
                <c:pt idx="60">
                  <c:v>45.4</c:v>
                </c:pt>
                <c:pt idx="61">
                  <c:v>37.43</c:v>
                </c:pt>
                <c:pt idx="62">
                  <c:v>37.119999999999997</c:v>
                </c:pt>
                <c:pt idx="63">
                  <c:v>49.85</c:v>
                </c:pt>
                <c:pt idx="67">
                  <c:v>76.02</c:v>
                </c:pt>
                <c:pt idx="68">
                  <c:v>38.54</c:v>
                </c:pt>
                <c:pt idx="69">
                  <c:v>40.18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14-48E3-96C9-BAED8F42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78128"/>
        <c:axId val="436159824"/>
      </c:scatterChart>
      <c:valAx>
        <c:axId val="43617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59824"/>
        <c:crosses val="autoZero"/>
        <c:crossBetween val="midCat"/>
      </c:valAx>
      <c:valAx>
        <c:axId val="4361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8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All!$AD$6:$AD$79</c:f>
              <c:numCache>
                <c:formatCode>General</c:formatCode>
                <c:ptCount val="74"/>
                <c:pt idx="0">
                  <c:v>0.82899999999999996</c:v>
                </c:pt>
                <c:pt idx="4">
                  <c:v>1.601</c:v>
                </c:pt>
                <c:pt idx="5">
                  <c:v>1.6890000000000001</c:v>
                </c:pt>
                <c:pt idx="6">
                  <c:v>1.736</c:v>
                </c:pt>
                <c:pt idx="10">
                  <c:v>1.7030000000000001</c:v>
                </c:pt>
                <c:pt idx="11">
                  <c:v>1.718</c:v>
                </c:pt>
                <c:pt idx="12">
                  <c:v>1.728</c:v>
                </c:pt>
                <c:pt idx="16">
                  <c:v>1.7949999999999999</c:v>
                </c:pt>
                <c:pt idx="20">
                  <c:v>1.6839999999999999</c:v>
                </c:pt>
                <c:pt idx="21">
                  <c:v>1.722</c:v>
                </c:pt>
                <c:pt idx="23">
                  <c:v>1.6839999999999999</c:v>
                </c:pt>
                <c:pt idx="24">
                  <c:v>1.722</c:v>
                </c:pt>
                <c:pt idx="25">
                  <c:v>1.7050000000000001</c:v>
                </c:pt>
                <c:pt idx="29">
                  <c:v>1.776</c:v>
                </c:pt>
                <c:pt idx="33">
                  <c:v>1.871</c:v>
                </c:pt>
                <c:pt idx="34">
                  <c:v>1.7210000000000001</c:v>
                </c:pt>
                <c:pt idx="35">
                  <c:v>1.5780000000000001</c:v>
                </c:pt>
                <c:pt idx="39">
                  <c:v>1.62</c:v>
                </c:pt>
                <c:pt idx="40">
                  <c:v>1.7410000000000001</c:v>
                </c:pt>
                <c:pt idx="41">
                  <c:v>1.7729999999999999</c:v>
                </c:pt>
                <c:pt idx="42">
                  <c:v>1.776</c:v>
                </c:pt>
                <c:pt idx="43">
                  <c:v>1.7490000000000001</c:v>
                </c:pt>
                <c:pt idx="44">
                  <c:v>1.6639999999999999</c:v>
                </c:pt>
                <c:pt idx="48">
                  <c:v>1.653</c:v>
                </c:pt>
                <c:pt idx="49">
                  <c:v>1.8260000000000001</c:v>
                </c:pt>
                <c:pt idx="50">
                  <c:v>1.84</c:v>
                </c:pt>
                <c:pt idx="54">
                  <c:v>1.895</c:v>
                </c:pt>
                <c:pt idx="55">
                  <c:v>1.806</c:v>
                </c:pt>
                <c:pt idx="56">
                  <c:v>1.7909999999999999</c:v>
                </c:pt>
                <c:pt idx="60">
                  <c:v>1.7529999999999999</c:v>
                </c:pt>
                <c:pt idx="61">
                  <c:v>1.772</c:v>
                </c:pt>
                <c:pt idx="62">
                  <c:v>1.784</c:v>
                </c:pt>
                <c:pt idx="63">
                  <c:v>1.7889999999999999</c:v>
                </c:pt>
                <c:pt idx="67">
                  <c:v>1.7390000000000001</c:v>
                </c:pt>
                <c:pt idx="68">
                  <c:v>1.7689999999999999</c:v>
                </c:pt>
                <c:pt idx="69">
                  <c:v>1.786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F0-421B-821B-F3E76C0A7E4B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All!$AE$6:$AE$79</c:f>
              <c:numCache>
                <c:formatCode>General</c:formatCode>
                <c:ptCount val="74"/>
                <c:pt idx="0">
                  <c:v>0.878</c:v>
                </c:pt>
                <c:pt idx="4">
                  <c:v>1.667</c:v>
                </c:pt>
                <c:pt idx="5">
                  <c:v>1.7490000000000001</c:v>
                </c:pt>
                <c:pt idx="6">
                  <c:v>1.7969999999999999</c:v>
                </c:pt>
                <c:pt idx="10">
                  <c:v>1.7709999999999999</c:v>
                </c:pt>
                <c:pt idx="11">
                  <c:v>1.7849999999999999</c:v>
                </c:pt>
                <c:pt idx="12">
                  <c:v>1.8029999999999999</c:v>
                </c:pt>
                <c:pt idx="16">
                  <c:v>1.875</c:v>
                </c:pt>
                <c:pt idx="20">
                  <c:v>1.772</c:v>
                </c:pt>
                <c:pt idx="21">
                  <c:v>1.7949999999999999</c:v>
                </c:pt>
                <c:pt idx="23">
                  <c:v>1.772</c:v>
                </c:pt>
                <c:pt idx="24">
                  <c:v>1.7949999999999999</c:v>
                </c:pt>
                <c:pt idx="25">
                  <c:v>1.7509999999999999</c:v>
                </c:pt>
                <c:pt idx="29">
                  <c:v>1.8089999999999999</c:v>
                </c:pt>
                <c:pt idx="33">
                  <c:v>1.9350000000000001</c:v>
                </c:pt>
                <c:pt idx="34">
                  <c:v>1.7729999999999999</c:v>
                </c:pt>
                <c:pt idx="35">
                  <c:v>1.6419999999999999</c:v>
                </c:pt>
                <c:pt idx="39">
                  <c:v>1.673</c:v>
                </c:pt>
                <c:pt idx="40">
                  <c:v>1.79</c:v>
                </c:pt>
                <c:pt idx="41">
                  <c:v>1.8140000000000001</c:v>
                </c:pt>
                <c:pt idx="42">
                  <c:v>1.8169999999999999</c:v>
                </c:pt>
                <c:pt idx="43">
                  <c:v>1.788</c:v>
                </c:pt>
                <c:pt idx="44">
                  <c:v>1.7150000000000001</c:v>
                </c:pt>
                <c:pt idx="48">
                  <c:v>1.73</c:v>
                </c:pt>
                <c:pt idx="49">
                  <c:v>1.8720000000000001</c:v>
                </c:pt>
                <c:pt idx="50">
                  <c:v>1.885</c:v>
                </c:pt>
                <c:pt idx="54">
                  <c:v>1.9710000000000001</c:v>
                </c:pt>
                <c:pt idx="55">
                  <c:v>1.8620000000000001</c:v>
                </c:pt>
                <c:pt idx="56">
                  <c:v>1.851</c:v>
                </c:pt>
                <c:pt idx="60">
                  <c:v>1.82</c:v>
                </c:pt>
                <c:pt idx="61">
                  <c:v>1.831</c:v>
                </c:pt>
                <c:pt idx="62">
                  <c:v>1.8360000000000001</c:v>
                </c:pt>
                <c:pt idx="63">
                  <c:v>1.8440000000000001</c:v>
                </c:pt>
                <c:pt idx="67">
                  <c:v>1.8</c:v>
                </c:pt>
                <c:pt idx="68">
                  <c:v>1.8129999999999999</c:v>
                </c:pt>
                <c:pt idx="69">
                  <c:v>1.835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F0-421B-821B-F3E76C0A7E4B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All!$AF$6:$AF$79</c:f>
              <c:numCache>
                <c:formatCode>General</c:formatCode>
                <c:ptCount val="74"/>
                <c:pt idx="0">
                  <c:v>0.74399999999999999</c:v>
                </c:pt>
                <c:pt idx="4">
                  <c:v>1.5269999999999999</c:v>
                </c:pt>
                <c:pt idx="5">
                  <c:v>1.718</c:v>
                </c:pt>
                <c:pt idx="6">
                  <c:v>1.804</c:v>
                </c:pt>
                <c:pt idx="10">
                  <c:v>1.7709999999999999</c:v>
                </c:pt>
                <c:pt idx="11">
                  <c:v>1.82</c:v>
                </c:pt>
                <c:pt idx="12">
                  <c:v>1.8460000000000001</c:v>
                </c:pt>
                <c:pt idx="16">
                  <c:v>1.8009999999999999</c:v>
                </c:pt>
                <c:pt idx="20">
                  <c:v>1.7430000000000001</c:v>
                </c:pt>
                <c:pt idx="21">
                  <c:v>1.845</c:v>
                </c:pt>
                <c:pt idx="23">
                  <c:v>1.7430000000000001</c:v>
                </c:pt>
                <c:pt idx="24">
                  <c:v>1.845</c:v>
                </c:pt>
                <c:pt idx="25">
                  <c:v>1.6279999999999999</c:v>
                </c:pt>
                <c:pt idx="29">
                  <c:v>1.7270000000000001</c:v>
                </c:pt>
                <c:pt idx="33">
                  <c:v>1.722</c:v>
                </c:pt>
                <c:pt idx="34">
                  <c:v>1.6910000000000001</c:v>
                </c:pt>
                <c:pt idx="35">
                  <c:v>1.5429999999999999</c:v>
                </c:pt>
                <c:pt idx="39">
                  <c:v>1.51</c:v>
                </c:pt>
                <c:pt idx="40">
                  <c:v>1.7629999999999999</c:v>
                </c:pt>
                <c:pt idx="41">
                  <c:v>1.841</c:v>
                </c:pt>
                <c:pt idx="42">
                  <c:v>1.881</c:v>
                </c:pt>
                <c:pt idx="43">
                  <c:v>1.8640000000000001</c:v>
                </c:pt>
                <c:pt idx="44">
                  <c:v>1.7490000000000001</c:v>
                </c:pt>
                <c:pt idx="48">
                  <c:v>1.5309999999999999</c:v>
                </c:pt>
                <c:pt idx="49">
                  <c:v>1.8180000000000001</c:v>
                </c:pt>
                <c:pt idx="50">
                  <c:v>1.871</c:v>
                </c:pt>
                <c:pt idx="54">
                  <c:v>1.7909999999999999</c:v>
                </c:pt>
                <c:pt idx="55">
                  <c:v>1.8420000000000001</c:v>
                </c:pt>
                <c:pt idx="56">
                  <c:v>1.863</c:v>
                </c:pt>
                <c:pt idx="60">
                  <c:v>1.8009999999999999</c:v>
                </c:pt>
                <c:pt idx="61">
                  <c:v>1.85</c:v>
                </c:pt>
                <c:pt idx="62">
                  <c:v>1.887</c:v>
                </c:pt>
                <c:pt idx="63">
                  <c:v>1.885</c:v>
                </c:pt>
                <c:pt idx="67">
                  <c:v>1.74</c:v>
                </c:pt>
                <c:pt idx="68">
                  <c:v>1.821</c:v>
                </c:pt>
                <c:pt idx="69">
                  <c:v>1.857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F0-421B-821B-F3E76C0A7E4B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All!$AG$6:$AG$79</c:f>
              <c:numCache>
                <c:formatCode>General</c:formatCode>
                <c:ptCount val="74"/>
                <c:pt idx="0">
                  <c:v>0.752</c:v>
                </c:pt>
                <c:pt idx="4">
                  <c:v>1.546</c:v>
                </c:pt>
                <c:pt idx="5">
                  <c:v>1.706</c:v>
                </c:pt>
                <c:pt idx="6">
                  <c:v>1.7989999999999999</c:v>
                </c:pt>
                <c:pt idx="10">
                  <c:v>1.77</c:v>
                </c:pt>
                <c:pt idx="11">
                  <c:v>1.8120000000000001</c:v>
                </c:pt>
                <c:pt idx="12">
                  <c:v>1.839</c:v>
                </c:pt>
                <c:pt idx="16">
                  <c:v>1.82</c:v>
                </c:pt>
                <c:pt idx="20">
                  <c:v>1.7509999999999999</c:v>
                </c:pt>
                <c:pt idx="21">
                  <c:v>1.8340000000000001</c:v>
                </c:pt>
                <c:pt idx="23">
                  <c:v>1.7509999999999999</c:v>
                </c:pt>
                <c:pt idx="24">
                  <c:v>1.8340000000000001</c:v>
                </c:pt>
                <c:pt idx="25">
                  <c:v>1.667</c:v>
                </c:pt>
                <c:pt idx="29">
                  <c:v>1.7330000000000001</c:v>
                </c:pt>
                <c:pt idx="33">
                  <c:v>2.2349999999999999</c:v>
                </c:pt>
                <c:pt idx="34">
                  <c:v>1.7310000000000001</c:v>
                </c:pt>
                <c:pt idx="35">
                  <c:v>1.591</c:v>
                </c:pt>
                <c:pt idx="39">
                  <c:v>1.5329999999999999</c:v>
                </c:pt>
                <c:pt idx="40">
                  <c:v>1.756</c:v>
                </c:pt>
                <c:pt idx="41">
                  <c:v>1.8280000000000001</c:v>
                </c:pt>
                <c:pt idx="42">
                  <c:v>1.8660000000000001</c:v>
                </c:pt>
                <c:pt idx="43">
                  <c:v>1.843</c:v>
                </c:pt>
                <c:pt idx="44">
                  <c:v>1.742</c:v>
                </c:pt>
                <c:pt idx="48">
                  <c:v>1.5669999999999999</c:v>
                </c:pt>
                <c:pt idx="49">
                  <c:v>1.847</c:v>
                </c:pt>
                <c:pt idx="50">
                  <c:v>1.899</c:v>
                </c:pt>
                <c:pt idx="54">
                  <c:v>1.798</c:v>
                </c:pt>
                <c:pt idx="55">
                  <c:v>1.845</c:v>
                </c:pt>
                <c:pt idx="56">
                  <c:v>1.871</c:v>
                </c:pt>
                <c:pt idx="60">
                  <c:v>1.8149999999999999</c:v>
                </c:pt>
                <c:pt idx="61">
                  <c:v>1.8580000000000001</c:v>
                </c:pt>
                <c:pt idx="62">
                  <c:v>1.8879999999999999</c:v>
                </c:pt>
                <c:pt idx="63">
                  <c:v>1.909</c:v>
                </c:pt>
                <c:pt idx="67">
                  <c:v>1.772</c:v>
                </c:pt>
                <c:pt idx="68">
                  <c:v>1.8440000000000001</c:v>
                </c:pt>
                <c:pt idx="69">
                  <c:v>1.885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F0-421B-821B-F3E76C0A7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82288"/>
        <c:axId val="436163984"/>
      </c:scatterChart>
      <c:valAx>
        <c:axId val="43618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3984"/>
        <c:crosses val="autoZero"/>
        <c:crossBetween val="midCat"/>
      </c:valAx>
      <c:valAx>
        <c:axId val="436163984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2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All!$AH$6:$AH$79</c:f>
              <c:numCache>
                <c:formatCode>General</c:formatCode>
                <c:ptCount val="74"/>
                <c:pt idx="0">
                  <c:v>10.41</c:v>
                </c:pt>
                <c:pt idx="4">
                  <c:v>57.55</c:v>
                </c:pt>
                <c:pt idx="5">
                  <c:v>74.319999999999993</c:v>
                </c:pt>
                <c:pt idx="6">
                  <c:v>78.2</c:v>
                </c:pt>
                <c:pt idx="10">
                  <c:v>68.03</c:v>
                </c:pt>
                <c:pt idx="11">
                  <c:v>75.650000000000006</c:v>
                </c:pt>
                <c:pt idx="12">
                  <c:v>76.819999999999993</c:v>
                </c:pt>
                <c:pt idx="16">
                  <c:v>75.77</c:v>
                </c:pt>
                <c:pt idx="20">
                  <c:v>67.12</c:v>
                </c:pt>
                <c:pt idx="21">
                  <c:v>75.97</c:v>
                </c:pt>
                <c:pt idx="23">
                  <c:v>67.12</c:v>
                </c:pt>
                <c:pt idx="24">
                  <c:v>75.97</c:v>
                </c:pt>
                <c:pt idx="25">
                  <c:v>58.53</c:v>
                </c:pt>
                <c:pt idx="29">
                  <c:v>67.599999999999994</c:v>
                </c:pt>
                <c:pt idx="33">
                  <c:v>67.28</c:v>
                </c:pt>
                <c:pt idx="34">
                  <c:v>74.89</c:v>
                </c:pt>
                <c:pt idx="35">
                  <c:v>52.22</c:v>
                </c:pt>
                <c:pt idx="39">
                  <c:v>56.31</c:v>
                </c:pt>
                <c:pt idx="40">
                  <c:v>76</c:v>
                </c:pt>
                <c:pt idx="41">
                  <c:v>81.78</c:v>
                </c:pt>
                <c:pt idx="42">
                  <c:v>82.15</c:v>
                </c:pt>
                <c:pt idx="43">
                  <c:v>77.319999999999993</c:v>
                </c:pt>
                <c:pt idx="44">
                  <c:v>65.47</c:v>
                </c:pt>
                <c:pt idx="48">
                  <c:v>51.65</c:v>
                </c:pt>
                <c:pt idx="49">
                  <c:v>75.39</c:v>
                </c:pt>
                <c:pt idx="50">
                  <c:v>76.92</c:v>
                </c:pt>
                <c:pt idx="54">
                  <c:v>72.64</c:v>
                </c:pt>
                <c:pt idx="55">
                  <c:v>73.98</c:v>
                </c:pt>
                <c:pt idx="56">
                  <c:v>73.010000000000005</c:v>
                </c:pt>
                <c:pt idx="60">
                  <c:v>64.33</c:v>
                </c:pt>
                <c:pt idx="61">
                  <c:v>70.599999999999994</c:v>
                </c:pt>
                <c:pt idx="62">
                  <c:v>72.63</c:v>
                </c:pt>
                <c:pt idx="63">
                  <c:v>72.900000000000006</c:v>
                </c:pt>
                <c:pt idx="67">
                  <c:v>62.16</c:v>
                </c:pt>
                <c:pt idx="68">
                  <c:v>70.38</c:v>
                </c:pt>
                <c:pt idx="69">
                  <c:v>72.69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6-4146-98FC-71458599F425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All!$AI$6:$AI$79</c:f>
              <c:numCache>
                <c:formatCode>General</c:formatCode>
                <c:ptCount val="74"/>
                <c:pt idx="0">
                  <c:v>11.18</c:v>
                </c:pt>
                <c:pt idx="4">
                  <c:v>55.18</c:v>
                </c:pt>
                <c:pt idx="5">
                  <c:v>73.48</c:v>
                </c:pt>
                <c:pt idx="6">
                  <c:v>78.599999999999994</c:v>
                </c:pt>
                <c:pt idx="10">
                  <c:v>69.78</c:v>
                </c:pt>
                <c:pt idx="11">
                  <c:v>77.39</c:v>
                </c:pt>
                <c:pt idx="12">
                  <c:v>79.14</c:v>
                </c:pt>
                <c:pt idx="16">
                  <c:v>75.180000000000007</c:v>
                </c:pt>
                <c:pt idx="20">
                  <c:v>66.91</c:v>
                </c:pt>
                <c:pt idx="21">
                  <c:v>77.180000000000007</c:v>
                </c:pt>
                <c:pt idx="23">
                  <c:v>66.91</c:v>
                </c:pt>
                <c:pt idx="24">
                  <c:v>77.180000000000007</c:v>
                </c:pt>
                <c:pt idx="25">
                  <c:v>56.44</c:v>
                </c:pt>
                <c:pt idx="29">
                  <c:v>65.099999999999994</c:v>
                </c:pt>
                <c:pt idx="33">
                  <c:v>64.349999999999994</c:v>
                </c:pt>
                <c:pt idx="34">
                  <c:v>70.790000000000006</c:v>
                </c:pt>
                <c:pt idx="35">
                  <c:v>51.34</c:v>
                </c:pt>
                <c:pt idx="39">
                  <c:v>52.56</c:v>
                </c:pt>
                <c:pt idx="40">
                  <c:v>71.349999999999994</c:v>
                </c:pt>
                <c:pt idx="41">
                  <c:v>76.12</c:v>
                </c:pt>
                <c:pt idx="42">
                  <c:v>76.319999999999993</c:v>
                </c:pt>
                <c:pt idx="43">
                  <c:v>71.760000000000005</c:v>
                </c:pt>
                <c:pt idx="44">
                  <c:v>61.71</c:v>
                </c:pt>
                <c:pt idx="48">
                  <c:v>14.34</c:v>
                </c:pt>
                <c:pt idx="49">
                  <c:v>70.42</c:v>
                </c:pt>
                <c:pt idx="50">
                  <c:v>71.97</c:v>
                </c:pt>
                <c:pt idx="54">
                  <c:v>68.44</c:v>
                </c:pt>
                <c:pt idx="55">
                  <c:v>71.739999999999995</c:v>
                </c:pt>
                <c:pt idx="56">
                  <c:v>72.03</c:v>
                </c:pt>
                <c:pt idx="60">
                  <c:v>61.38</c:v>
                </c:pt>
                <c:pt idx="61">
                  <c:v>69.03</c:v>
                </c:pt>
                <c:pt idx="62">
                  <c:v>70.86</c:v>
                </c:pt>
                <c:pt idx="63">
                  <c:v>70.47</c:v>
                </c:pt>
                <c:pt idx="67">
                  <c:v>59.55</c:v>
                </c:pt>
                <c:pt idx="68">
                  <c:v>67.31</c:v>
                </c:pt>
                <c:pt idx="69">
                  <c:v>69.38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6-4146-98FC-71458599F425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All!$AJ$6:$AJ$79</c:f>
              <c:numCache>
                <c:formatCode>General</c:formatCode>
                <c:ptCount val="74"/>
                <c:pt idx="0">
                  <c:v>10.83</c:v>
                </c:pt>
                <c:pt idx="4">
                  <c:v>65.91</c:v>
                </c:pt>
                <c:pt idx="5">
                  <c:v>93.31</c:v>
                </c:pt>
                <c:pt idx="6">
                  <c:v>102.45</c:v>
                </c:pt>
                <c:pt idx="10">
                  <c:v>92.58</c:v>
                </c:pt>
                <c:pt idx="11">
                  <c:v>102.99</c:v>
                </c:pt>
                <c:pt idx="12">
                  <c:v>104.87</c:v>
                </c:pt>
                <c:pt idx="16">
                  <c:v>90.35</c:v>
                </c:pt>
                <c:pt idx="20">
                  <c:v>86.5</c:v>
                </c:pt>
                <c:pt idx="21">
                  <c:v>103.72</c:v>
                </c:pt>
                <c:pt idx="23">
                  <c:v>86.5</c:v>
                </c:pt>
                <c:pt idx="24">
                  <c:v>103.72</c:v>
                </c:pt>
                <c:pt idx="25">
                  <c:v>71.69</c:v>
                </c:pt>
                <c:pt idx="29">
                  <c:v>84.99</c:v>
                </c:pt>
                <c:pt idx="33">
                  <c:v>69.09</c:v>
                </c:pt>
                <c:pt idx="34">
                  <c:v>99.96</c:v>
                </c:pt>
                <c:pt idx="35">
                  <c:v>70.41</c:v>
                </c:pt>
                <c:pt idx="39">
                  <c:v>63.69</c:v>
                </c:pt>
                <c:pt idx="40">
                  <c:v>104.73</c:v>
                </c:pt>
                <c:pt idx="41">
                  <c:v>117.55</c:v>
                </c:pt>
                <c:pt idx="42">
                  <c:v>121.66</c:v>
                </c:pt>
                <c:pt idx="43">
                  <c:v>115.25</c:v>
                </c:pt>
                <c:pt idx="44">
                  <c:v>94.38</c:v>
                </c:pt>
                <c:pt idx="48">
                  <c:v>58.13</c:v>
                </c:pt>
                <c:pt idx="49">
                  <c:v>96.39</c:v>
                </c:pt>
                <c:pt idx="50">
                  <c:v>102.3</c:v>
                </c:pt>
                <c:pt idx="54">
                  <c:v>81.5</c:v>
                </c:pt>
                <c:pt idx="55">
                  <c:v>100.16</c:v>
                </c:pt>
                <c:pt idx="56">
                  <c:v>103.28</c:v>
                </c:pt>
                <c:pt idx="60">
                  <c:v>90.81</c:v>
                </c:pt>
                <c:pt idx="61">
                  <c:v>101.23</c:v>
                </c:pt>
                <c:pt idx="62">
                  <c:v>105.58</c:v>
                </c:pt>
                <c:pt idx="63">
                  <c:v>104.98</c:v>
                </c:pt>
                <c:pt idx="67">
                  <c:v>81.459999999999994</c:v>
                </c:pt>
                <c:pt idx="68">
                  <c:v>98.02</c:v>
                </c:pt>
                <c:pt idx="69">
                  <c:v>102.14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86-4146-98FC-71458599F425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All!$AK$6:$AK$79</c:f>
              <c:numCache>
                <c:formatCode>General</c:formatCode>
                <c:ptCount val="74"/>
                <c:pt idx="0">
                  <c:v>9.4499999999999993</c:v>
                </c:pt>
                <c:pt idx="4">
                  <c:v>62.69</c:v>
                </c:pt>
                <c:pt idx="5">
                  <c:v>87</c:v>
                </c:pt>
                <c:pt idx="6">
                  <c:v>96.74</c:v>
                </c:pt>
                <c:pt idx="10">
                  <c:v>88.23</c:v>
                </c:pt>
                <c:pt idx="11">
                  <c:v>97.04</c:v>
                </c:pt>
                <c:pt idx="12">
                  <c:v>99.89</c:v>
                </c:pt>
                <c:pt idx="16">
                  <c:v>88.18</c:v>
                </c:pt>
                <c:pt idx="20">
                  <c:v>82.69</c:v>
                </c:pt>
                <c:pt idx="21">
                  <c:v>97.29</c:v>
                </c:pt>
                <c:pt idx="23">
                  <c:v>82.69</c:v>
                </c:pt>
                <c:pt idx="24">
                  <c:v>97.29</c:v>
                </c:pt>
                <c:pt idx="25">
                  <c:v>68.77</c:v>
                </c:pt>
                <c:pt idx="29">
                  <c:v>80.52</c:v>
                </c:pt>
                <c:pt idx="33">
                  <c:v>31.19</c:v>
                </c:pt>
                <c:pt idx="34">
                  <c:v>99.91</c:v>
                </c:pt>
                <c:pt idx="35">
                  <c:v>71.25</c:v>
                </c:pt>
                <c:pt idx="39">
                  <c:v>60.52</c:v>
                </c:pt>
                <c:pt idx="40">
                  <c:v>95.18</c:v>
                </c:pt>
                <c:pt idx="41">
                  <c:v>106.55</c:v>
                </c:pt>
                <c:pt idx="42">
                  <c:v>109.74</c:v>
                </c:pt>
                <c:pt idx="43">
                  <c:v>103.9</c:v>
                </c:pt>
                <c:pt idx="44">
                  <c:v>86.45</c:v>
                </c:pt>
                <c:pt idx="48">
                  <c:v>17.27</c:v>
                </c:pt>
                <c:pt idx="49">
                  <c:v>92.66</c:v>
                </c:pt>
                <c:pt idx="50">
                  <c:v>98.51</c:v>
                </c:pt>
                <c:pt idx="54">
                  <c:v>79.010000000000005</c:v>
                </c:pt>
                <c:pt idx="55">
                  <c:v>100.06</c:v>
                </c:pt>
                <c:pt idx="56">
                  <c:v>104.12</c:v>
                </c:pt>
                <c:pt idx="60">
                  <c:v>91.85</c:v>
                </c:pt>
                <c:pt idx="61">
                  <c:v>101.73</c:v>
                </c:pt>
                <c:pt idx="62">
                  <c:v>106.03</c:v>
                </c:pt>
                <c:pt idx="63">
                  <c:v>107.68</c:v>
                </c:pt>
                <c:pt idx="67">
                  <c:v>82.65</c:v>
                </c:pt>
                <c:pt idx="68">
                  <c:v>100.51</c:v>
                </c:pt>
                <c:pt idx="69">
                  <c:v>105.19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86-4146-98FC-71458599F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84368"/>
        <c:axId val="436171888"/>
      </c:scatterChart>
      <c:valAx>
        <c:axId val="43618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1888"/>
        <c:crosses val="autoZero"/>
        <c:crossBetween val="midCat"/>
      </c:valAx>
      <c:valAx>
        <c:axId val="436171888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4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All!$FC$6:$FC$79</c:f>
              <c:numCache>
                <c:formatCode>General</c:formatCode>
                <c:ptCount val="74"/>
                <c:pt idx="0">
                  <c:v>36.066000000000003</c:v>
                </c:pt>
                <c:pt idx="4">
                  <c:v>51.177</c:v>
                </c:pt>
                <c:pt idx="5">
                  <c:v>58.655999999999999</c:v>
                </c:pt>
                <c:pt idx="6">
                  <c:v>66.212999999999994</c:v>
                </c:pt>
                <c:pt idx="10">
                  <c:v>66.549000000000007</c:v>
                </c:pt>
                <c:pt idx="11">
                  <c:v>65.677000000000007</c:v>
                </c:pt>
                <c:pt idx="12">
                  <c:v>67.373999999999995</c:v>
                </c:pt>
                <c:pt idx="16">
                  <c:v>78.337000000000003</c:v>
                </c:pt>
                <c:pt idx="20">
                  <c:v>63.35</c:v>
                </c:pt>
                <c:pt idx="21">
                  <c:v>65.563999999999993</c:v>
                </c:pt>
                <c:pt idx="23">
                  <c:v>63.35</c:v>
                </c:pt>
                <c:pt idx="24">
                  <c:v>65.563999999999993</c:v>
                </c:pt>
                <c:pt idx="25">
                  <c:v>53.414000000000001</c:v>
                </c:pt>
                <c:pt idx="29">
                  <c:v>61.575000000000003</c:v>
                </c:pt>
                <c:pt idx="33">
                  <c:v>75.915999999999997</c:v>
                </c:pt>
                <c:pt idx="34">
                  <c:v>68.872</c:v>
                </c:pt>
                <c:pt idx="35">
                  <c:v>62.872999999999998</c:v>
                </c:pt>
                <c:pt idx="39">
                  <c:v>60.786000000000001</c:v>
                </c:pt>
                <c:pt idx="40">
                  <c:v>68.721000000000004</c:v>
                </c:pt>
                <c:pt idx="41">
                  <c:v>71.825999999999993</c:v>
                </c:pt>
                <c:pt idx="42">
                  <c:v>73.322999999999993</c:v>
                </c:pt>
                <c:pt idx="43">
                  <c:v>71.367000000000004</c:v>
                </c:pt>
                <c:pt idx="44">
                  <c:v>65.674000000000007</c:v>
                </c:pt>
                <c:pt idx="48">
                  <c:v>58.780999999999999</c:v>
                </c:pt>
                <c:pt idx="49">
                  <c:v>65.55</c:v>
                </c:pt>
                <c:pt idx="50">
                  <c:v>66.48</c:v>
                </c:pt>
                <c:pt idx="54">
                  <c:v>84.049000000000007</c:v>
                </c:pt>
                <c:pt idx="55">
                  <c:v>69.188999999999993</c:v>
                </c:pt>
                <c:pt idx="56">
                  <c:v>66.775999999999996</c:v>
                </c:pt>
                <c:pt idx="60">
                  <c:v>64.203999999999994</c:v>
                </c:pt>
                <c:pt idx="61">
                  <c:v>63.933999999999997</c:v>
                </c:pt>
                <c:pt idx="62">
                  <c:v>65.763999999999996</c:v>
                </c:pt>
                <c:pt idx="63">
                  <c:v>66.263999999999996</c:v>
                </c:pt>
                <c:pt idx="67">
                  <c:v>61.320999999999998</c:v>
                </c:pt>
                <c:pt idx="68">
                  <c:v>63.161999999999999</c:v>
                </c:pt>
                <c:pt idx="69">
                  <c:v>65.585999999999999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E-43CF-83BD-D04C5979CB3C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All!$FD$6:$FD$79</c:f>
              <c:numCache>
                <c:formatCode>General</c:formatCode>
                <c:ptCount val="74"/>
                <c:pt idx="0">
                  <c:v>37.192999999999998</c:v>
                </c:pt>
                <c:pt idx="4">
                  <c:v>48.773000000000003</c:v>
                </c:pt>
                <c:pt idx="5">
                  <c:v>56.905999999999999</c:v>
                </c:pt>
                <c:pt idx="6">
                  <c:v>64.942999999999998</c:v>
                </c:pt>
                <c:pt idx="10">
                  <c:v>65.661000000000001</c:v>
                </c:pt>
                <c:pt idx="11">
                  <c:v>64.867000000000004</c:v>
                </c:pt>
                <c:pt idx="12">
                  <c:v>66.8</c:v>
                </c:pt>
                <c:pt idx="16">
                  <c:v>79.212999999999994</c:v>
                </c:pt>
                <c:pt idx="20">
                  <c:v>66.111999999999995</c:v>
                </c:pt>
                <c:pt idx="21">
                  <c:v>66.201999999999998</c:v>
                </c:pt>
                <c:pt idx="23">
                  <c:v>66.111999999999995</c:v>
                </c:pt>
                <c:pt idx="24">
                  <c:v>66.201999999999998</c:v>
                </c:pt>
                <c:pt idx="25">
                  <c:v>52.719000000000001</c:v>
                </c:pt>
                <c:pt idx="29">
                  <c:v>58.661000000000001</c:v>
                </c:pt>
                <c:pt idx="33">
                  <c:v>74.825999999999993</c:v>
                </c:pt>
                <c:pt idx="34">
                  <c:v>66.161000000000001</c:v>
                </c:pt>
                <c:pt idx="35">
                  <c:v>59.869</c:v>
                </c:pt>
                <c:pt idx="39">
                  <c:v>57.826000000000001</c:v>
                </c:pt>
                <c:pt idx="40">
                  <c:v>66.105000000000004</c:v>
                </c:pt>
                <c:pt idx="41">
                  <c:v>67.662999999999997</c:v>
                </c:pt>
                <c:pt idx="42">
                  <c:v>68.566000000000003</c:v>
                </c:pt>
                <c:pt idx="43">
                  <c:v>66.769000000000005</c:v>
                </c:pt>
                <c:pt idx="44">
                  <c:v>61.746000000000002</c:v>
                </c:pt>
                <c:pt idx="48">
                  <c:v>37.957999999999998</c:v>
                </c:pt>
                <c:pt idx="49">
                  <c:v>63.597000000000001</c:v>
                </c:pt>
                <c:pt idx="50">
                  <c:v>63.77</c:v>
                </c:pt>
                <c:pt idx="54">
                  <c:v>85.991</c:v>
                </c:pt>
                <c:pt idx="55">
                  <c:v>68.564999999999998</c:v>
                </c:pt>
                <c:pt idx="56">
                  <c:v>65.335999999999999</c:v>
                </c:pt>
                <c:pt idx="60">
                  <c:v>63.420999999999999</c:v>
                </c:pt>
                <c:pt idx="61">
                  <c:v>62.884</c:v>
                </c:pt>
                <c:pt idx="62">
                  <c:v>64.180000000000007</c:v>
                </c:pt>
                <c:pt idx="63">
                  <c:v>64.319000000000003</c:v>
                </c:pt>
                <c:pt idx="67">
                  <c:v>60.143000000000001</c:v>
                </c:pt>
                <c:pt idx="68">
                  <c:v>60.618000000000002</c:v>
                </c:pt>
                <c:pt idx="69">
                  <c:v>63.396000000000001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E-43CF-83BD-D04C5979CB3C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All!$FE$6:$FE$79</c:f>
              <c:numCache>
                <c:formatCode>General</c:formatCode>
                <c:ptCount val="74"/>
                <c:pt idx="0">
                  <c:v>36.786000000000001</c:v>
                </c:pt>
                <c:pt idx="4">
                  <c:v>54.884999999999998</c:v>
                </c:pt>
                <c:pt idx="5">
                  <c:v>67.478999999999999</c:v>
                </c:pt>
                <c:pt idx="6">
                  <c:v>78.116</c:v>
                </c:pt>
                <c:pt idx="10">
                  <c:v>78.382000000000005</c:v>
                </c:pt>
                <c:pt idx="11">
                  <c:v>80.852999999999994</c:v>
                </c:pt>
                <c:pt idx="12">
                  <c:v>83.727000000000004</c:v>
                </c:pt>
                <c:pt idx="16">
                  <c:v>90.873999999999995</c:v>
                </c:pt>
                <c:pt idx="20">
                  <c:v>78.210999999999999</c:v>
                </c:pt>
                <c:pt idx="21">
                  <c:v>83.25</c:v>
                </c:pt>
                <c:pt idx="23">
                  <c:v>78.210999999999999</c:v>
                </c:pt>
                <c:pt idx="24">
                  <c:v>83.25</c:v>
                </c:pt>
                <c:pt idx="25">
                  <c:v>60.68</c:v>
                </c:pt>
                <c:pt idx="29">
                  <c:v>69.325000000000003</c:v>
                </c:pt>
                <c:pt idx="33">
                  <c:v>76.539000000000001</c:v>
                </c:pt>
                <c:pt idx="34">
                  <c:v>76.260000000000005</c:v>
                </c:pt>
                <c:pt idx="35">
                  <c:v>72.331000000000003</c:v>
                </c:pt>
                <c:pt idx="39">
                  <c:v>62.981999999999999</c:v>
                </c:pt>
                <c:pt idx="40">
                  <c:v>76.835999999999999</c:v>
                </c:pt>
                <c:pt idx="41">
                  <c:v>84.820999999999998</c:v>
                </c:pt>
                <c:pt idx="42">
                  <c:v>89.769000000000005</c:v>
                </c:pt>
                <c:pt idx="43">
                  <c:v>88.697000000000003</c:v>
                </c:pt>
                <c:pt idx="44">
                  <c:v>80.501000000000005</c:v>
                </c:pt>
                <c:pt idx="48">
                  <c:v>61.143999999999998</c:v>
                </c:pt>
                <c:pt idx="49">
                  <c:v>73.772000000000006</c:v>
                </c:pt>
                <c:pt idx="50">
                  <c:v>79.114999999999995</c:v>
                </c:pt>
                <c:pt idx="54">
                  <c:v>87.222999999999999</c:v>
                </c:pt>
                <c:pt idx="55">
                  <c:v>77.861000000000004</c:v>
                </c:pt>
                <c:pt idx="56">
                  <c:v>79.475999999999999</c:v>
                </c:pt>
                <c:pt idx="60">
                  <c:v>75.183000000000007</c:v>
                </c:pt>
                <c:pt idx="61">
                  <c:v>76.918999999999997</c:v>
                </c:pt>
                <c:pt idx="62">
                  <c:v>81.192999999999998</c:v>
                </c:pt>
                <c:pt idx="63">
                  <c:v>82.206000000000003</c:v>
                </c:pt>
                <c:pt idx="67">
                  <c:v>70.198999999999998</c:v>
                </c:pt>
                <c:pt idx="68">
                  <c:v>73.319999999999993</c:v>
                </c:pt>
                <c:pt idx="69">
                  <c:v>77.995000000000005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2E-43CF-83BD-D04C5979CB3C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All!$FF$6:$FF$79</c:f>
              <c:numCache>
                <c:formatCode>General</c:formatCode>
                <c:ptCount val="74"/>
                <c:pt idx="0">
                  <c:v>36.271000000000001</c:v>
                </c:pt>
                <c:pt idx="4">
                  <c:v>55.912999999999997</c:v>
                </c:pt>
                <c:pt idx="5">
                  <c:v>64.132999999999996</c:v>
                </c:pt>
                <c:pt idx="6">
                  <c:v>74.483000000000004</c:v>
                </c:pt>
                <c:pt idx="10">
                  <c:v>75.531999999999996</c:v>
                </c:pt>
                <c:pt idx="11">
                  <c:v>77.066999999999993</c:v>
                </c:pt>
                <c:pt idx="12">
                  <c:v>79.935000000000002</c:v>
                </c:pt>
                <c:pt idx="16">
                  <c:v>88.275999999999996</c:v>
                </c:pt>
                <c:pt idx="20">
                  <c:v>74.929000000000002</c:v>
                </c:pt>
                <c:pt idx="21">
                  <c:v>78.960999999999999</c:v>
                </c:pt>
                <c:pt idx="23">
                  <c:v>74.929000000000002</c:v>
                </c:pt>
                <c:pt idx="24">
                  <c:v>78.960999999999999</c:v>
                </c:pt>
                <c:pt idx="25">
                  <c:v>59.655000000000001</c:v>
                </c:pt>
                <c:pt idx="29">
                  <c:v>66.614000000000004</c:v>
                </c:pt>
                <c:pt idx="33">
                  <c:v>46.216999999999999</c:v>
                </c:pt>
                <c:pt idx="34">
                  <c:v>72.694999999999993</c:v>
                </c:pt>
                <c:pt idx="35">
                  <c:v>69.683999999999997</c:v>
                </c:pt>
                <c:pt idx="39">
                  <c:v>60.695999999999998</c:v>
                </c:pt>
                <c:pt idx="40">
                  <c:v>72.915000000000006</c:v>
                </c:pt>
                <c:pt idx="41">
                  <c:v>80.221000000000004</c:v>
                </c:pt>
                <c:pt idx="42">
                  <c:v>84.353999999999999</c:v>
                </c:pt>
                <c:pt idx="43">
                  <c:v>83.141999999999996</c:v>
                </c:pt>
                <c:pt idx="44">
                  <c:v>76.212000000000003</c:v>
                </c:pt>
                <c:pt idx="48">
                  <c:v>37.308999999999997</c:v>
                </c:pt>
                <c:pt idx="49">
                  <c:v>71.819000000000003</c:v>
                </c:pt>
                <c:pt idx="50">
                  <c:v>76.498000000000005</c:v>
                </c:pt>
                <c:pt idx="54">
                  <c:v>85.536000000000001</c:v>
                </c:pt>
                <c:pt idx="55">
                  <c:v>75.605000000000004</c:v>
                </c:pt>
                <c:pt idx="56">
                  <c:v>77.260999999999996</c:v>
                </c:pt>
                <c:pt idx="60">
                  <c:v>73.903999999999996</c:v>
                </c:pt>
                <c:pt idx="61">
                  <c:v>75.066000000000003</c:v>
                </c:pt>
                <c:pt idx="62">
                  <c:v>78.793999999999997</c:v>
                </c:pt>
                <c:pt idx="63">
                  <c:v>80.831000000000003</c:v>
                </c:pt>
                <c:pt idx="67">
                  <c:v>71.64</c:v>
                </c:pt>
                <c:pt idx="68">
                  <c:v>73.596000000000004</c:v>
                </c:pt>
                <c:pt idx="69">
                  <c:v>78.203000000000003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2E-43CF-83BD-D04C5979C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81456"/>
        <c:axId val="436165648"/>
      </c:scatterChart>
      <c:valAx>
        <c:axId val="43618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5648"/>
        <c:crosses val="autoZero"/>
        <c:crossBetween val="midCat"/>
      </c:valAx>
      <c:valAx>
        <c:axId val="436165648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0.2</c:v>
                </c:pt>
                <c:pt idx="10">
                  <c:v>0</c:v>
                </c:pt>
                <c:pt idx="11">
                  <c:v>0</c:v>
                </c:pt>
                <c:pt idx="12">
                  <c:v>0.1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0.1</c:v>
                </c:pt>
                <c:pt idx="50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0.2</c:v>
                </c:pt>
                <c:pt idx="60">
                  <c:v>0</c:v>
                </c:pt>
                <c:pt idx="61">
                  <c:v>0.1</c:v>
                </c:pt>
                <c:pt idx="62">
                  <c:v>0</c:v>
                </c:pt>
                <c:pt idx="63">
                  <c:v>0.4</c:v>
                </c:pt>
                <c:pt idx="67">
                  <c:v>0.1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0A-42AE-A398-23DCF3999744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All!$CM$6:$CM$79</c:f>
              <c:numCache>
                <c:formatCode>General</c:formatCode>
                <c:ptCount val="74"/>
                <c:pt idx="0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0.1</c:v>
                </c:pt>
                <c:pt idx="10">
                  <c:v>0</c:v>
                </c:pt>
                <c:pt idx="11">
                  <c:v>0.2</c:v>
                </c:pt>
                <c:pt idx="12">
                  <c:v>0.1</c:v>
                </c:pt>
                <c:pt idx="16">
                  <c:v>0</c:v>
                </c:pt>
                <c:pt idx="20">
                  <c:v>0</c:v>
                </c:pt>
                <c:pt idx="21">
                  <c:v>0.1</c:v>
                </c:pt>
                <c:pt idx="23">
                  <c:v>0</c:v>
                </c:pt>
                <c:pt idx="24">
                  <c:v>0.1</c:v>
                </c:pt>
                <c:pt idx="25">
                  <c:v>0.1</c:v>
                </c:pt>
                <c:pt idx="29">
                  <c:v>0.2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9">
                  <c:v>0</c:v>
                </c:pt>
                <c:pt idx="40">
                  <c:v>0.2</c:v>
                </c:pt>
                <c:pt idx="41">
                  <c:v>0.7</c:v>
                </c:pt>
                <c:pt idx="42">
                  <c:v>0.3</c:v>
                </c:pt>
                <c:pt idx="43">
                  <c:v>0.7</c:v>
                </c:pt>
                <c:pt idx="44">
                  <c:v>0</c:v>
                </c:pt>
                <c:pt idx="48">
                  <c:v>0.3</c:v>
                </c:pt>
                <c:pt idx="49">
                  <c:v>0.5</c:v>
                </c:pt>
                <c:pt idx="50">
                  <c:v>1</c:v>
                </c:pt>
                <c:pt idx="54">
                  <c:v>0.3</c:v>
                </c:pt>
                <c:pt idx="55">
                  <c:v>0.4</c:v>
                </c:pt>
                <c:pt idx="56">
                  <c:v>0.3</c:v>
                </c:pt>
                <c:pt idx="60">
                  <c:v>0.2</c:v>
                </c:pt>
                <c:pt idx="61">
                  <c:v>0.4</c:v>
                </c:pt>
                <c:pt idx="62">
                  <c:v>1.1000000000000001</c:v>
                </c:pt>
                <c:pt idx="63">
                  <c:v>0.9</c:v>
                </c:pt>
                <c:pt idx="67">
                  <c:v>2.6</c:v>
                </c:pt>
                <c:pt idx="68">
                  <c:v>0.7</c:v>
                </c:pt>
                <c:pt idx="6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0A-42AE-A398-23DCF3999744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0.8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0A-42AE-A398-23DCF3999744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0.8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0A-42AE-A398-23DCF3999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64400"/>
        <c:axId val="436181456"/>
      </c:scatterChart>
      <c:valAx>
        <c:axId val="43616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1456"/>
        <c:crosses val="autoZero"/>
        <c:crossBetween val="midCat"/>
      </c:valAx>
      <c:valAx>
        <c:axId val="43618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All!$V$6:$V$79</c:f>
              <c:numCache>
                <c:formatCode>General</c:formatCode>
                <c:ptCount val="74"/>
                <c:pt idx="0">
                  <c:v>70</c:v>
                </c:pt>
                <c:pt idx="4">
                  <c:v>70</c:v>
                </c:pt>
                <c:pt idx="5">
                  <c:v>216.66</c:v>
                </c:pt>
                <c:pt idx="6">
                  <c:v>238.34</c:v>
                </c:pt>
                <c:pt idx="10">
                  <c:v>172.5</c:v>
                </c:pt>
                <c:pt idx="11">
                  <c:v>248.34</c:v>
                </c:pt>
                <c:pt idx="12">
                  <c:v>236.66</c:v>
                </c:pt>
                <c:pt idx="16">
                  <c:v>70</c:v>
                </c:pt>
                <c:pt idx="20">
                  <c:v>187.5</c:v>
                </c:pt>
                <c:pt idx="21">
                  <c:v>310</c:v>
                </c:pt>
                <c:pt idx="23">
                  <c:v>187.5</c:v>
                </c:pt>
                <c:pt idx="24">
                  <c:v>310</c:v>
                </c:pt>
                <c:pt idx="25">
                  <c:v>120</c:v>
                </c:pt>
                <c:pt idx="29">
                  <c:v>223.34</c:v>
                </c:pt>
                <c:pt idx="33">
                  <c:v>70</c:v>
                </c:pt>
                <c:pt idx="34">
                  <c:v>298.33999999999997</c:v>
                </c:pt>
                <c:pt idx="35">
                  <c:v>80</c:v>
                </c:pt>
                <c:pt idx="39">
                  <c:v>107.5</c:v>
                </c:pt>
                <c:pt idx="40">
                  <c:v>261.66000000000003</c:v>
                </c:pt>
                <c:pt idx="41">
                  <c:v>266.66000000000003</c:v>
                </c:pt>
                <c:pt idx="42">
                  <c:v>270</c:v>
                </c:pt>
                <c:pt idx="43">
                  <c:v>263.33999999999997</c:v>
                </c:pt>
                <c:pt idx="44">
                  <c:v>110</c:v>
                </c:pt>
                <c:pt idx="48">
                  <c:v>70</c:v>
                </c:pt>
                <c:pt idx="49">
                  <c:v>235</c:v>
                </c:pt>
                <c:pt idx="50">
                  <c:v>258.33999999999997</c:v>
                </c:pt>
                <c:pt idx="54">
                  <c:v>160</c:v>
                </c:pt>
                <c:pt idx="55">
                  <c:v>246.66</c:v>
                </c:pt>
                <c:pt idx="56">
                  <c:v>238.34</c:v>
                </c:pt>
                <c:pt idx="60">
                  <c:v>201.66</c:v>
                </c:pt>
                <c:pt idx="61">
                  <c:v>266.66000000000003</c:v>
                </c:pt>
                <c:pt idx="62">
                  <c:v>263.33999999999997</c:v>
                </c:pt>
                <c:pt idx="63">
                  <c:v>241.66</c:v>
                </c:pt>
                <c:pt idx="67">
                  <c:v>177.5</c:v>
                </c:pt>
                <c:pt idx="68">
                  <c:v>250</c:v>
                </c:pt>
                <c:pt idx="69">
                  <c:v>256.66000000000003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2-46F9-A323-0413EA904FAE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All!$W$6:$W$79</c:f>
              <c:numCache>
                <c:formatCode>General</c:formatCode>
                <c:ptCount val="74"/>
                <c:pt idx="0">
                  <c:v>40</c:v>
                </c:pt>
                <c:pt idx="4">
                  <c:v>40</c:v>
                </c:pt>
                <c:pt idx="5">
                  <c:v>241.66</c:v>
                </c:pt>
                <c:pt idx="6">
                  <c:v>273.33999999999997</c:v>
                </c:pt>
                <c:pt idx="10">
                  <c:v>201.66</c:v>
                </c:pt>
                <c:pt idx="11">
                  <c:v>290</c:v>
                </c:pt>
                <c:pt idx="12">
                  <c:v>276.66000000000003</c:v>
                </c:pt>
                <c:pt idx="16">
                  <c:v>40</c:v>
                </c:pt>
                <c:pt idx="20">
                  <c:v>201.66</c:v>
                </c:pt>
                <c:pt idx="21">
                  <c:v>286.66000000000003</c:v>
                </c:pt>
                <c:pt idx="23">
                  <c:v>201.66</c:v>
                </c:pt>
                <c:pt idx="24">
                  <c:v>286.66000000000003</c:v>
                </c:pt>
                <c:pt idx="25">
                  <c:v>100</c:v>
                </c:pt>
                <c:pt idx="29">
                  <c:v>197.5</c:v>
                </c:pt>
                <c:pt idx="33">
                  <c:v>40</c:v>
                </c:pt>
                <c:pt idx="34">
                  <c:v>281.66000000000003</c:v>
                </c:pt>
                <c:pt idx="35">
                  <c:v>40</c:v>
                </c:pt>
                <c:pt idx="39">
                  <c:v>90</c:v>
                </c:pt>
                <c:pt idx="40">
                  <c:v>248.34</c:v>
                </c:pt>
                <c:pt idx="41">
                  <c:v>251.66</c:v>
                </c:pt>
                <c:pt idx="42">
                  <c:v>253.34</c:v>
                </c:pt>
                <c:pt idx="43">
                  <c:v>245</c:v>
                </c:pt>
                <c:pt idx="44">
                  <c:v>90</c:v>
                </c:pt>
                <c:pt idx="48">
                  <c:v>40</c:v>
                </c:pt>
                <c:pt idx="49">
                  <c:v>233.34</c:v>
                </c:pt>
                <c:pt idx="50">
                  <c:v>258.33999999999997</c:v>
                </c:pt>
                <c:pt idx="54">
                  <c:v>162.5</c:v>
                </c:pt>
                <c:pt idx="55">
                  <c:v>248.34</c:v>
                </c:pt>
                <c:pt idx="56">
                  <c:v>240</c:v>
                </c:pt>
                <c:pt idx="60">
                  <c:v>195</c:v>
                </c:pt>
                <c:pt idx="61">
                  <c:v>261.66000000000003</c:v>
                </c:pt>
                <c:pt idx="62">
                  <c:v>265</c:v>
                </c:pt>
                <c:pt idx="63">
                  <c:v>238.34</c:v>
                </c:pt>
                <c:pt idx="67">
                  <c:v>162.5</c:v>
                </c:pt>
                <c:pt idx="68">
                  <c:v>240</c:v>
                </c:pt>
                <c:pt idx="69">
                  <c:v>251.66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02-46F9-A323-0413EA904FAE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All!$X$6:$X$79</c:f>
              <c:numCache>
                <c:formatCode>General</c:formatCode>
                <c:ptCount val="74"/>
                <c:pt idx="0">
                  <c:v>40</c:v>
                </c:pt>
                <c:pt idx="4">
                  <c:v>40</c:v>
                </c:pt>
                <c:pt idx="5">
                  <c:v>213.34</c:v>
                </c:pt>
                <c:pt idx="6">
                  <c:v>241.66</c:v>
                </c:pt>
                <c:pt idx="10">
                  <c:v>208.34</c:v>
                </c:pt>
                <c:pt idx="11">
                  <c:v>261.66000000000003</c:v>
                </c:pt>
                <c:pt idx="12">
                  <c:v>253.34</c:v>
                </c:pt>
                <c:pt idx="16">
                  <c:v>50</c:v>
                </c:pt>
                <c:pt idx="20">
                  <c:v>211.66</c:v>
                </c:pt>
                <c:pt idx="21">
                  <c:v>323</c:v>
                </c:pt>
                <c:pt idx="23">
                  <c:v>211.66</c:v>
                </c:pt>
                <c:pt idx="24">
                  <c:v>323</c:v>
                </c:pt>
                <c:pt idx="25">
                  <c:v>100</c:v>
                </c:pt>
                <c:pt idx="29">
                  <c:v>192.5</c:v>
                </c:pt>
                <c:pt idx="33">
                  <c:v>40</c:v>
                </c:pt>
                <c:pt idx="34">
                  <c:v>283.33999999999997</c:v>
                </c:pt>
                <c:pt idx="35">
                  <c:v>40</c:v>
                </c:pt>
                <c:pt idx="39">
                  <c:v>90</c:v>
                </c:pt>
                <c:pt idx="40">
                  <c:v>256.66000000000003</c:v>
                </c:pt>
                <c:pt idx="41">
                  <c:v>286.66000000000003</c:v>
                </c:pt>
                <c:pt idx="42">
                  <c:v>307</c:v>
                </c:pt>
                <c:pt idx="43">
                  <c:v>288.33999999999997</c:v>
                </c:pt>
                <c:pt idx="44">
                  <c:v>110</c:v>
                </c:pt>
                <c:pt idx="48">
                  <c:v>40</c:v>
                </c:pt>
                <c:pt idx="49">
                  <c:v>223.34</c:v>
                </c:pt>
                <c:pt idx="50">
                  <c:v>261.66000000000003</c:v>
                </c:pt>
                <c:pt idx="54">
                  <c:v>170</c:v>
                </c:pt>
                <c:pt idx="55">
                  <c:v>240</c:v>
                </c:pt>
                <c:pt idx="56">
                  <c:v>245</c:v>
                </c:pt>
                <c:pt idx="60">
                  <c:v>195</c:v>
                </c:pt>
                <c:pt idx="61">
                  <c:v>276.66000000000003</c:v>
                </c:pt>
                <c:pt idx="62">
                  <c:v>291.66000000000003</c:v>
                </c:pt>
                <c:pt idx="63">
                  <c:v>248.34</c:v>
                </c:pt>
                <c:pt idx="67">
                  <c:v>137.5</c:v>
                </c:pt>
                <c:pt idx="68">
                  <c:v>230</c:v>
                </c:pt>
                <c:pt idx="69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02-46F9-A323-0413EA904FAE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All!$Y$6:$Y$79</c:f>
              <c:numCache>
                <c:formatCode>General</c:formatCode>
                <c:ptCount val="74"/>
                <c:pt idx="0">
                  <c:v>30</c:v>
                </c:pt>
                <c:pt idx="4">
                  <c:v>30</c:v>
                </c:pt>
                <c:pt idx="5">
                  <c:v>201.66</c:v>
                </c:pt>
                <c:pt idx="6">
                  <c:v>258.33999999999997</c:v>
                </c:pt>
                <c:pt idx="10">
                  <c:v>201.66</c:v>
                </c:pt>
                <c:pt idx="11">
                  <c:v>271.66000000000003</c:v>
                </c:pt>
                <c:pt idx="12">
                  <c:v>260</c:v>
                </c:pt>
                <c:pt idx="16">
                  <c:v>40</c:v>
                </c:pt>
                <c:pt idx="20">
                  <c:v>203.34</c:v>
                </c:pt>
                <c:pt idx="21">
                  <c:v>324</c:v>
                </c:pt>
                <c:pt idx="23">
                  <c:v>203.34</c:v>
                </c:pt>
                <c:pt idx="24">
                  <c:v>324</c:v>
                </c:pt>
                <c:pt idx="25">
                  <c:v>80</c:v>
                </c:pt>
                <c:pt idx="29">
                  <c:v>167.5</c:v>
                </c:pt>
                <c:pt idx="33">
                  <c:v>30</c:v>
                </c:pt>
                <c:pt idx="34">
                  <c:v>268.33999999999997</c:v>
                </c:pt>
                <c:pt idx="35">
                  <c:v>40</c:v>
                </c:pt>
                <c:pt idx="39">
                  <c:v>90</c:v>
                </c:pt>
                <c:pt idx="40">
                  <c:v>263.33999999999997</c:v>
                </c:pt>
                <c:pt idx="41">
                  <c:v>283.33999999999997</c:v>
                </c:pt>
                <c:pt idx="42">
                  <c:v>296.66000000000003</c:v>
                </c:pt>
                <c:pt idx="43">
                  <c:v>275</c:v>
                </c:pt>
                <c:pt idx="44">
                  <c:v>110</c:v>
                </c:pt>
                <c:pt idx="48">
                  <c:v>30</c:v>
                </c:pt>
                <c:pt idx="49">
                  <c:v>243.34</c:v>
                </c:pt>
                <c:pt idx="50">
                  <c:v>276.66000000000003</c:v>
                </c:pt>
                <c:pt idx="54">
                  <c:v>175</c:v>
                </c:pt>
                <c:pt idx="55">
                  <c:v>258.33999999999997</c:v>
                </c:pt>
                <c:pt idx="56">
                  <c:v>263.33999999999997</c:v>
                </c:pt>
                <c:pt idx="60">
                  <c:v>206.66</c:v>
                </c:pt>
                <c:pt idx="61">
                  <c:v>298.33999999999997</c:v>
                </c:pt>
                <c:pt idx="62">
                  <c:v>304</c:v>
                </c:pt>
                <c:pt idx="63">
                  <c:v>291.66000000000003</c:v>
                </c:pt>
                <c:pt idx="67">
                  <c:v>155</c:v>
                </c:pt>
                <c:pt idx="68">
                  <c:v>285</c:v>
                </c:pt>
                <c:pt idx="69">
                  <c:v>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02-46F9-A323-0413EA904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70224"/>
        <c:axId val="436183120"/>
      </c:scatterChart>
      <c:valAx>
        <c:axId val="43617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3120"/>
        <c:crosses val="autoZero"/>
        <c:crossBetween val="midCat"/>
      </c:valAx>
      <c:valAx>
        <c:axId val="436183120"/>
        <c:scaling>
          <c:orientation val="minMax"/>
          <c:max val="4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All!$Z$6:$Z$79</c:f>
              <c:numCache>
                <c:formatCode>General</c:formatCode>
                <c:ptCount val="74"/>
                <c:pt idx="0">
                  <c:v>86.46</c:v>
                </c:pt>
                <c:pt idx="4">
                  <c:v>248.85</c:v>
                </c:pt>
                <c:pt idx="5">
                  <c:v>404</c:v>
                </c:pt>
                <c:pt idx="6">
                  <c:v>414.13</c:v>
                </c:pt>
                <c:pt idx="10">
                  <c:v>354.96</c:v>
                </c:pt>
                <c:pt idx="11">
                  <c:v>404.78</c:v>
                </c:pt>
                <c:pt idx="12">
                  <c:v>416.76</c:v>
                </c:pt>
                <c:pt idx="16">
                  <c:v>241.23</c:v>
                </c:pt>
                <c:pt idx="20">
                  <c:v>353.36</c:v>
                </c:pt>
                <c:pt idx="21">
                  <c:v>438.81</c:v>
                </c:pt>
                <c:pt idx="23">
                  <c:v>353.36</c:v>
                </c:pt>
                <c:pt idx="24">
                  <c:v>438.81</c:v>
                </c:pt>
                <c:pt idx="25">
                  <c:v>293.47000000000003</c:v>
                </c:pt>
                <c:pt idx="29">
                  <c:v>370.83</c:v>
                </c:pt>
                <c:pt idx="33">
                  <c:v>200.81</c:v>
                </c:pt>
                <c:pt idx="34">
                  <c:v>427.76</c:v>
                </c:pt>
                <c:pt idx="35">
                  <c:v>166.46</c:v>
                </c:pt>
                <c:pt idx="39">
                  <c:v>213.22</c:v>
                </c:pt>
                <c:pt idx="40">
                  <c:v>397.19</c:v>
                </c:pt>
                <c:pt idx="41">
                  <c:v>401.34</c:v>
                </c:pt>
                <c:pt idx="42">
                  <c:v>397.94</c:v>
                </c:pt>
                <c:pt idx="43">
                  <c:v>393.68</c:v>
                </c:pt>
                <c:pt idx="44">
                  <c:v>210.43</c:v>
                </c:pt>
                <c:pt idx="48">
                  <c:v>169.62</c:v>
                </c:pt>
                <c:pt idx="49">
                  <c:v>412.91</c:v>
                </c:pt>
                <c:pt idx="50">
                  <c:v>408.75</c:v>
                </c:pt>
                <c:pt idx="54">
                  <c:v>345.7</c:v>
                </c:pt>
                <c:pt idx="55">
                  <c:v>411.36</c:v>
                </c:pt>
                <c:pt idx="56">
                  <c:v>399.81</c:v>
                </c:pt>
                <c:pt idx="60">
                  <c:v>375.75</c:v>
                </c:pt>
                <c:pt idx="61">
                  <c:v>424.36</c:v>
                </c:pt>
                <c:pt idx="62">
                  <c:v>421.87</c:v>
                </c:pt>
                <c:pt idx="63">
                  <c:v>390.38</c:v>
                </c:pt>
                <c:pt idx="67">
                  <c:v>334.21</c:v>
                </c:pt>
                <c:pt idx="68">
                  <c:v>429.2</c:v>
                </c:pt>
                <c:pt idx="69">
                  <c:v>417.8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A7-4157-B73D-832876A8CEFC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All!$AA$6:$AA$79</c:f>
              <c:numCache>
                <c:formatCode>General</c:formatCode>
                <c:ptCount val="74"/>
                <c:pt idx="0">
                  <c:v>73.62</c:v>
                </c:pt>
                <c:pt idx="4">
                  <c:v>248.32</c:v>
                </c:pt>
                <c:pt idx="5">
                  <c:v>434.73</c:v>
                </c:pt>
                <c:pt idx="6">
                  <c:v>441.46</c:v>
                </c:pt>
                <c:pt idx="10">
                  <c:v>389.16</c:v>
                </c:pt>
                <c:pt idx="11">
                  <c:v>444.8</c:v>
                </c:pt>
                <c:pt idx="12">
                  <c:v>453.69</c:v>
                </c:pt>
                <c:pt idx="16">
                  <c:v>266.07</c:v>
                </c:pt>
                <c:pt idx="20">
                  <c:v>360.52</c:v>
                </c:pt>
                <c:pt idx="21">
                  <c:v>423.15</c:v>
                </c:pt>
                <c:pt idx="23">
                  <c:v>360.52</c:v>
                </c:pt>
                <c:pt idx="24">
                  <c:v>423.15</c:v>
                </c:pt>
                <c:pt idx="25">
                  <c:v>267.39999999999998</c:v>
                </c:pt>
                <c:pt idx="29">
                  <c:v>340.79</c:v>
                </c:pt>
                <c:pt idx="33">
                  <c:v>186.42</c:v>
                </c:pt>
                <c:pt idx="34">
                  <c:v>410.81</c:v>
                </c:pt>
                <c:pt idx="35">
                  <c:v>153.88</c:v>
                </c:pt>
                <c:pt idx="39">
                  <c:v>201.52</c:v>
                </c:pt>
                <c:pt idx="40">
                  <c:v>379.49</c:v>
                </c:pt>
                <c:pt idx="41">
                  <c:v>383.5</c:v>
                </c:pt>
                <c:pt idx="42">
                  <c:v>377.62</c:v>
                </c:pt>
                <c:pt idx="43">
                  <c:v>369.77</c:v>
                </c:pt>
                <c:pt idx="44">
                  <c:v>203.16</c:v>
                </c:pt>
                <c:pt idx="48">
                  <c:v>158.6</c:v>
                </c:pt>
                <c:pt idx="49">
                  <c:v>402.83</c:v>
                </c:pt>
                <c:pt idx="50">
                  <c:v>402.5</c:v>
                </c:pt>
                <c:pt idx="54">
                  <c:v>344.07</c:v>
                </c:pt>
                <c:pt idx="55">
                  <c:v>410.08</c:v>
                </c:pt>
                <c:pt idx="56">
                  <c:v>390.78</c:v>
                </c:pt>
                <c:pt idx="60">
                  <c:v>365.55</c:v>
                </c:pt>
                <c:pt idx="61">
                  <c:v>415.87</c:v>
                </c:pt>
                <c:pt idx="62">
                  <c:v>413.21</c:v>
                </c:pt>
                <c:pt idx="63">
                  <c:v>379.13</c:v>
                </c:pt>
                <c:pt idx="67">
                  <c:v>314.95</c:v>
                </c:pt>
                <c:pt idx="68">
                  <c:v>417.51</c:v>
                </c:pt>
                <c:pt idx="69">
                  <c:v>403.54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A7-4157-B73D-832876A8CEFC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All!$AB$6:$AB$79</c:f>
              <c:numCache>
                <c:formatCode>General</c:formatCode>
                <c:ptCount val="74"/>
                <c:pt idx="0">
                  <c:v>48.98</c:v>
                </c:pt>
                <c:pt idx="4">
                  <c:v>181.51</c:v>
                </c:pt>
                <c:pt idx="5">
                  <c:v>312.82</c:v>
                </c:pt>
                <c:pt idx="6">
                  <c:v>346.62</c:v>
                </c:pt>
                <c:pt idx="10">
                  <c:v>323.3</c:v>
                </c:pt>
                <c:pt idx="11">
                  <c:v>360</c:v>
                </c:pt>
                <c:pt idx="12">
                  <c:v>380.57</c:v>
                </c:pt>
                <c:pt idx="16">
                  <c:v>272.83</c:v>
                </c:pt>
                <c:pt idx="20">
                  <c:v>355.03</c:v>
                </c:pt>
                <c:pt idx="21">
                  <c:v>443.92</c:v>
                </c:pt>
                <c:pt idx="23">
                  <c:v>355.03</c:v>
                </c:pt>
                <c:pt idx="24">
                  <c:v>443.92</c:v>
                </c:pt>
                <c:pt idx="25">
                  <c:v>268.01</c:v>
                </c:pt>
                <c:pt idx="29">
                  <c:v>341.56</c:v>
                </c:pt>
                <c:pt idx="33">
                  <c:v>163.38999999999999</c:v>
                </c:pt>
                <c:pt idx="34">
                  <c:v>422.23</c:v>
                </c:pt>
                <c:pt idx="35">
                  <c:v>164.19</c:v>
                </c:pt>
                <c:pt idx="39">
                  <c:v>191.85</c:v>
                </c:pt>
                <c:pt idx="40">
                  <c:v>398.13</c:v>
                </c:pt>
                <c:pt idx="41">
                  <c:v>422.32</c:v>
                </c:pt>
                <c:pt idx="42">
                  <c:v>430.48</c:v>
                </c:pt>
                <c:pt idx="43">
                  <c:v>410.71</c:v>
                </c:pt>
                <c:pt idx="44">
                  <c:v>209.92</c:v>
                </c:pt>
                <c:pt idx="48">
                  <c:v>133.38</c:v>
                </c:pt>
                <c:pt idx="49">
                  <c:v>377.4</c:v>
                </c:pt>
                <c:pt idx="50">
                  <c:v>369.9</c:v>
                </c:pt>
                <c:pt idx="54">
                  <c:v>313.14999999999998</c:v>
                </c:pt>
                <c:pt idx="55">
                  <c:v>379.56</c:v>
                </c:pt>
                <c:pt idx="56">
                  <c:v>361.35</c:v>
                </c:pt>
                <c:pt idx="60">
                  <c:v>338.52</c:v>
                </c:pt>
                <c:pt idx="61">
                  <c:v>407.35</c:v>
                </c:pt>
                <c:pt idx="62">
                  <c:v>421.07</c:v>
                </c:pt>
                <c:pt idx="63">
                  <c:v>354.45</c:v>
                </c:pt>
                <c:pt idx="67">
                  <c:v>277.89999999999998</c:v>
                </c:pt>
                <c:pt idx="68">
                  <c:v>380.88</c:v>
                </c:pt>
                <c:pt idx="69">
                  <c:v>371.68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A7-4157-B73D-832876A8CEFC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All!$AC$6:$AC$79</c:f>
              <c:numCache>
                <c:formatCode>General</c:formatCode>
                <c:ptCount val="74"/>
                <c:pt idx="0">
                  <c:v>40.909999999999997</c:v>
                </c:pt>
                <c:pt idx="4">
                  <c:v>165.67</c:v>
                </c:pt>
                <c:pt idx="5">
                  <c:v>312.27</c:v>
                </c:pt>
                <c:pt idx="6">
                  <c:v>371.29</c:v>
                </c:pt>
                <c:pt idx="10">
                  <c:v>333.48</c:v>
                </c:pt>
                <c:pt idx="11">
                  <c:v>380.09</c:v>
                </c:pt>
                <c:pt idx="12">
                  <c:v>398.12</c:v>
                </c:pt>
                <c:pt idx="16">
                  <c:v>258.99</c:v>
                </c:pt>
                <c:pt idx="20">
                  <c:v>344.87</c:v>
                </c:pt>
                <c:pt idx="21">
                  <c:v>446.46</c:v>
                </c:pt>
                <c:pt idx="23">
                  <c:v>344.87</c:v>
                </c:pt>
                <c:pt idx="24">
                  <c:v>446.46</c:v>
                </c:pt>
                <c:pt idx="25">
                  <c:v>250.11</c:v>
                </c:pt>
                <c:pt idx="29">
                  <c:v>310.51</c:v>
                </c:pt>
                <c:pt idx="33">
                  <c:v>142.88999999999999</c:v>
                </c:pt>
                <c:pt idx="34">
                  <c:v>409.56</c:v>
                </c:pt>
                <c:pt idx="35">
                  <c:v>160.49</c:v>
                </c:pt>
                <c:pt idx="39">
                  <c:v>185.62</c:v>
                </c:pt>
                <c:pt idx="40">
                  <c:v>397.77</c:v>
                </c:pt>
                <c:pt idx="41">
                  <c:v>415.17</c:v>
                </c:pt>
                <c:pt idx="42">
                  <c:v>421.11</c:v>
                </c:pt>
                <c:pt idx="43">
                  <c:v>402.91</c:v>
                </c:pt>
                <c:pt idx="44">
                  <c:v>210.16</c:v>
                </c:pt>
                <c:pt idx="48">
                  <c:v>132.74</c:v>
                </c:pt>
                <c:pt idx="49">
                  <c:v>394.87</c:v>
                </c:pt>
                <c:pt idx="50">
                  <c:v>379.79</c:v>
                </c:pt>
                <c:pt idx="54">
                  <c:v>322.01</c:v>
                </c:pt>
                <c:pt idx="55">
                  <c:v>395.87</c:v>
                </c:pt>
                <c:pt idx="56">
                  <c:v>381.47</c:v>
                </c:pt>
                <c:pt idx="60">
                  <c:v>356.4</c:v>
                </c:pt>
                <c:pt idx="61">
                  <c:v>426.28</c:v>
                </c:pt>
                <c:pt idx="62">
                  <c:v>440</c:v>
                </c:pt>
                <c:pt idx="63">
                  <c:v>399.38</c:v>
                </c:pt>
                <c:pt idx="67">
                  <c:v>312.24</c:v>
                </c:pt>
                <c:pt idx="68">
                  <c:v>426.63</c:v>
                </c:pt>
                <c:pt idx="69">
                  <c:v>415.54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A7-4157-B73D-832876A8C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70640"/>
        <c:axId val="436162736"/>
      </c:scatterChart>
      <c:valAx>
        <c:axId val="43617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2736"/>
        <c:crosses val="autoZero"/>
        <c:crossBetween val="midCat"/>
      </c:valAx>
      <c:valAx>
        <c:axId val="436162736"/>
        <c:scaling>
          <c:orientation val="minMax"/>
          <c:max val="5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All!$T$6:$T$79</c:f>
              <c:numCache>
                <c:formatCode>General</c:formatCode>
                <c:ptCount val="74"/>
                <c:pt idx="0">
                  <c:v>60.13</c:v>
                </c:pt>
                <c:pt idx="4">
                  <c:v>53.49</c:v>
                </c:pt>
                <c:pt idx="5">
                  <c:v>67.89</c:v>
                </c:pt>
                <c:pt idx="6">
                  <c:v>67.53</c:v>
                </c:pt>
                <c:pt idx="10">
                  <c:v>73.45</c:v>
                </c:pt>
                <c:pt idx="11">
                  <c:v>64.06</c:v>
                </c:pt>
                <c:pt idx="12">
                  <c:v>82.09</c:v>
                </c:pt>
                <c:pt idx="16">
                  <c:v>59.88</c:v>
                </c:pt>
                <c:pt idx="20">
                  <c:v>53.06</c:v>
                </c:pt>
                <c:pt idx="21">
                  <c:v>63.32</c:v>
                </c:pt>
                <c:pt idx="23">
                  <c:v>53.06</c:v>
                </c:pt>
                <c:pt idx="24">
                  <c:v>63.32</c:v>
                </c:pt>
                <c:pt idx="25">
                  <c:v>52.16</c:v>
                </c:pt>
                <c:pt idx="29">
                  <c:v>55.24</c:v>
                </c:pt>
                <c:pt idx="33">
                  <c:v>67.59</c:v>
                </c:pt>
                <c:pt idx="34">
                  <c:v>85.38</c:v>
                </c:pt>
                <c:pt idx="35">
                  <c:v>68.239999999999995</c:v>
                </c:pt>
                <c:pt idx="39">
                  <c:v>67.66</c:v>
                </c:pt>
                <c:pt idx="40">
                  <c:v>87.99</c:v>
                </c:pt>
                <c:pt idx="41">
                  <c:v>79.709999999999994</c:v>
                </c:pt>
                <c:pt idx="42">
                  <c:v>84.33</c:v>
                </c:pt>
                <c:pt idx="43">
                  <c:v>78.41</c:v>
                </c:pt>
                <c:pt idx="44">
                  <c:v>68.67</c:v>
                </c:pt>
                <c:pt idx="48">
                  <c:v>57.56</c:v>
                </c:pt>
                <c:pt idx="49">
                  <c:v>71.92</c:v>
                </c:pt>
                <c:pt idx="50">
                  <c:v>70.180000000000007</c:v>
                </c:pt>
                <c:pt idx="54">
                  <c:v>62.68</c:v>
                </c:pt>
                <c:pt idx="55">
                  <c:v>73.510000000000005</c:v>
                </c:pt>
                <c:pt idx="56">
                  <c:v>59.26</c:v>
                </c:pt>
                <c:pt idx="60">
                  <c:v>69.75</c:v>
                </c:pt>
                <c:pt idx="61">
                  <c:v>90.9</c:v>
                </c:pt>
                <c:pt idx="62">
                  <c:v>85.35</c:v>
                </c:pt>
                <c:pt idx="63">
                  <c:v>88.89</c:v>
                </c:pt>
                <c:pt idx="67">
                  <c:v>79.13</c:v>
                </c:pt>
                <c:pt idx="68">
                  <c:v>87.25</c:v>
                </c:pt>
                <c:pt idx="69">
                  <c:v>78.55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B-41E3-8F89-B7491EB99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61072"/>
        <c:axId val="436184368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All!$U$6:$U$79</c:f>
              <c:numCache>
                <c:formatCode>General</c:formatCode>
                <c:ptCount val="74"/>
                <c:pt idx="0">
                  <c:v>61.55</c:v>
                </c:pt>
                <c:pt idx="4">
                  <c:v>60.713999999999999</c:v>
                </c:pt>
                <c:pt idx="5">
                  <c:v>60.656999999999996</c:v>
                </c:pt>
                <c:pt idx="6">
                  <c:v>60.503999999999998</c:v>
                </c:pt>
                <c:pt idx="10">
                  <c:v>60.786999999999999</c:v>
                </c:pt>
                <c:pt idx="11">
                  <c:v>60.470999999999997</c:v>
                </c:pt>
                <c:pt idx="12">
                  <c:v>60.417000000000002</c:v>
                </c:pt>
                <c:pt idx="16">
                  <c:v>59.613999999999997</c:v>
                </c:pt>
                <c:pt idx="20">
                  <c:v>61.243000000000002</c:v>
                </c:pt>
                <c:pt idx="21">
                  <c:v>59.823999999999998</c:v>
                </c:pt>
                <c:pt idx="23">
                  <c:v>61.243000000000002</c:v>
                </c:pt>
                <c:pt idx="24">
                  <c:v>59.823999999999998</c:v>
                </c:pt>
                <c:pt idx="25">
                  <c:v>59.96</c:v>
                </c:pt>
                <c:pt idx="29">
                  <c:v>59.902000000000001</c:v>
                </c:pt>
                <c:pt idx="33">
                  <c:v>61.606999999999999</c:v>
                </c:pt>
                <c:pt idx="34">
                  <c:v>60.723999999999997</c:v>
                </c:pt>
                <c:pt idx="35">
                  <c:v>61.323</c:v>
                </c:pt>
                <c:pt idx="39">
                  <c:v>60.75</c:v>
                </c:pt>
                <c:pt idx="40">
                  <c:v>60.762999999999998</c:v>
                </c:pt>
                <c:pt idx="41">
                  <c:v>60.552</c:v>
                </c:pt>
                <c:pt idx="42">
                  <c:v>60.908000000000001</c:v>
                </c:pt>
                <c:pt idx="43">
                  <c:v>60.668999999999997</c:v>
                </c:pt>
                <c:pt idx="44">
                  <c:v>61.29</c:v>
                </c:pt>
                <c:pt idx="48">
                  <c:v>60.427</c:v>
                </c:pt>
                <c:pt idx="49">
                  <c:v>60.457000000000001</c:v>
                </c:pt>
                <c:pt idx="50">
                  <c:v>60.463000000000001</c:v>
                </c:pt>
                <c:pt idx="54">
                  <c:v>60.530999999999999</c:v>
                </c:pt>
                <c:pt idx="55">
                  <c:v>60.573</c:v>
                </c:pt>
                <c:pt idx="56">
                  <c:v>60.613999999999997</c:v>
                </c:pt>
                <c:pt idx="60">
                  <c:v>61.01</c:v>
                </c:pt>
                <c:pt idx="61">
                  <c:v>60.658000000000001</c:v>
                </c:pt>
                <c:pt idx="62">
                  <c:v>60.515000000000001</c:v>
                </c:pt>
                <c:pt idx="63">
                  <c:v>60.701000000000001</c:v>
                </c:pt>
                <c:pt idx="67">
                  <c:v>61.045999999999999</c:v>
                </c:pt>
                <c:pt idx="68">
                  <c:v>60.533999999999999</c:v>
                </c:pt>
                <c:pt idx="69">
                  <c:v>60.488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B-41E3-8F89-B7491EB99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6096"/>
        <c:axId val="375149008"/>
      </c:scatterChart>
      <c:valAx>
        <c:axId val="43616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4368"/>
        <c:crosses val="autoZero"/>
        <c:crossBetween val="midCat"/>
      </c:valAx>
      <c:valAx>
        <c:axId val="436184368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1072"/>
        <c:crosses val="autoZero"/>
        <c:crossBetween val="midCat"/>
      </c:valAx>
      <c:valAx>
        <c:axId val="375149008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6096"/>
        <c:crosses val="max"/>
        <c:crossBetween val="midCat"/>
      </c:valAx>
      <c:valAx>
        <c:axId val="375146096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4900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All!$BN$6:$BN$79</c:f>
              <c:numCache>
                <c:formatCode>General</c:formatCode>
                <c:ptCount val="74"/>
                <c:pt idx="0">
                  <c:v>53.192</c:v>
                </c:pt>
                <c:pt idx="4">
                  <c:v>75.927999999999997</c:v>
                </c:pt>
                <c:pt idx="5">
                  <c:v>91.896000000000001</c:v>
                </c:pt>
                <c:pt idx="6">
                  <c:v>107.52800000000001</c:v>
                </c:pt>
                <c:pt idx="10">
                  <c:v>124.152</c:v>
                </c:pt>
                <c:pt idx="11">
                  <c:v>93.031999999999996</c:v>
                </c:pt>
                <c:pt idx="12">
                  <c:v>107.304</c:v>
                </c:pt>
                <c:pt idx="16">
                  <c:v>847.27200000000005</c:v>
                </c:pt>
                <c:pt idx="20">
                  <c:v>605.03200000000004</c:v>
                </c:pt>
                <c:pt idx="21">
                  <c:v>847.27200000000005</c:v>
                </c:pt>
                <c:pt idx="23">
                  <c:v>605.03200000000004</c:v>
                </c:pt>
                <c:pt idx="24">
                  <c:v>847.27200000000005</c:v>
                </c:pt>
                <c:pt idx="25">
                  <c:v>847.27200000000005</c:v>
                </c:pt>
                <c:pt idx="29">
                  <c:v>847.27200000000005</c:v>
                </c:pt>
                <c:pt idx="33">
                  <c:v>568.15200000000004</c:v>
                </c:pt>
                <c:pt idx="34">
                  <c:v>847.27200000000005</c:v>
                </c:pt>
                <c:pt idx="35">
                  <c:v>847.27200000000005</c:v>
                </c:pt>
                <c:pt idx="39">
                  <c:v>847.27200000000005</c:v>
                </c:pt>
                <c:pt idx="40">
                  <c:v>847.27200000000005</c:v>
                </c:pt>
                <c:pt idx="41">
                  <c:v>847.27200000000005</c:v>
                </c:pt>
                <c:pt idx="42">
                  <c:v>847.27200000000005</c:v>
                </c:pt>
                <c:pt idx="43">
                  <c:v>847.27200000000005</c:v>
                </c:pt>
                <c:pt idx="44">
                  <c:v>847.27200000000005</c:v>
                </c:pt>
                <c:pt idx="48">
                  <c:v>74.680000000000007</c:v>
                </c:pt>
                <c:pt idx="49">
                  <c:v>87.656000000000006</c:v>
                </c:pt>
                <c:pt idx="50">
                  <c:v>112.72799999999999</c:v>
                </c:pt>
                <c:pt idx="54">
                  <c:v>124.47199999999999</c:v>
                </c:pt>
                <c:pt idx="55">
                  <c:v>90.103999999999999</c:v>
                </c:pt>
                <c:pt idx="56">
                  <c:v>103.256</c:v>
                </c:pt>
                <c:pt idx="60">
                  <c:v>118.824</c:v>
                </c:pt>
                <c:pt idx="61">
                  <c:v>91.847999999999999</c:v>
                </c:pt>
                <c:pt idx="62">
                  <c:v>92.552000000000007</c:v>
                </c:pt>
                <c:pt idx="63">
                  <c:v>110.136</c:v>
                </c:pt>
                <c:pt idx="67">
                  <c:v>120.42400000000001</c:v>
                </c:pt>
                <c:pt idx="68">
                  <c:v>92.6</c:v>
                </c:pt>
                <c:pt idx="69">
                  <c:v>99.896000000000001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A-4012-AC2F-8259FFA7E0A1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All!$BO$6:$BO$79</c:f>
              <c:numCache>
                <c:formatCode>General</c:formatCode>
                <c:ptCount val="74"/>
                <c:pt idx="0">
                  <c:v>53.223999999999997</c:v>
                </c:pt>
                <c:pt idx="4">
                  <c:v>76.424000000000007</c:v>
                </c:pt>
                <c:pt idx="5">
                  <c:v>94.456000000000003</c:v>
                </c:pt>
                <c:pt idx="6">
                  <c:v>110.36</c:v>
                </c:pt>
                <c:pt idx="10">
                  <c:v>129.208</c:v>
                </c:pt>
                <c:pt idx="11">
                  <c:v>95.703999999999994</c:v>
                </c:pt>
                <c:pt idx="12">
                  <c:v>114.04</c:v>
                </c:pt>
                <c:pt idx="16">
                  <c:v>847.27200000000005</c:v>
                </c:pt>
                <c:pt idx="20">
                  <c:v>847.27200000000005</c:v>
                </c:pt>
                <c:pt idx="21">
                  <c:v>847.27200000000005</c:v>
                </c:pt>
                <c:pt idx="23">
                  <c:v>847.27200000000005</c:v>
                </c:pt>
                <c:pt idx="24">
                  <c:v>847.27200000000005</c:v>
                </c:pt>
                <c:pt idx="25">
                  <c:v>137.048</c:v>
                </c:pt>
                <c:pt idx="29">
                  <c:v>847.27200000000005</c:v>
                </c:pt>
                <c:pt idx="33">
                  <c:v>586.904</c:v>
                </c:pt>
                <c:pt idx="34">
                  <c:v>847.27200000000005</c:v>
                </c:pt>
                <c:pt idx="35">
                  <c:v>847.27200000000005</c:v>
                </c:pt>
                <c:pt idx="39">
                  <c:v>294.26400000000001</c:v>
                </c:pt>
                <c:pt idx="40">
                  <c:v>847.27200000000005</c:v>
                </c:pt>
                <c:pt idx="41">
                  <c:v>847.27200000000005</c:v>
                </c:pt>
                <c:pt idx="42">
                  <c:v>847.27200000000005</c:v>
                </c:pt>
                <c:pt idx="43">
                  <c:v>847.27200000000005</c:v>
                </c:pt>
                <c:pt idx="44">
                  <c:v>676.84</c:v>
                </c:pt>
                <c:pt idx="48">
                  <c:v>73.751999999999995</c:v>
                </c:pt>
                <c:pt idx="49">
                  <c:v>87.48</c:v>
                </c:pt>
                <c:pt idx="50">
                  <c:v>114.08799999999999</c:v>
                </c:pt>
                <c:pt idx="54">
                  <c:v>126.98399999999999</c:v>
                </c:pt>
                <c:pt idx="55">
                  <c:v>91.4</c:v>
                </c:pt>
                <c:pt idx="56">
                  <c:v>107.304</c:v>
                </c:pt>
                <c:pt idx="60">
                  <c:v>124.616</c:v>
                </c:pt>
                <c:pt idx="61">
                  <c:v>92.12</c:v>
                </c:pt>
                <c:pt idx="62">
                  <c:v>93.816000000000003</c:v>
                </c:pt>
                <c:pt idx="63">
                  <c:v>113.768</c:v>
                </c:pt>
                <c:pt idx="67">
                  <c:v>126.29600000000001</c:v>
                </c:pt>
                <c:pt idx="68">
                  <c:v>94.183999999999997</c:v>
                </c:pt>
                <c:pt idx="69">
                  <c:v>102.29600000000001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7A-4012-AC2F-8259FFA7E0A1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All!$BP$6:$BP$79</c:f>
              <c:numCache>
                <c:formatCode>General</c:formatCode>
                <c:ptCount val="74"/>
                <c:pt idx="0">
                  <c:v>60.392000000000003</c:v>
                </c:pt>
                <c:pt idx="4">
                  <c:v>89.176000000000002</c:v>
                </c:pt>
                <c:pt idx="5">
                  <c:v>116.968</c:v>
                </c:pt>
                <c:pt idx="6">
                  <c:v>144.84</c:v>
                </c:pt>
                <c:pt idx="10">
                  <c:v>146.44</c:v>
                </c:pt>
                <c:pt idx="11">
                  <c:v>135.44800000000001</c:v>
                </c:pt>
                <c:pt idx="12">
                  <c:v>152.76</c:v>
                </c:pt>
                <c:pt idx="16">
                  <c:v>133.22399999999999</c:v>
                </c:pt>
                <c:pt idx="20">
                  <c:v>143.28800000000001</c:v>
                </c:pt>
                <c:pt idx="21">
                  <c:v>173.4</c:v>
                </c:pt>
                <c:pt idx="23">
                  <c:v>143.28800000000001</c:v>
                </c:pt>
                <c:pt idx="24">
                  <c:v>173.4</c:v>
                </c:pt>
                <c:pt idx="25">
                  <c:v>126.84</c:v>
                </c:pt>
                <c:pt idx="29">
                  <c:v>144.24799999999999</c:v>
                </c:pt>
                <c:pt idx="33">
                  <c:v>103.57599999999999</c:v>
                </c:pt>
                <c:pt idx="34">
                  <c:v>135.048</c:v>
                </c:pt>
                <c:pt idx="35">
                  <c:v>150.584</c:v>
                </c:pt>
                <c:pt idx="39">
                  <c:v>102.392</c:v>
                </c:pt>
                <c:pt idx="40">
                  <c:v>127.256</c:v>
                </c:pt>
                <c:pt idx="41">
                  <c:v>138.376</c:v>
                </c:pt>
                <c:pt idx="42">
                  <c:v>147.03200000000001</c:v>
                </c:pt>
                <c:pt idx="43">
                  <c:v>146.072</c:v>
                </c:pt>
                <c:pt idx="44">
                  <c:v>139.01599999999999</c:v>
                </c:pt>
                <c:pt idx="48">
                  <c:v>93.48</c:v>
                </c:pt>
                <c:pt idx="49">
                  <c:v>119.416</c:v>
                </c:pt>
                <c:pt idx="50">
                  <c:v>138.232</c:v>
                </c:pt>
                <c:pt idx="54">
                  <c:v>139.96</c:v>
                </c:pt>
                <c:pt idx="55">
                  <c:v>125.384</c:v>
                </c:pt>
                <c:pt idx="56">
                  <c:v>135.27199999999999</c:v>
                </c:pt>
                <c:pt idx="60">
                  <c:v>135.27199999999999</c:v>
                </c:pt>
                <c:pt idx="61">
                  <c:v>133.672</c:v>
                </c:pt>
                <c:pt idx="62">
                  <c:v>136.08799999999999</c:v>
                </c:pt>
                <c:pt idx="63">
                  <c:v>132.536</c:v>
                </c:pt>
                <c:pt idx="67">
                  <c:v>120.52</c:v>
                </c:pt>
                <c:pt idx="68">
                  <c:v>118.104</c:v>
                </c:pt>
                <c:pt idx="69">
                  <c:v>126.84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7A-4012-AC2F-8259FFA7E0A1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All!$BQ$6:$BQ$79</c:f>
              <c:numCache>
                <c:formatCode>General</c:formatCode>
                <c:ptCount val="74"/>
                <c:pt idx="0">
                  <c:v>59.8</c:v>
                </c:pt>
                <c:pt idx="4">
                  <c:v>84.328000000000003</c:v>
                </c:pt>
                <c:pt idx="5">
                  <c:v>115.78400000000001</c:v>
                </c:pt>
                <c:pt idx="6">
                  <c:v>141.68799999999999</c:v>
                </c:pt>
                <c:pt idx="10">
                  <c:v>144.744</c:v>
                </c:pt>
                <c:pt idx="11">
                  <c:v>134.232</c:v>
                </c:pt>
                <c:pt idx="12">
                  <c:v>151.352</c:v>
                </c:pt>
                <c:pt idx="16">
                  <c:v>126.52</c:v>
                </c:pt>
                <c:pt idx="20">
                  <c:v>141.14400000000001</c:v>
                </c:pt>
                <c:pt idx="21">
                  <c:v>165.06399999999999</c:v>
                </c:pt>
                <c:pt idx="23">
                  <c:v>141.14400000000001</c:v>
                </c:pt>
                <c:pt idx="24">
                  <c:v>165.06399999999999</c:v>
                </c:pt>
                <c:pt idx="25">
                  <c:v>117.78400000000001</c:v>
                </c:pt>
                <c:pt idx="29">
                  <c:v>130.98400000000001</c:v>
                </c:pt>
                <c:pt idx="33">
                  <c:v>93.031999999999996</c:v>
                </c:pt>
                <c:pt idx="34">
                  <c:v>127.4</c:v>
                </c:pt>
                <c:pt idx="35">
                  <c:v>141.06399999999999</c:v>
                </c:pt>
                <c:pt idx="39">
                  <c:v>98.12</c:v>
                </c:pt>
                <c:pt idx="40">
                  <c:v>124.2</c:v>
                </c:pt>
                <c:pt idx="41">
                  <c:v>134.136</c:v>
                </c:pt>
                <c:pt idx="42">
                  <c:v>140.55199999999999</c:v>
                </c:pt>
                <c:pt idx="43">
                  <c:v>138.55199999999999</c:v>
                </c:pt>
                <c:pt idx="44">
                  <c:v>136.6</c:v>
                </c:pt>
                <c:pt idx="48">
                  <c:v>96.376000000000005</c:v>
                </c:pt>
                <c:pt idx="49">
                  <c:v>123.432</c:v>
                </c:pt>
                <c:pt idx="50">
                  <c:v>138.232</c:v>
                </c:pt>
                <c:pt idx="54">
                  <c:v>140.232</c:v>
                </c:pt>
                <c:pt idx="55">
                  <c:v>133.08000000000001</c:v>
                </c:pt>
                <c:pt idx="56">
                  <c:v>142.19999999999999</c:v>
                </c:pt>
                <c:pt idx="60">
                  <c:v>143.28800000000001</c:v>
                </c:pt>
                <c:pt idx="61">
                  <c:v>137.816</c:v>
                </c:pt>
                <c:pt idx="62">
                  <c:v>143.19200000000001</c:v>
                </c:pt>
                <c:pt idx="63">
                  <c:v>147.03200000000001</c:v>
                </c:pt>
                <c:pt idx="67">
                  <c:v>135.096</c:v>
                </c:pt>
                <c:pt idx="68">
                  <c:v>138.91999999999999</c:v>
                </c:pt>
                <c:pt idx="69">
                  <c:v>143.11199999999999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7A-4012-AC2F-8259FFA7E0A1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All!$CP$6:$CP$79</c:f>
              <c:numCache>
                <c:formatCode>General</c:formatCode>
                <c:ptCount val="74"/>
                <c:pt idx="0">
                  <c:v>28.617999999999999</c:v>
                </c:pt>
                <c:pt idx="4">
                  <c:v>47.302999999999997</c:v>
                </c:pt>
                <c:pt idx="5">
                  <c:v>83.33</c:v>
                </c:pt>
                <c:pt idx="6">
                  <c:v>92.268000000000001</c:v>
                </c:pt>
                <c:pt idx="10">
                  <c:v>97.998000000000005</c:v>
                </c:pt>
                <c:pt idx="11">
                  <c:v>88.796000000000006</c:v>
                </c:pt>
                <c:pt idx="12">
                  <c:v>91.334999999999994</c:v>
                </c:pt>
                <c:pt idx="16">
                  <c:v>52.613</c:v>
                </c:pt>
                <c:pt idx="20">
                  <c:v>92.902000000000001</c:v>
                </c:pt>
                <c:pt idx="21">
                  <c:v>100.295</c:v>
                </c:pt>
                <c:pt idx="23">
                  <c:v>92.902000000000001</c:v>
                </c:pt>
                <c:pt idx="24">
                  <c:v>100.295</c:v>
                </c:pt>
                <c:pt idx="25">
                  <c:v>116.833</c:v>
                </c:pt>
                <c:pt idx="29">
                  <c:v>127.569</c:v>
                </c:pt>
                <c:pt idx="33">
                  <c:v>63.801000000000002</c:v>
                </c:pt>
                <c:pt idx="34">
                  <c:v>121.523</c:v>
                </c:pt>
                <c:pt idx="35">
                  <c:v>81.491</c:v>
                </c:pt>
                <c:pt idx="39">
                  <c:v>85.668000000000006</c:v>
                </c:pt>
                <c:pt idx="40">
                  <c:v>178.71600000000001</c:v>
                </c:pt>
                <c:pt idx="41">
                  <c:v>222.697</c:v>
                </c:pt>
                <c:pt idx="42">
                  <c:v>190.655</c:v>
                </c:pt>
                <c:pt idx="43">
                  <c:v>201.054</c:v>
                </c:pt>
                <c:pt idx="44">
                  <c:v>96.656000000000006</c:v>
                </c:pt>
                <c:pt idx="48">
                  <c:v>36.610999999999997</c:v>
                </c:pt>
                <c:pt idx="49">
                  <c:v>80.051000000000002</c:v>
                </c:pt>
                <c:pt idx="50">
                  <c:v>90.712999999999994</c:v>
                </c:pt>
                <c:pt idx="54">
                  <c:v>97.087999999999994</c:v>
                </c:pt>
                <c:pt idx="55">
                  <c:v>86.17</c:v>
                </c:pt>
                <c:pt idx="56">
                  <c:v>87.611999999999995</c:v>
                </c:pt>
                <c:pt idx="60">
                  <c:v>95.015000000000001</c:v>
                </c:pt>
                <c:pt idx="61">
                  <c:v>87.474999999999994</c:v>
                </c:pt>
                <c:pt idx="62">
                  <c:v>87.971000000000004</c:v>
                </c:pt>
                <c:pt idx="63">
                  <c:v>89.248000000000005</c:v>
                </c:pt>
                <c:pt idx="67">
                  <c:v>91.83</c:v>
                </c:pt>
                <c:pt idx="68">
                  <c:v>87.201999999999998</c:v>
                </c:pt>
                <c:pt idx="69">
                  <c:v>88.173000000000002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7A-4012-AC2F-8259FFA7E0A1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All!$CQ$6:$CQ$79</c:f>
              <c:numCache>
                <c:formatCode>General</c:formatCode>
                <c:ptCount val="74"/>
                <c:pt idx="0">
                  <c:v>28.388999999999999</c:v>
                </c:pt>
                <c:pt idx="4">
                  <c:v>47.58</c:v>
                </c:pt>
                <c:pt idx="5">
                  <c:v>86.070999999999998</c:v>
                </c:pt>
                <c:pt idx="6">
                  <c:v>95.259</c:v>
                </c:pt>
                <c:pt idx="10">
                  <c:v>101.116</c:v>
                </c:pt>
                <c:pt idx="11">
                  <c:v>92.656000000000006</c:v>
                </c:pt>
                <c:pt idx="12">
                  <c:v>95.620999999999995</c:v>
                </c:pt>
                <c:pt idx="16">
                  <c:v>748.36500000000001</c:v>
                </c:pt>
                <c:pt idx="20">
                  <c:v>314.33999999999997</c:v>
                </c:pt>
                <c:pt idx="21">
                  <c:v>545.08900000000006</c:v>
                </c:pt>
                <c:pt idx="23">
                  <c:v>314.33999999999997</c:v>
                </c:pt>
                <c:pt idx="24">
                  <c:v>545.08900000000006</c:v>
                </c:pt>
                <c:pt idx="25">
                  <c:v>82.07</c:v>
                </c:pt>
                <c:pt idx="29">
                  <c:v>151.59800000000001</c:v>
                </c:pt>
                <c:pt idx="33">
                  <c:v>46.726999999999997</c:v>
                </c:pt>
                <c:pt idx="34">
                  <c:v>340.48700000000002</c:v>
                </c:pt>
                <c:pt idx="35">
                  <c:v>182.82900000000001</c:v>
                </c:pt>
                <c:pt idx="39">
                  <c:v>58.615000000000002</c:v>
                </c:pt>
                <c:pt idx="40">
                  <c:v>220.51900000000001</c:v>
                </c:pt>
                <c:pt idx="41">
                  <c:v>294.495</c:v>
                </c:pt>
                <c:pt idx="42">
                  <c:v>302.55</c:v>
                </c:pt>
                <c:pt idx="43">
                  <c:v>188.654</c:v>
                </c:pt>
                <c:pt idx="44">
                  <c:v>116.098</c:v>
                </c:pt>
                <c:pt idx="48">
                  <c:v>37.530999999999999</c:v>
                </c:pt>
                <c:pt idx="49">
                  <c:v>80.790999999999997</c:v>
                </c:pt>
                <c:pt idx="50">
                  <c:v>91.259</c:v>
                </c:pt>
                <c:pt idx="54">
                  <c:v>98.403000000000006</c:v>
                </c:pt>
                <c:pt idx="55">
                  <c:v>87.87</c:v>
                </c:pt>
                <c:pt idx="56">
                  <c:v>89.287000000000006</c:v>
                </c:pt>
                <c:pt idx="60">
                  <c:v>97.378</c:v>
                </c:pt>
                <c:pt idx="61">
                  <c:v>88.65</c:v>
                </c:pt>
                <c:pt idx="62">
                  <c:v>89.394000000000005</c:v>
                </c:pt>
                <c:pt idx="63">
                  <c:v>90.997</c:v>
                </c:pt>
                <c:pt idx="67">
                  <c:v>93.105999999999995</c:v>
                </c:pt>
                <c:pt idx="68">
                  <c:v>88.102000000000004</c:v>
                </c:pt>
                <c:pt idx="69">
                  <c:v>89.927999999999997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27A-4012-AC2F-8259FFA7E0A1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All!$CR$6:$CR$79</c:f>
              <c:numCache>
                <c:formatCode>General</c:formatCode>
                <c:ptCount val="74"/>
                <c:pt idx="0">
                  <c:v>32.186</c:v>
                </c:pt>
                <c:pt idx="4">
                  <c:v>57.427</c:v>
                </c:pt>
                <c:pt idx="5">
                  <c:v>102.05</c:v>
                </c:pt>
                <c:pt idx="6">
                  <c:v>123.622</c:v>
                </c:pt>
                <c:pt idx="10">
                  <c:v>131.78200000000001</c:v>
                </c:pt>
                <c:pt idx="11">
                  <c:v>129.71</c:v>
                </c:pt>
                <c:pt idx="12">
                  <c:v>134.202</c:v>
                </c:pt>
                <c:pt idx="16">
                  <c:v>93.802000000000007</c:v>
                </c:pt>
                <c:pt idx="20">
                  <c:v>132.81</c:v>
                </c:pt>
                <c:pt idx="21">
                  <c:v>151.76499999999999</c:v>
                </c:pt>
                <c:pt idx="23">
                  <c:v>132.81</c:v>
                </c:pt>
                <c:pt idx="24">
                  <c:v>151.76499999999999</c:v>
                </c:pt>
                <c:pt idx="25">
                  <c:v>99.879000000000005</c:v>
                </c:pt>
                <c:pt idx="29">
                  <c:v>125.84</c:v>
                </c:pt>
                <c:pt idx="33">
                  <c:v>50.948999999999998</c:v>
                </c:pt>
                <c:pt idx="34">
                  <c:v>120.974</c:v>
                </c:pt>
                <c:pt idx="35">
                  <c:v>109.858</c:v>
                </c:pt>
                <c:pt idx="39">
                  <c:v>68.906999999999996</c:v>
                </c:pt>
                <c:pt idx="40">
                  <c:v>115.557</c:v>
                </c:pt>
                <c:pt idx="41">
                  <c:v>131.04400000000001</c:v>
                </c:pt>
                <c:pt idx="42">
                  <c:v>140.21100000000001</c:v>
                </c:pt>
                <c:pt idx="43">
                  <c:v>136.62</c:v>
                </c:pt>
                <c:pt idx="44">
                  <c:v>110.55800000000001</c:v>
                </c:pt>
                <c:pt idx="48">
                  <c:v>50.116999999999997</c:v>
                </c:pt>
                <c:pt idx="49">
                  <c:v>105.57599999999999</c:v>
                </c:pt>
                <c:pt idx="50">
                  <c:v>124.676</c:v>
                </c:pt>
                <c:pt idx="54">
                  <c:v>123.625</c:v>
                </c:pt>
                <c:pt idx="55">
                  <c:v>119.922</c:v>
                </c:pt>
                <c:pt idx="56">
                  <c:v>122.90900000000001</c:v>
                </c:pt>
                <c:pt idx="60">
                  <c:v>123.196</c:v>
                </c:pt>
                <c:pt idx="61">
                  <c:v>127.09099999999999</c:v>
                </c:pt>
                <c:pt idx="62">
                  <c:v>131.69900000000001</c:v>
                </c:pt>
                <c:pt idx="63">
                  <c:v>122.15600000000001</c:v>
                </c:pt>
                <c:pt idx="67">
                  <c:v>101.589</c:v>
                </c:pt>
                <c:pt idx="68">
                  <c:v>108.127</c:v>
                </c:pt>
                <c:pt idx="69">
                  <c:v>113.477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7A-4012-AC2F-8259FFA7E0A1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All!$CS$6:$CS$79</c:f>
              <c:numCache>
                <c:formatCode>General</c:formatCode>
                <c:ptCount val="74"/>
                <c:pt idx="0">
                  <c:v>30.959</c:v>
                </c:pt>
                <c:pt idx="4">
                  <c:v>55.790999999999997</c:v>
                </c:pt>
                <c:pt idx="5">
                  <c:v>99.504000000000005</c:v>
                </c:pt>
                <c:pt idx="6">
                  <c:v>125.325</c:v>
                </c:pt>
                <c:pt idx="10">
                  <c:v>131.024</c:v>
                </c:pt>
                <c:pt idx="11">
                  <c:v>129.77099999999999</c:v>
                </c:pt>
                <c:pt idx="12">
                  <c:v>135.00200000000001</c:v>
                </c:pt>
                <c:pt idx="16">
                  <c:v>90.278000000000006</c:v>
                </c:pt>
                <c:pt idx="20">
                  <c:v>128.98099999999999</c:v>
                </c:pt>
                <c:pt idx="21">
                  <c:v>147.50299999999999</c:v>
                </c:pt>
                <c:pt idx="23">
                  <c:v>128.98099999999999</c:v>
                </c:pt>
                <c:pt idx="24">
                  <c:v>147.50299999999999</c:v>
                </c:pt>
                <c:pt idx="25">
                  <c:v>94.808000000000007</c:v>
                </c:pt>
                <c:pt idx="29">
                  <c:v>118.00700000000001</c:v>
                </c:pt>
                <c:pt idx="33">
                  <c:v>47.676000000000002</c:v>
                </c:pt>
                <c:pt idx="34">
                  <c:v>113.298</c:v>
                </c:pt>
                <c:pt idx="35">
                  <c:v>103.532</c:v>
                </c:pt>
                <c:pt idx="39">
                  <c:v>69.031999999999996</c:v>
                </c:pt>
                <c:pt idx="40">
                  <c:v>113.68</c:v>
                </c:pt>
                <c:pt idx="41">
                  <c:v>128.32599999999999</c:v>
                </c:pt>
                <c:pt idx="42">
                  <c:v>134.90199999999999</c:v>
                </c:pt>
                <c:pt idx="43">
                  <c:v>131.49799999999999</c:v>
                </c:pt>
                <c:pt idx="44">
                  <c:v>107.127</c:v>
                </c:pt>
                <c:pt idx="48">
                  <c:v>48.935000000000002</c:v>
                </c:pt>
                <c:pt idx="49">
                  <c:v>110.78700000000001</c:v>
                </c:pt>
                <c:pt idx="50">
                  <c:v>127.163</c:v>
                </c:pt>
                <c:pt idx="54">
                  <c:v>124.773</c:v>
                </c:pt>
                <c:pt idx="55">
                  <c:v>126.892</c:v>
                </c:pt>
                <c:pt idx="56">
                  <c:v>131.56200000000001</c:v>
                </c:pt>
                <c:pt idx="60">
                  <c:v>128.977</c:v>
                </c:pt>
                <c:pt idx="61">
                  <c:v>131.87299999999999</c:v>
                </c:pt>
                <c:pt idx="62">
                  <c:v>138.24299999999999</c:v>
                </c:pt>
                <c:pt idx="63">
                  <c:v>138.85499999999999</c:v>
                </c:pt>
                <c:pt idx="67">
                  <c:v>117.717</c:v>
                </c:pt>
                <c:pt idx="68">
                  <c:v>130.11000000000001</c:v>
                </c:pt>
                <c:pt idx="69">
                  <c:v>135.774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27A-4012-AC2F-8259FFA7E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61072"/>
        <c:axId val="436173552"/>
      </c:scatterChart>
      <c:valAx>
        <c:axId val="43616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3552"/>
        <c:crosses val="autoZero"/>
        <c:crossBetween val="midCat"/>
      </c:valAx>
      <c:valAx>
        <c:axId val="436173552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[mm/lap]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Brk_Wear_FL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All!$IQ$6:$IQ$79</c:f>
              <c:numCache>
                <c:formatCode>General</c:formatCode>
                <c:ptCount val="74"/>
                <c:pt idx="0">
                  <c:v>0</c:v>
                </c:pt>
                <c:pt idx="4">
                  <c:v>1.4999999999999999E-2</c:v>
                </c:pt>
                <c:pt idx="5">
                  <c:v>1.2E-2</c:v>
                </c:pt>
                <c:pt idx="6">
                  <c:v>0</c:v>
                </c:pt>
                <c:pt idx="10">
                  <c:v>1.6E-2</c:v>
                </c:pt>
                <c:pt idx="11">
                  <c:v>0.02</c:v>
                </c:pt>
                <c:pt idx="12">
                  <c:v>0</c:v>
                </c:pt>
                <c:pt idx="16">
                  <c:v>0</c:v>
                </c:pt>
                <c:pt idx="20">
                  <c:v>4.9000000000000002E-2</c:v>
                </c:pt>
                <c:pt idx="21">
                  <c:v>0</c:v>
                </c:pt>
                <c:pt idx="23">
                  <c:v>4.9000000000000002E-2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0</c:v>
                </c:pt>
                <c:pt idx="39">
                  <c:v>-6.0999999999999999E-2</c:v>
                </c:pt>
                <c:pt idx="40">
                  <c:v>-0.84099999999999997</c:v>
                </c:pt>
                <c:pt idx="41">
                  <c:v>-1.0999999999999999E-2</c:v>
                </c:pt>
                <c:pt idx="42">
                  <c:v>-1E-3</c:v>
                </c:pt>
                <c:pt idx="43">
                  <c:v>-1E-3</c:v>
                </c:pt>
                <c:pt idx="44">
                  <c:v>0</c:v>
                </c:pt>
                <c:pt idx="48">
                  <c:v>1.0999999999999999E-2</c:v>
                </c:pt>
                <c:pt idx="49">
                  <c:v>6.0000000000000001E-3</c:v>
                </c:pt>
                <c:pt idx="50">
                  <c:v>0</c:v>
                </c:pt>
                <c:pt idx="54">
                  <c:v>8.9999999999999993E-3</c:v>
                </c:pt>
                <c:pt idx="55">
                  <c:v>1.2999999999999999E-2</c:v>
                </c:pt>
                <c:pt idx="56">
                  <c:v>0</c:v>
                </c:pt>
                <c:pt idx="60">
                  <c:v>1.2999999999999999E-2</c:v>
                </c:pt>
                <c:pt idx="61">
                  <c:v>1.2E-2</c:v>
                </c:pt>
                <c:pt idx="62">
                  <c:v>1.2999999999999999E-2</c:v>
                </c:pt>
                <c:pt idx="63">
                  <c:v>0</c:v>
                </c:pt>
                <c:pt idx="67">
                  <c:v>8.9999999999999993E-3</c:v>
                </c:pt>
                <c:pt idx="68">
                  <c:v>6.0000000000000001E-3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2-4E5F-92A2-1AEA927D24C3}"/>
            </c:ext>
          </c:extLst>
        </c:ser>
        <c:ser>
          <c:idx val="1"/>
          <c:order val="1"/>
          <c:tx>
            <c:v>Lap-Diff Brk_Wear_FR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All!$IR$6:$IR$79</c:f>
              <c:numCache>
                <c:formatCode>General</c:formatCode>
                <c:ptCount val="74"/>
                <c:pt idx="0">
                  <c:v>0</c:v>
                </c:pt>
                <c:pt idx="4">
                  <c:v>0.03</c:v>
                </c:pt>
                <c:pt idx="5">
                  <c:v>3.0000000000000001E-3</c:v>
                </c:pt>
                <c:pt idx="6">
                  <c:v>0</c:v>
                </c:pt>
                <c:pt idx="10">
                  <c:v>1.0999999999999999E-2</c:v>
                </c:pt>
                <c:pt idx="11">
                  <c:v>3.0000000000000001E-3</c:v>
                </c:pt>
                <c:pt idx="12">
                  <c:v>0</c:v>
                </c:pt>
                <c:pt idx="16">
                  <c:v>0</c:v>
                </c:pt>
                <c:pt idx="20">
                  <c:v>4.9000000000000002E-2</c:v>
                </c:pt>
                <c:pt idx="21">
                  <c:v>0</c:v>
                </c:pt>
                <c:pt idx="23">
                  <c:v>4.9000000000000002E-2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1.4999999999999999E-2</c:v>
                </c:pt>
                <c:pt idx="34">
                  <c:v>3.5999999999999997E-2</c:v>
                </c:pt>
                <c:pt idx="35">
                  <c:v>0</c:v>
                </c:pt>
                <c:pt idx="39">
                  <c:v>0.03</c:v>
                </c:pt>
                <c:pt idx="40">
                  <c:v>1.7999999999999999E-2</c:v>
                </c:pt>
                <c:pt idx="41">
                  <c:v>1.9E-2</c:v>
                </c:pt>
                <c:pt idx="42">
                  <c:v>7.0000000000000001E-3</c:v>
                </c:pt>
                <c:pt idx="43">
                  <c:v>1.7999999999999999E-2</c:v>
                </c:pt>
                <c:pt idx="44">
                  <c:v>0</c:v>
                </c:pt>
                <c:pt idx="48">
                  <c:v>2.4E-2</c:v>
                </c:pt>
                <c:pt idx="49">
                  <c:v>8.9999999999999993E-3</c:v>
                </c:pt>
                <c:pt idx="50">
                  <c:v>0</c:v>
                </c:pt>
                <c:pt idx="54">
                  <c:v>6.0000000000000001E-3</c:v>
                </c:pt>
                <c:pt idx="55">
                  <c:v>2E-3</c:v>
                </c:pt>
                <c:pt idx="56">
                  <c:v>0</c:v>
                </c:pt>
                <c:pt idx="60">
                  <c:v>0.01</c:v>
                </c:pt>
                <c:pt idx="61">
                  <c:v>7.0000000000000001E-3</c:v>
                </c:pt>
                <c:pt idx="62">
                  <c:v>7.0000000000000001E-3</c:v>
                </c:pt>
                <c:pt idx="63">
                  <c:v>0</c:v>
                </c:pt>
                <c:pt idx="67">
                  <c:v>6.0000000000000001E-3</c:v>
                </c:pt>
                <c:pt idx="68">
                  <c:v>4.0000000000000001E-3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72-4E5F-92A2-1AEA927D2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62320"/>
        <c:axId val="436178128"/>
      </c:scatterChart>
      <c:valAx>
        <c:axId val="43616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8128"/>
        <c:crosses val="autoZero"/>
        <c:crossBetween val="midCat"/>
      </c:valAx>
      <c:valAx>
        <c:axId val="43617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total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Disk wear 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All!$IS$6:$IS$79</c:f>
              <c:numCache>
                <c:formatCode>General</c:formatCode>
                <c:ptCount val="74"/>
                <c:pt idx="0">
                  <c:v>0</c:v>
                </c:pt>
                <c:pt idx="1">
                  <c:v>0.22500000000000001</c:v>
                </c:pt>
                <c:pt idx="2">
                  <c:v>0.22500000000000001</c:v>
                </c:pt>
                <c:pt idx="3">
                  <c:v>0.22500000000000001</c:v>
                </c:pt>
                <c:pt idx="4">
                  <c:v>0.22500000000000001</c:v>
                </c:pt>
                <c:pt idx="5">
                  <c:v>0.23700000000000002</c:v>
                </c:pt>
                <c:pt idx="6">
                  <c:v>0.23700000000000002</c:v>
                </c:pt>
                <c:pt idx="7">
                  <c:v>0.23700000000000002</c:v>
                </c:pt>
                <c:pt idx="8">
                  <c:v>0.23700000000000002</c:v>
                </c:pt>
                <c:pt idx="9">
                  <c:v>0.23700000000000002</c:v>
                </c:pt>
                <c:pt idx="10">
                  <c:v>0.23700000000000002</c:v>
                </c:pt>
                <c:pt idx="11">
                  <c:v>0.25700000000000001</c:v>
                </c:pt>
                <c:pt idx="12">
                  <c:v>0.25700000000000001</c:v>
                </c:pt>
                <c:pt idx="13">
                  <c:v>0.25700000000000001</c:v>
                </c:pt>
                <c:pt idx="14">
                  <c:v>0.25700000000000001</c:v>
                </c:pt>
                <c:pt idx="15">
                  <c:v>0.25700000000000001</c:v>
                </c:pt>
                <c:pt idx="16">
                  <c:v>0.25700000000000001</c:v>
                </c:pt>
                <c:pt idx="17">
                  <c:v>0.25700000000000001</c:v>
                </c:pt>
                <c:pt idx="18">
                  <c:v>0.25700000000000001</c:v>
                </c:pt>
                <c:pt idx="19">
                  <c:v>0.25700000000000001</c:v>
                </c:pt>
                <c:pt idx="20">
                  <c:v>0.25700000000000001</c:v>
                </c:pt>
                <c:pt idx="21">
                  <c:v>0.25700000000000001</c:v>
                </c:pt>
                <c:pt idx="22">
                  <c:v>0.25700000000000001</c:v>
                </c:pt>
                <c:pt idx="23">
                  <c:v>0.30599999999999999</c:v>
                </c:pt>
                <c:pt idx="24">
                  <c:v>0.30599999999999999</c:v>
                </c:pt>
                <c:pt idx="25">
                  <c:v>0.30599999999999999</c:v>
                </c:pt>
                <c:pt idx="26">
                  <c:v>0.30599999999999999</c:v>
                </c:pt>
                <c:pt idx="27">
                  <c:v>0.30599999999999999</c:v>
                </c:pt>
                <c:pt idx="28">
                  <c:v>0.30599999999999999</c:v>
                </c:pt>
                <c:pt idx="29">
                  <c:v>0.30599999999999999</c:v>
                </c:pt>
                <c:pt idx="30">
                  <c:v>0.30599999999999999</c:v>
                </c:pt>
                <c:pt idx="31">
                  <c:v>0.30599999999999999</c:v>
                </c:pt>
                <c:pt idx="32">
                  <c:v>0.30599999999999999</c:v>
                </c:pt>
                <c:pt idx="33">
                  <c:v>0.30599999999999999</c:v>
                </c:pt>
                <c:pt idx="34">
                  <c:v>0.33100000000000002</c:v>
                </c:pt>
                <c:pt idx="35">
                  <c:v>0.33100000000000002</c:v>
                </c:pt>
                <c:pt idx="36">
                  <c:v>0.33100000000000002</c:v>
                </c:pt>
                <c:pt idx="37">
                  <c:v>0.33100000000000002</c:v>
                </c:pt>
                <c:pt idx="38">
                  <c:v>0.33100000000000002</c:v>
                </c:pt>
                <c:pt idx="39">
                  <c:v>0.33100000000000002</c:v>
                </c:pt>
                <c:pt idx="40">
                  <c:v>-0.51</c:v>
                </c:pt>
                <c:pt idx="41">
                  <c:v>-0.52100000000000002</c:v>
                </c:pt>
                <c:pt idx="42">
                  <c:v>-0.52200000000000002</c:v>
                </c:pt>
                <c:pt idx="43">
                  <c:v>-0.52300000000000002</c:v>
                </c:pt>
                <c:pt idx="44">
                  <c:v>-0.52300000000000002</c:v>
                </c:pt>
                <c:pt idx="45">
                  <c:v>-0.52300000000000002</c:v>
                </c:pt>
                <c:pt idx="46">
                  <c:v>-0.52300000000000002</c:v>
                </c:pt>
                <c:pt idx="47">
                  <c:v>-0.52300000000000002</c:v>
                </c:pt>
                <c:pt idx="48">
                  <c:v>-0.52300000000000002</c:v>
                </c:pt>
                <c:pt idx="49">
                  <c:v>-0.51700000000000002</c:v>
                </c:pt>
                <c:pt idx="50">
                  <c:v>-0.51700000000000002</c:v>
                </c:pt>
                <c:pt idx="51">
                  <c:v>-0.51700000000000002</c:v>
                </c:pt>
                <c:pt idx="52">
                  <c:v>-0.51700000000000002</c:v>
                </c:pt>
                <c:pt idx="53">
                  <c:v>-0.51700000000000002</c:v>
                </c:pt>
                <c:pt idx="54">
                  <c:v>-0.51700000000000002</c:v>
                </c:pt>
                <c:pt idx="55">
                  <c:v>-0.504</c:v>
                </c:pt>
                <c:pt idx="56">
                  <c:v>-0.504</c:v>
                </c:pt>
                <c:pt idx="57">
                  <c:v>-0.504</c:v>
                </c:pt>
                <c:pt idx="58">
                  <c:v>-0.504</c:v>
                </c:pt>
                <c:pt idx="59">
                  <c:v>-0.504</c:v>
                </c:pt>
                <c:pt idx="60">
                  <c:v>-0.504</c:v>
                </c:pt>
                <c:pt idx="61">
                  <c:v>-0.49199999999999999</c:v>
                </c:pt>
                <c:pt idx="62">
                  <c:v>-0.47899999999999998</c:v>
                </c:pt>
                <c:pt idx="63">
                  <c:v>-0.47899999999999998</c:v>
                </c:pt>
                <c:pt idx="64">
                  <c:v>-0.47899999999999998</c:v>
                </c:pt>
                <c:pt idx="65">
                  <c:v>-0.47899999999999998</c:v>
                </c:pt>
                <c:pt idx="66">
                  <c:v>-0.47899999999999998</c:v>
                </c:pt>
                <c:pt idx="67">
                  <c:v>-0.47899999999999998</c:v>
                </c:pt>
                <c:pt idx="68">
                  <c:v>-0.47299999999999998</c:v>
                </c:pt>
                <c:pt idx="69">
                  <c:v>-0.47299999999999998</c:v>
                </c:pt>
                <c:pt idx="70">
                  <c:v>-0.47299999999999998</c:v>
                </c:pt>
                <c:pt idx="71">
                  <c:v>-0.47299999999999998</c:v>
                </c:pt>
                <c:pt idx="72">
                  <c:v>-0.47299999999999998</c:v>
                </c:pt>
                <c:pt idx="73">
                  <c:v>-0.47299999999999998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B1-4E23-854C-3ED077178810}"/>
            </c:ext>
          </c:extLst>
        </c:ser>
        <c:ser>
          <c:idx val="1"/>
          <c:order val="1"/>
          <c:tx>
            <c:v>Disk wear 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All!$IT$6:$IT$79</c:f>
              <c:numCache>
                <c:formatCode>General</c:formatCode>
                <c:ptCount val="74"/>
                <c:pt idx="0">
                  <c:v>0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0.10200000000000001</c:v>
                </c:pt>
                <c:pt idx="6">
                  <c:v>0.10200000000000001</c:v>
                </c:pt>
                <c:pt idx="7">
                  <c:v>0.10200000000000001</c:v>
                </c:pt>
                <c:pt idx="8">
                  <c:v>0.10200000000000001</c:v>
                </c:pt>
                <c:pt idx="9">
                  <c:v>0.10200000000000001</c:v>
                </c:pt>
                <c:pt idx="10">
                  <c:v>0.10200000000000001</c:v>
                </c:pt>
                <c:pt idx="11">
                  <c:v>0.10500000000000001</c:v>
                </c:pt>
                <c:pt idx="12">
                  <c:v>0.10500000000000001</c:v>
                </c:pt>
                <c:pt idx="13">
                  <c:v>0.10500000000000001</c:v>
                </c:pt>
                <c:pt idx="14">
                  <c:v>0.10500000000000001</c:v>
                </c:pt>
                <c:pt idx="15">
                  <c:v>0.10500000000000001</c:v>
                </c:pt>
                <c:pt idx="16">
                  <c:v>0.10500000000000001</c:v>
                </c:pt>
                <c:pt idx="17">
                  <c:v>0.10500000000000001</c:v>
                </c:pt>
                <c:pt idx="18">
                  <c:v>0.10500000000000001</c:v>
                </c:pt>
                <c:pt idx="19">
                  <c:v>0.10500000000000001</c:v>
                </c:pt>
                <c:pt idx="20">
                  <c:v>0.10500000000000001</c:v>
                </c:pt>
                <c:pt idx="21">
                  <c:v>0.10500000000000001</c:v>
                </c:pt>
                <c:pt idx="22">
                  <c:v>0.10500000000000001</c:v>
                </c:pt>
                <c:pt idx="23">
                  <c:v>0.15400000000000003</c:v>
                </c:pt>
                <c:pt idx="24">
                  <c:v>0.15400000000000003</c:v>
                </c:pt>
                <c:pt idx="25">
                  <c:v>0.15400000000000003</c:v>
                </c:pt>
                <c:pt idx="26">
                  <c:v>0.15400000000000003</c:v>
                </c:pt>
                <c:pt idx="27">
                  <c:v>0.15400000000000003</c:v>
                </c:pt>
                <c:pt idx="28">
                  <c:v>0.15400000000000003</c:v>
                </c:pt>
                <c:pt idx="29">
                  <c:v>0.15400000000000003</c:v>
                </c:pt>
                <c:pt idx="30">
                  <c:v>0.15400000000000003</c:v>
                </c:pt>
                <c:pt idx="31">
                  <c:v>0.15400000000000003</c:v>
                </c:pt>
                <c:pt idx="32">
                  <c:v>0.15400000000000003</c:v>
                </c:pt>
                <c:pt idx="33">
                  <c:v>0.15400000000000003</c:v>
                </c:pt>
                <c:pt idx="34">
                  <c:v>0.19000000000000003</c:v>
                </c:pt>
                <c:pt idx="35">
                  <c:v>0.19000000000000003</c:v>
                </c:pt>
                <c:pt idx="36">
                  <c:v>0.19000000000000003</c:v>
                </c:pt>
                <c:pt idx="37">
                  <c:v>0.19000000000000003</c:v>
                </c:pt>
                <c:pt idx="38">
                  <c:v>0.19000000000000003</c:v>
                </c:pt>
                <c:pt idx="39">
                  <c:v>0.19000000000000003</c:v>
                </c:pt>
                <c:pt idx="40">
                  <c:v>0.20800000000000002</c:v>
                </c:pt>
                <c:pt idx="41">
                  <c:v>0.22700000000000001</c:v>
                </c:pt>
                <c:pt idx="42">
                  <c:v>0.23400000000000001</c:v>
                </c:pt>
                <c:pt idx="43">
                  <c:v>0.252</c:v>
                </c:pt>
                <c:pt idx="44">
                  <c:v>0.252</c:v>
                </c:pt>
                <c:pt idx="45">
                  <c:v>0.252</c:v>
                </c:pt>
                <c:pt idx="46">
                  <c:v>0.252</c:v>
                </c:pt>
                <c:pt idx="47">
                  <c:v>0.252</c:v>
                </c:pt>
                <c:pt idx="48">
                  <c:v>0.252</c:v>
                </c:pt>
                <c:pt idx="49">
                  <c:v>0.26100000000000001</c:v>
                </c:pt>
                <c:pt idx="50">
                  <c:v>0.26100000000000001</c:v>
                </c:pt>
                <c:pt idx="51">
                  <c:v>0.26100000000000001</c:v>
                </c:pt>
                <c:pt idx="52">
                  <c:v>0.26100000000000001</c:v>
                </c:pt>
                <c:pt idx="53">
                  <c:v>0.26100000000000001</c:v>
                </c:pt>
                <c:pt idx="54">
                  <c:v>0.26100000000000001</c:v>
                </c:pt>
                <c:pt idx="55">
                  <c:v>0.26300000000000001</c:v>
                </c:pt>
                <c:pt idx="56">
                  <c:v>0.26300000000000001</c:v>
                </c:pt>
                <c:pt idx="57">
                  <c:v>0.26300000000000001</c:v>
                </c:pt>
                <c:pt idx="58">
                  <c:v>0.26300000000000001</c:v>
                </c:pt>
                <c:pt idx="59">
                  <c:v>0.26300000000000001</c:v>
                </c:pt>
                <c:pt idx="60">
                  <c:v>0.26300000000000001</c:v>
                </c:pt>
                <c:pt idx="61">
                  <c:v>0.27</c:v>
                </c:pt>
                <c:pt idx="62">
                  <c:v>0.27700000000000002</c:v>
                </c:pt>
                <c:pt idx="63">
                  <c:v>0.27700000000000002</c:v>
                </c:pt>
                <c:pt idx="64">
                  <c:v>0.27700000000000002</c:v>
                </c:pt>
                <c:pt idx="65">
                  <c:v>0.27700000000000002</c:v>
                </c:pt>
                <c:pt idx="66">
                  <c:v>0.27700000000000002</c:v>
                </c:pt>
                <c:pt idx="67">
                  <c:v>0.27700000000000002</c:v>
                </c:pt>
                <c:pt idx="68">
                  <c:v>0.28100000000000003</c:v>
                </c:pt>
                <c:pt idx="69">
                  <c:v>0.28100000000000003</c:v>
                </c:pt>
                <c:pt idx="70">
                  <c:v>0.28100000000000003</c:v>
                </c:pt>
                <c:pt idx="71">
                  <c:v>0.28100000000000003</c:v>
                </c:pt>
                <c:pt idx="72">
                  <c:v>0.28100000000000003</c:v>
                </c:pt>
                <c:pt idx="73">
                  <c:v>0.28100000000000003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B1-4E23-854C-3ED077178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73136"/>
        <c:axId val="436161904"/>
      </c:scatterChart>
      <c:valAx>
        <c:axId val="43617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1904"/>
        <c:crosses val="autoZero"/>
        <c:crossBetween val="midCat"/>
      </c:valAx>
      <c:valAx>
        <c:axId val="43616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3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All!$AV$6:$AV$79</c:f>
              <c:numCache>
                <c:formatCode>General</c:formatCode>
                <c:ptCount val="74"/>
                <c:pt idx="0">
                  <c:v>5.4595000000000002</c:v>
                </c:pt>
                <c:pt idx="4">
                  <c:v>3.8254999999999999</c:v>
                </c:pt>
                <c:pt idx="5">
                  <c:v>3.3365</c:v>
                </c:pt>
                <c:pt idx="6">
                  <c:v>3.3574999999999999</c:v>
                </c:pt>
                <c:pt idx="10">
                  <c:v>3.2925</c:v>
                </c:pt>
                <c:pt idx="11">
                  <c:v>3.2309999999999999</c:v>
                </c:pt>
                <c:pt idx="12">
                  <c:v>3.3780000000000001</c:v>
                </c:pt>
                <c:pt idx="16">
                  <c:v>3.1539999999999999</c:v>
                </c:pt>
                <c:pt idx="20">
                  <c:v>3.3624999999999998</c:v>
                </c:pt>
                <c:pt idx="21">
                  <c:v>3.157</c:v>
                </c:pt>
                <c:pt idx="23">
                  <c:v>3.3624999999999998</c:v>
                </c:pt>
                <c:pt idx="24">
                  <c:v>3.157</c:v>
                </c:pt>
                <c:pt idx="25">
                  <c:v>3.1829999999999998</c:v>
                </c:pt>
                <c:pt idx="29">
                  <c:v>2.972</c:v>
                </c:pt>
                <c:pt idx="33">
                  <c:v>3.1280000000000001</c:v>
                </c:pt>
                <c:pt idx="34">
                  <c:v>2.9580000000000002</c:v>
                </c:pt>
                <c:pt idx="35">
                  <c:v>3.754</c:v>
                </c:pt>
                <c:pt idx="39">
                  <c:v>3.0750000000000002</c:v>
                </c:pt>
                <c:pt idx="40">
                  <c:v>2.8075000000000001</c:v>
                </c:pt>
                <c:pt idx="41">
                  <c:v>2.7389999999999999</c:v>
                </c:pt>
                <c:pt idx="42">
                  <c:v>3.1280000000000001</c:v>
                </c:pt>
                <c:pt idx="43">
                  <c:v>2.762</c:v>
                </c:pt>
                <c:pt idx="44">
                  <c:v>3.2685</c:v>
                </c:pt>
                <c:pt idx="48">
                  <c:v>2.8965000000000001</c:v>
                </c:pt>
                <c:pt idx="49">
                  <c:v>2.8075000000000001</c:v>
                </c:pt>
                <c:pt idx="50">
                  <c:v>2.7705000000000002</c:v>
                </c:pt>
                <c:pt idx="54">
                  <c:v>2.9279999999999999</c:v>
                </c:pt>
                <c:pt idx="55">
                  <c:v>2.8075000000000001</c:v>
                </c:pt>
                <c:pt idx="56">
                  <c:v>2.86</c:v>
                </c:pt>
                <c:pt idx="60">
                  <c:v>2.8405</c:v>
                </c:pt>
                <c:pt idx="61">
                  <c:v>3.0665</c:v>
                </c:pt>
                <c:pt idx="62">
                  <c:v>2.7725</c:v>
                </c:pt>
                <c:pt idx="63">
                  <c:v>2.7320000000000002</c:v>
                </c:pt>
                <c:pt idx="67">
                  <c:v>2.6459999999999999</c:v>
                </c:pt>
                <c:pt idx="68">
                  <c:v>2.5514999999999999</c:v>
                </c:pt>
                <c:pt idx="69">
                  <c:v>2.5059999999999998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14-4814-9D89-D68D3E67C715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All!$AW$6:$AW$79</c:f>
              <c:numCache>
                <c:formatCode>General</c:formatCode>
                <c:ptCount val="74"/>
                <c:pt idx="0">
                  <c:v>6.3640999999999996</c:v>
                </c:pt>
                <c:pt idx="4">
                  <c:v>6.3087</c:v>
                </c:pt>
                <c:pt idx="5">
                  <c:v>5.9778000000000002</c:v>
                </c:pt>
                <c:pt idx="6">
                  <c:v>5.7744</c:v>
                </c:pt>
                <c:pt idx="10">
                  <c:v>5.7693000000000003</c:v>
                </c:pt>
                <c:pt idx="11">
                  <c:v>5.7754000000000003</c:v>
                </c:pt>
                <c:pt idx="12">
                  <c:v>5.6974999999999998</c:v>
                </c:pt>
                <c:pt idx="16">
                  <c:v>5.5368000000000004</c:v>
                </c:pt>
                <c:pt idx="20">
                  <c:v>5.5568</c:v>
                </c:pt>
                <c:pt idx="21">
                  <c:v>5.5503</c:v>
                </c:pt>
                <c:pt idx="23">
                  <c:v>5.5568</c:v>
                </c:pt>
                <c:pt idx="24">
                  <c:v>5.5503</c:v>
                </c:pt>
                <c:pt idx="25">
                  <c:v>5.5000999999999998</c:v>
                </c:pt>
                <c:pt idx="29">
                  <c:v>5.4816000000000003</c:v>
                </c:pt>
                <c:pt idx="33">
                  <c:v>5.1810999999999998</c:v>
                </c:pt>
                <c:pt idx="34">
                  <c:v>5.5726000000000004</c:v>
                </c:pt>
                <c:pt idx="35">
                  <c:v>5.0823</c:v>
                </c:pt>
                <c:pt idx="39">
                  <c:v>5.2070999999999996</c:v>
                </c:pt>
                <c:pt idx="40">
                  <c:v>5.5023</c:v>
                </c:pt>
                <c:pt idx="41">
                  <c:v>5.4999000000000002</c:v>
                </c:pt>
                <c:pt idx="42">
                  <c:v>5.5631000000000004</c:v>
                </c:pt>
                <c:pt idx="43">
                  <c:v>5.4680999999999997</c:v>
                </c:pt>
                <c:pt idx="44">
                  <c:v>5.2576999999999998</c:v>
                </c:pt>
                <c:pt idx="48">
                  <c:v>5.1055999999999999</c:v>
                </c:pt>
                <c:pt idx="49">
                  <c:v>5.4217000000000004</c:v>
                </c:pt>
                <c:pt idx="50">
                  <c:v>5.2302999999999997</c:v>
                </c:pt>
                <c:pt idx="54">
                  <c:v>5.3266</c:v>
                </c:pt>
                <c:pt idx="55">
                  <c:v>5.4226000000000001</c:v>
                </c:pt>
                <c:pt idx="56">
                  <c:v>5.2824999999999998</c:v>
                </c:pt>
                <c:pt idx="60">
                  <c:v>5.274</c:v>
                </c:pt>
                <c:pt idx="61">
                  <c:v>5.4520999999999997</c:v>
                </c:pt>
                <c:pt idx="62">
                  <c:v>5.3788</c:v>
                </c:pt>
                <c:pt idx="63">
                  <c:v>5.1230000000000002</c:v>
                </c:pt>
                <c:pt idx="67">
                  <c:v>5.2378999999999998</c:v>
                </c:pt>
                <c:pt idx="68">
                  <c:v>5.1951999999999998</c:v>
                </c:pt>
                <c:pt idx="69">
                  <c:v>5.2393999999999998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14-4814-9D89-D68D3E67C715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All!$FS$6:$FS$79</c:f>
              <c:numCache>
                <c:formatCode>General</c:formatCode>
                <c:ptCount val="74"/>
                <c:pt idx="0">
                  <c:v>7.3505000000000003</c:v>
                </c:pt>
                <c:pt idx="4">
                  <c:v>7.3730000000000002</c:v>
                </c:pt>
                <c:pt idx="5">
                  <c:v>7.0345000000000004</c:v>
                </c:pt>
                <c:pt idx="6">
                  <c:v>7.0780000000000003</c:v>
                </c:pt>
                <c:pt idx="10">
                  <c:v>6.9770000000000003</c:v>
                </c:pt>
                <c:pt idx="11">
                  <c:v>6.8505000000000003</c:v>
                </c:pt>
                <c:pt idx="12">
                  <c:v>6.9355000000000002</c:v>
                </c:pt>
                <c:pt idx="16">
                  <c:v>6.9790000000000001</c:v>
                </c:pt>
                <c:pt idx="20">
                  <c:v>6.92</c:v>
                </c:pt>
                <c:pt idx="21">
                  <c:v>6.8659999999999997</c:v>
                </c:pt>
                <c:pt idx="23">
                  <c:v>6.92</c:v>
                </c:pt>
                <c:pt idx="24">
                  <c:v>6.8659999999999997</c:v>
                </c:pt>
                <c:pt idx="25">
                  <c:v>6.9494999999999996</c:v>
                </c:pt>
                <c:pt idx="29">
                  <c:v>7.0324999999999998</c:v>
                </c:pt>
                <c:pt idx="33">
                  <c:v>6.9630000000000001</c:v>
                </c:pt>
                <c:pt idx="34">
                  <c:v>6.9284999999999997</c:v>
                </c:pt>
                <c:pt idx="35">
                  <c:v>6.4960000000000004</c:v>
                </c:pt>
                <c:pt idx="39">
                  <c:v>6.859</c:v>
                </c:pt>
                <c:pt idx="40">
                  <c:v>6.7359999999999998</c:v>
                </c:pt>
                <c:pt idx="41">
                  <c:v>6.8280000000000003</c:v>
                </c:pt>
                <c:pt idx="42">
                  <c:v>6.8449999999999998</c:v>
                </c:pt>
                <c:pt idx="43">
                  <c:v>6.8155000000000001</c:v>
                </c:pt>
                <c:pt idx="44">
                  <c:v>6.5185000000000004</c:v>
                </c:pt>
                <c:pt idx="48">
                  <c:v>6.7859999999999996</c:v>
                </c:pt>
                <c:pt idx="49">
                  <c:v>6.7480000000000002</c:v>
                </c:pt>
                <c:pt idx="50">
                  <c:v>6.8414999999999999</c:v>
                </c:pt>
                <c:pt idx="54">
                  <c:v>6.6749999999999998</c:v>
                </c:pt>
                <c:pt idx="55">
                  <c:v>6.7184999999999997</c:v>
                </c:pt>
                <c:pt idx="56">
                  <c:v>6.7984999999999998</c:v>
                </c:pt>
                <c:pt idx="60">
                  <c:v>6.7409999999999997</c:v>
                </c:pt>
                <c:pt idx="61">
                  <c:v>6.8</c:v>
                </c:pt>
                <c:pt idx="62">
                  <c:v>6.6645000000000003</c:v>
                </c:pt>
                <c:pt idx="63">
                  <c:v>6.7255000000000003</c:v>
                </c:pt>
                <c:pt idx="67">
                  <c:v>6.7409999999999997</c:v>
                </c:pt>
                <c:pt idx="68">
                  <c:v>6.6609999999999996</c:v>
                </c:pt>
                <c:pt idx="69">
                  <c:v>6.6455000000000002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14-4814-9D89-D68D3E67C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82288"/>
        <c:axId val="436177296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All!$FT$6:$FT$79</c:f>
              <c:numCache>
                <c:formatCode>General</c:formatCode>
                <c:ptCount val="74"/>
                <c:pt idx="0">
                  <c:v>1051.8</c:v>
                </c:pt>
                <c:pt idx="4">
                  <c:v>1059</c:v>
                </c:pt>
                <c:pt idx="5">
                  <c:v>1077.3</c:v>
                </c:pt>
                <c:pt idx="6">
                  <c:v>1079.9000000000001</c:v>
                </c:pt>
                <c:pt idx="10">
                  <c:v>1071.0999999999999</c:v>
                </c:pt>
                <c:pt idx="11">
                  <c:v>1069.8</c:v>
                </c:pt>
                <c:pt idx="12">
                  <c:v>1066.2</c:v>
                </c:pt>
                <c:pt idx="16">
                  <c:v>1063.0999999999999</c:v>
                </c:pt>
                <c:pt idx="20">
                  <c:v>1071.4000000000001</c:v>
                </c:pt>
                <c:pt idx="21">
                  <c:v>1063.4000000000001</c:v>
                </c:pt>
                <c:pt idx="23">
                  <c:v>1071.4000000000001</c:v>
                </c:pt>
                <c:pt idx="24">
                  <c:v>1063.4000000000001</c:v>
                </c:pt>
                <c:pt idx="25">
                  <c:v>1061</c:v>
                </c:pt>
                <c:pt idx="29">
                  <c:v>1064.7</c:v>
                </c:pt>
                <c:pt idx="33">
                  <c:v>1063.0999999999999</c:v>
                </c:pt>
                <c:pt idx="34">
                  <c:v>1066.2</c:v>
                </c:pt>
                <c:pt idx="35">
                  <c:v>1045.5999999999999</c:v>
                </c:pt>
                <c:pt idx="39">
                  <c:v>1070.7</c:v>
                </c:pt>
                <c:pt idx="40">
                  <c:v>1064.7</c:v>
                </c:pt>
                <c:pt idx="41">
                  <c:v>1067.8</c:v>
                </c:pt>
                <c:pt idx="42">
                  <c:v>1062.7</c:v>
                </c:pt>
                <c:pt idx="43">
                  <c:v>1059.0999999999999</c:v>
                </c:pt>
                <c:pt idx="44">
                  <c:v>1037.7</c:v>
                </c:pt>
                <c:pt idx="48">
                  <c:v>1056.9000000000001</c:v>
                </c:pt>
                <c:pt idx="49">
                  <c:v>1064.3</c:v>
                </c:pt>
                <c:pt idx="50">
                  <c:v>1064.7</c:v>
                </c:pt>
                <c:pt idx="54">
                  <c:v>1060.7</c:v>
                </c:pt>
                <c:pt idx="55">
                  <c:v>1060.2</c:v>
                </c:pt>
                <c:pt idx="56">
                  <c:v>1059.5</c:v>
                </c:pt>
                <c:pt idx="60">
                  <c:v>1069.4000000000001</c:v>
                </c:pt>
                <c:pt idx="61">
                  <c:v>1055.5</c:v>
                </c:pt>
                <c:pt idx="62">
                  <c:v>1058.2</c:v>
                </c:pt>
                <c:pt idx="63">
                  <c:v>1060.5999999999999</c:v>
                </c:pt>
                <c:pt idx="67">
                  <c:v>1062.0999999999999</c:v>
                </c:pt>
                <c:pt idx="68">
                  <c:v>1070.5999999999999</c:v>
                </c:pt>
                <c:pt idx="69">
                  <c:v>1064.3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14-4814-9D89-D68D3E67C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52336"/>
        <c:axId val="375156912"/>
      </c:scatterChart>
      <c:valAx>
        <c:axId val="43618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7296"/>
        <c:crosses val="autoZero"/>
        <c:crossBetween val="midCat"/>
      </c:valAx>
      <c:valAx>
        <c:axId val="43617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2288"/>
        <c:crosses val="autoZero"/>
        <c:crossBetween val="midCat"/>
      </c:valAx>
      <c:valAx>
        <c:axId val="375156912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52336"/>
        <c:crosses val="max"/>
        <c:crossBetween val="midCat"/>
      </c:valAx>
      <c:valAx>
        <c:axId val="375152336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691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All!$AT$6:$AT$79</c:f>
              <c:numCache>
                <c:formatCode>General</c:formatCode>
                <c:ptCount val="74"/>
                <c:pt idx="0">
                  <c:v>86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10">
                  <c:v>84</c:v>
                </c:pt>
                <c:pt idx="11">
                  <c:v>83</c:v>
                </c:pt>
                <c:pt idx="12">
                  <c:v>82</c:v>
                </c:pt>
                <c:pt idx="16">
                  <c:v>83</c:v>
                </c:pt>
                <c:pt idx="20">
                  <c:v>85</c:v>
                </c:pt>
                <c:pt idx="21">
                  <c:v>83</c:v>
                </c:pt>
                <c:pt idx="23">
                  <c:v>85</c:v>
                </c:pt>
                <c:pt idx="24">
                  <c:v>83</c:v>
                </c:pt>
                <c:pt idx="25">
                  <c:v>84</c:v>
                </c:pt>
                <c:pt idx="29">
                  <c:v>85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4">
                  <c:v>84</c:v>
                </c:pt>
                <c:pt idx="55">
                  <c:v>82</c:v>
                </c:pt>
                <c:pt idx="56">
                  <c:v>82</c:v>
                </c:pt>
                <c:pt idx="60">
                  <c:v>83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95-4420-A122-9CC66B1EE6C1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All!$FL$6:$FL$79</c:f>
              <c:numCache>
                <c:formatCode>General</c:formatCode>
                <c:ptCount val="74"/>
                <c:pt idx="0">
                  <c:v>86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10">
                  <c:v>85</c:v>
                </c:pt>
                <c:pt idx="11">
                  <c:v>83</c:v>
                </c:pt>
                <c:pt idx="12">
                  <c:v>83</c:v>
                </c:pt>
                <c:pt idx="16">
                  <c:v>83</c:v>
                </c:pt>
                <c:pt idx="20">
                  <c:v>85</c:v>
                </c:pt>
                <c:pt idx="21">
                  <c:v>83</c:v>
                </c:pt>
                <c:pt idx="23">
                  <c:v>85</c:v>
                </c:pt>
                <c:pt idx="24">
                  <c:v>83</c:v>
                </c:pt>
                <c:pt idx="25">
                  <c:v>85</c:v>
                </c:pt>
                <c:pt idx="29">
                  <c:v>86</c:v>
                </c:pt>
                <c:pt idx="33">
                  <c:v>82</c:v>
                </c:pt>
                <c:pt idx="34">
                  <c:v>83</c:v>
                </c:pt>
                <c:pt idx="35">
                  <c:v>82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82</c:v>
                </c:pt>
                <c:pt idx="48">
                  <c:v>82</c:v>
                </c:pt>
                <c:pt idx="49">
                  <c:v>83</c:v>
                </c:pt>
                <c:pt idx="50">
                  <c:v>83</c:v>
                </c:pt>
                <c:pt idx="54">
                  <c:v>84</c:v>
                </c:pt>
                <c:pt idx="55">
                  <c:v>82</c:v>
                </c:pt>
                <c:pt idx="56">
                  <c:v>82</c:v>
                </c:pt>
                <c:pt idx="60">
                  <c:v>83</c:v>
                </c:pt>
                <c:pt idx="61">
                  <c:v>82</c:v>
                </c:pt>
                <c:pt idx="62">
                  <c:v>83</c:v>
                </c:pt>
                <c:pt idx="63">
                  <c:v>83</c:v>
                </c:pt>
                <c:pt idx="67">
                  <c:v>83</c:v>
                </c:pt>
                <c:pt idx="68">
                  <c:v>82</c:v>
                </c:pt>
                <c:pt idx="69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95-4420-A122-9CC66B1EE6C1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All!$AU$6:$AU$79</c:f>
              <c:numCache>
                <c:formatCode>General</c:formatCode>
                <c:ptCount val="74"/>
                <c:pt idx="0">
                  <c:v>68</c:v>
                </c:pt>
                <c:pt idx="4">
                  <c:v>89</c:v>
                </c:pt>
                <c:pt idx="5">
                  <c:v>101</c:v>
                </c:pt>
                <c:pt idx="6">
                  <c:v>106</c:v>
                </c:pt>
                <c:pt idx="10">
                  <c:v>105</c:v>
                </c:pt>
                <c:pt idx="11">
                  <c:v>108</c:v>
                </c:pt>
                <c:pt idx="12">
                  <c:v>109</c:v>
                </c:pt>
                <c:pt idx="16">
                  <c:v>98</c:v>
                </c:pt>
                <c:pt idx="20">
                  <c:v>103</c:v>
                </c:pt>
                <c:pt idx="21">
                  <c:v>107</c:v>
                </c:pt>
                <c:pt idx="23">
                  <c:v>103</c:v>
                </c:pt>
                <c:pt idx="24">
                  <c:v>107</c:v>
                </c:pt>
                <c:pt idx="25">
                  <c:v>100</c:v>
                </c:pt>
                <c:pt idx="29">
                  <c:v>103</c:v>
                </c:pt>
                <c:pt idx="33">
                  <c:v>86</c:v>
                </c:pt>
                <c:pt idx="34">
                  <c:v>98</c:v>
                </c:pt>
                <c:pt idx="35">
                  <c:v>100</c:v>
                </c:pt>
                <c:pt idx="39">
                  <c:v>94</c:v>
                </c:pt>
                <c:pt idx="40">
                  <c:v>103</c:v>
                </c:pt>
                <c:pt idx="41">
                  <c:v>108</c:v>
                </c:pt>
                <c:pt idx="42">
                  <c:v>109</c:v>
                </c:pt>
                <c:pt idx="43">
                  <c:v>110</c:v>
                </c:pt>
                <c:pt idx="44">
                  <c:v>110</c:v>
                </c:pt>
                <c:pt idx="48">
                  <c:v>90</c:v>
                </c:pt>
                <c:pt idx="49">
                  <c:v>100</c:v>
                </c:pt>
                <c:pt idx="50">
                  <c:v>105</c:v>
                </c:pt>
                <c:pt idx="54">
                  <c:v>104</c:v>
                </c:pt>
                <c:pt idx="55">
                  <c:v>107</c:v>
                </c:pt>
                <c:pt idx="56">
                  <c:v>108</c:v>
                </c:pt>
                <c:pt idx="60">
                  <c:v>106</c:v>
                </c:pt>
                <c:pt idx="61">
                  <c:v>108</c:v>
                </c:pt>
                <c:pt idx="62">
                  <c:v>109</c:v>
                </c:pt>
                <c:pt idx="63">
                  <c:v>110</c:v>
                </c:pt>
                <c:pt idx="67">
                  <c:v>105</c:v>
                </c:pt>
                <c:pt idx="68">
                  <c:v>107</c:v>
                </c:pt>
                <c:pt idx="6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95-4420-A122-9CC66B1EE6C1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All!$IC$6:$IC$79</c:f>
              <c:numCache>
                <c:formatCode>General</c:formatCode>
                <c:ptCount val="74"/>
                <c:pt idx="0">
                  <c:v>5.37</c:v>
                </c:pt>
                <c:pt idx="4">
                  <c:v>14.351000000000001</c:v>
                </c:pt>
                <c:pt idx="5">
                  <c:v>21.7</c:v>
                </c:pt>
                <c:pt idx="6">
                  <c:v>22.167999999999999</c:v>
                </c:pt>
                <c:pt idx="10">
                  <c:v>19.526</c:v>
                </c:pt>
                <c:pt idx="11">
                  <c:v>22.056999999999999</c:v>
                </c:pt>
                <c:pt idx="12">
                  <c:v>21.959</c:v>
                </c:pt>
                <c:pt idx="16">
                  <c:v>16.178000000000001</c:v>
                </c:pt>
                <c:pt idx="20">
                  <c:v>19.379000000000001</c:v>
                </c:pt>
                <c:pt idx="21">
                  <c:v>22.132999999999999</c:v>
                </c:pt>
                <c:pt idx="23">
                  <c:v>19.379000000000001</c:v>
                </c:pt>
                <c:pt idx="24">
                  <c:v>22.132999999999999</c:v>
                </c:pt>
                <c:pt idx="25">
                  <c:v>17.318000000000001</c:v>
                </c:pt>
                <c:pt idx="29">
                  <c:v>19.297000000000001</c:v>
                </c:pt>
                <c:pt idx="33">
                  <c:v>10.038</c:v>
                </c:pt>
                <c:pt idx="34">
                  <c:v>21.309000000000001</c:v>
                </c:pt>
                <c:pt idx="35">
                  <c:v>14.51</c:v>
                </c:pt>
                <c:pt idx="39">
                  <c:v>13.87</c:v>
                </c:pt>
                <c:pt idx="40">
                  <c:v>21.541</c:v>
                </c:pt>
                <c:pt idx="41">
                  <c:v>21.962</c:v>
                </c:pt>
                <c:pt idx="42">
                  <c:v>21.887</c:v>
                </c:pt>
                <c:pt idx="43">
                  <c:v>21.483000000000001</c:v>
                </c:pt>
                <c:pt idx="44">
                  <c:v>17.762</c:v>
                </c:pt>
                <c:pt idx="48">
                  <c:v>14.589</c:v>
                </c:pt>
                <c:pt idx="49">
                  <c:v>20.814</c:v>
                </c:pt>
                <c:pt idx="50">
                  <c:v>20.483000000000001</c:v>
                </c:pt>
                <c:pt idx="54">
                  <c:v>18.678000000000001</c:v>
                </c:pt>
                <c:pt idx="55">
                  <c:v>21.347999999999999</c:v>
                </c:pt>
                <c:pt idx="56">
                  <c:v>21.2</c:v>
                </c:pt>
                <c:pt idx="60">
                  <c:v>19.079999999999998</c:v>
                </c:pt>
                <c:pt idx="61">
                  <c:v>21.396999999999998</c:v>
                </c:pt>
                <c:pt idx="62">
                  <c:v>21.57</c:v>
                </c:pt>
                <c:pt idx="63">
                  <c:v>20.477</c:v>
                </c:pt>
                <c:pt idx="67">
                  <c:v>19.013999999999999</c:v>
                </c:pt>
                <c:pt idx="68">
                  <c:v>21.445</c:v>
                </c:pt>
                <c:pt idx="69">
                  <c:v>21.585999999999999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95-4420-A122-9CC66B1EE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3920"/>
        <c:axId val="436193104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All!$EK$6:$EK$79</c:f>
              <c:numCache>
                <c:formatCode>General</c:formatCode>
                <c:ptCount val="74"/>
                <c:pt idx="0">
                  <c:v>52.95</c:v>
                </c:pt>
                <c:pt idx="4">
                  <c:v>58.116999999999997</c:v>
                </c:pt>
                <c:pt idx="5">
                  <c:v>59.991</c:v>
                </c:pt>
                <c:pt idx="6">
                  <c:v>59.844000000000001</c:v>
                </c:pt>
                <c:pt idx="10">
                  <c:v>59.933</c:v>
                </c:pt>
                <c:pt idx="11">
                  <c:v>60.136000000000003</c:v>
                </c:pt>
                <c:pt idx="12">
                  <c:v>60.404000000000003</c:v>
                </c:pt>
                <c:pt idx="16">
                  <c:v>57.728999999999999</c:v>
                </c:pt>
                <c:pt idx="20">
                  <c:v>58.412999999999997</c:v>
                </c:pt>
                <c:pt idx="21">
                  <c:v>59.4</c:v>
                </c:pt>
                <c:pt idx="23">
                  <c:v>58.412999999999997</c:v>
                </c:pt>
                <c:pt idx="24">
                  <c:v>59.4</c:v>
                </c:pt>
                <c:pt idx="25">
                  <c:v>58.213000000000001</c:v>
                </c:pt>
                <c:pt idx="29">
                  <c:v>59.179000000000002</c:v>
                </c:pt>
                <c:pt idx="33">
                  <c:v>58.598999999999997</c:v>
                </c:pt>
                <c:pt idx="34">
                  <c:v>62.518999999999998</c:v>
                </c:pt>
                <c:pt idx="35">
                  <c:v>61.453000000000003</c:v>
                </c:pt>
                <c:pt idx="39">
                  <c:v>59.145000000000003</c:v>
                </c:pt>
                <c:pt idx="40">
                  <c:v>63.481999999999999</c:v>
                </c:pt>
                <c:pt idx="41">
                  <c:v>63.116</c:v>
                </c:pt>
                <c:pt idx="42">
                  <c:v>62.837000000000003</c:v>
                </c:pt>
                <c:pt idx="43">
                  <c:v>63.241999999999997</c:v>
                </c:pt>
                <c:pt idx="44">
                  <c:v>62.405000000000001</c:v>
                </c:pt>
                <c:pt idx="48">
                  <c:v>45.356000000000002</c:v>
                </c:pt>
                <c:pt idx="49">
                  <c:v>63.679000000000002</c:v>
                </c:pt>
                <c:pt idx="50">
                  <c:v>63.737000000000002</c:v>
                </c:pt>
                <c:pt idx="54">
                  <c:v>62.843000000000004</c:v>
                </c:pt>
                <c:pt idx="55">
                  <c:v>63.981999999999999</c:v>
                </c:pt>
                <c:pt idx="56">
                  <c:v>63.707000000000001</c:v>
                </c:pt>
                <c:pt idx="60">
                  <c:v>63.384</c:v>
                </c:pt>
                <c:pt idx="61">
                  <c:v>63.941000000000003</c:v>
                </c:pt>
                <c:pt idx="62">
                  <c:v>64.034999999999997</c:v>
                </c:pt>
                <c:pt idx="63">
                  <c:v>64.281000000000006</c:v>
                </c:pt>
                <c:pt idx="67">
                  <c:v>62.209000000000003</c:v>
                </c:pt>
                <c:pt idx="68">
                  <c:v>64.099999999999994</c:v>
                </c:pt>
                <c:pt idx="69">
                  <c:v>64.381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95-4420-A122-9CC66B1EE6C1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All!$IC$6:$IC$79</c:f>
              <c:numCache>
                <c:formatCode>General</c:formatCode>
                <c:ptCount val="74"/>
                <c:pt idx="0">
                  <c:v>5.37</c:v>
                </c:pt>
                <c:pt idx="4">
                  <c:v>14.351000000000001</c:v>
                </c:pt>
                <c:pt idx="5">
                  <c:v>21.7</c:v>
                </c:pt>
                <c:pt idx="6">
                  <c:v>22.167999999999999</c:v>
                </c:pt>
                <c:pt idx="10">
                  <c:v>19.526</c:v>
                </c:pt>
                <c:pt idx="11">
                  <c:v>22.056999999999999</c:v>
                </c:pt>
                <c:pt idx="12">
                  <c:v>21.959</c:v>
                </c:pt>
                <c:pt idx="16">
                  <c:v>16.178000000000001</c:v>
                </c:pt>
                <c:pt idx="20">
                  <c:v>19.379000000000001</c:v>
                </c:pt>
                <c:pt idx="21">
                  <c:v>22.132999999999999</c:v>
                </c:pt>
                <c:pt idx="23">
                  <c:v>19.379000000000001</c:v>
                </c:pt>
                <c:pt idx="24">
                  <c:v>22.132999999999999</c:v>
                </c:pt>
                <c:pt idx="25">
                  <c:v>17.318000000000001</c:v>
                </c:pt>
                <c:pt idx="29">
                  <c:v>19.297000000000001</c:v>
                </c:pt>
                <c:pt idx="33">
                  <c:v>10.038</c:v>
                </c:pt>
                <c:pt idx="34">
                  <c:v>21.309000000000001</c:v>
                </c:pt>
                <c:pt idx="35">
                  <c:v>14.51</c:v>
                </c:pt>
                <c:pt idx="39">
                  <c:v>13.87</c:v>
                </c:pt>
                <c:pt idx="40">
                  <c:v>21.541</c:v>
                </c:pt>
                <c:pt idx="41">
                  <c:v>21.962</c:v>
                </c:pt>
                <c:pt idx="42">
                  <c:v>21.887</c:v>
                </c:pt>
                <c:pt idx="43">
                  <c:v>21.483000000000001</c:v>
                </c:pt>
                <c:pt idx="44">
                  <c:v>17.762</c:v>
                </c:pt>
                <c:pt idx="48">
                  <c:v>14.589</c:v>
                </c:pt>
                <c:pt idx="49">
                  <c:v>20.814</c:v>
                </c:pt>
                <c:pt idx="50">
                  <c:v>20.483000000000001</c:v>
                </c:pt>
                <c:pt idx="54">
                  <c:v>18.678000000000001</c:v>
                </c:pt>
                <c:pt idx="55">
                  <c:v>21.347999999999999</c:v>
                </c:pt>
                <c:pt idx="56">
                  <c:v>21.2</c:v>
                </c:pt>
                <c:pt idx="60">
                  <c:v>19.079999999999998</c:v>
                </c:pt>
                <c:pt idx="61">
                  <c:v>21.396999999999998</c:v>
                </c:pt>
                <c:pt idx="62">
                  <c:v>21.57</c:v>
                </c:pt>
                <c:pt idx="63">
                  <c:v>20.477</c:v>
                </c:pt>
                <c:pt idx="67">
                  <c:v>19.013999999999999</c:v>
                </c:pt>
                <c:pt idx="68">
                  <c:v>21.445</c:v>
                </c:pt>
                <c:pt idx="69">
                  <c:v>21.585999999999999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95-4420-A122-9CC66B1EE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56080"/>
        <c:axId val="375136944"/>
      </c:scatterChart>
      <c:valAx>
        <c:axId val="43620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3104"/>
        <c:crosses val="autoZero"/>
        <c:crossBetween val="midCat"/>
      </c:valAx>
      <c:valAx>
        <c:axId val="436193104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3920"/>
        <c:crosses val="autoZero"/>
        <c:crossBetween val="midCat"/>
      </c:valAx>
      <c:valAx>
        <c:axId val="375136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56080"/>
        <c:crosses val="max"/>
        <c:crossBetween val="midCat"/>
      </c:valAx>
      <c:valAx>
        <c:axId val="375156080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3694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All!$CU$6:$CU$79</c:f>
              <c:numCache>
                <c:formatCode>General</c:formatCode>
                <c:ptCount val="74"/>
                <c:pt idx="0">
                  <c:v>0.29699999999999999</c:v>
                </c:pt>
                <c:pt idx="4">
                  <c:v>0.70199999999999996</c:v>
                </c:pt>
                <c:pt idx="5">
                  <c:v>1.1040000000000001</c:v>
                </c:pt>
                <c:pt idx="6">
                  <c:v>0.69899999999999995</c:v>
                </c:pt>
                <c:pt idx="10">
                  <c:v>1.2</c:v>
                </c:pt>
                <c:pt idx="11">
                  <c:v>0.8</c:v>
                </c:pt>
                <c:pt idx="12">
                  <c:v>1.2</c:v>
                </c:pt>
                <c:pt idx="16">
                  <c:v>0.89400000000000002</c:v>
                </c:pt>
                <c:pt idx="20">
                  <c:v>1.9019999999999999</c:v>
                </c:pt>
                <c:pt idx="21">
                  <c:v>0.79900000000000004</c:v>
                </c:pt>
                <c:pt idx="23">
                  <c:v>1.9019999999999999</c:v>
                </c:pt>
                <c:pt idx="24">
                  <c:v>0.79900000000000004</c:v>
                </c:pt>
                <c:pt idx="25">
                  <c:v>4.4809999999999999</c:v>
                </c:pt>
                <c:pt idx="29">
                  <c:v>1.1000000000000001</c:v>
                </c:pt>
                <c:pt idx="33">
                  <c:v>1.9019999999999999</c:v>
                </c:pt>
                <c:pt idx="34">
                  <c:v>0.79900000000000004</c:v>
                </c:pt>
                <c:pt idx="35">
                  <c:v>0.5</c:v>
                </c:pt>
                <c:pt idx="39">
                  <c:v>1.601</c:v>
                </c:pt>
                <c:pt idx="40">
                  <c:v>0.9</c:v>
                </c:pt>
                <c:pt idx="41">
                  <c:v>1.498</c:v>
                </c:pt>
                <c:pt idx="42">
                  <c:v>1</c:v>
                </c:pt>
                <c:pt idx="43">
                  <c:v>1.2030000000000001</c:v>
                </c:pt>
                <c:pt idx="44">
                  <c:v>4.6379999999999999</c:v>
                </c:pt>
                <c:pt idx="48">
                  <c:v>1.4950000000000001</c:v>
                </c:pt>
                <c:pt idx="49">
                  <c:v>0.90200000000000002</c:v>
                </c:pt>
                <c:pt idx="50">
                  <c:v>1.0980000000000001</c:v>
                </c:pt>
                <c:pt idx="54">
                  <c:v>0.89900000000000002</c:v>
                </c:pt>
                <c:pt idx="55">
                  <c:v>1.8959999999999999</c:v>
                </c:pt>
                <c:pt idx="56">
                  <c:v>1</c:v>
                </c:pt>
                <c:pt idx="60">
                  <c:v>1.4970000000000001</c:v>
                </c:pt>
                <c:pt idx="61">
                  <c:v>2.0009999999999999</c:v>
                </c:pt>
                <c:pt idx="62">
                  <c:v>0.89900000000000002</c:v>
                </c:pt>
                <c:pt idx="63">
                  <c:v>1.302</c:v>
                </c:pt>
                <c:pt idx="67">
                  <c:v>1.893</c:v>
                </c:pt>
                <c:pt idx="68">
                  <c:v>1.4970000000000001</c:v>
                </c:pt>
                <c:pt idx="69">
                  <c:v>0.69599999999999995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CB-4041-8226-FD2838CEFB95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All!$CV$6:$CV$79</c:f>
              <c:numCache>
                <c:formatCode>General</c:formatCode>
                <c:ptCount val="74"/>
                <c:pt idx="0">
                  <c:v>0.497</c:v>
                </c:pt>
                <c:pt idx="4">
                  <c:v>1.899</c:v>
                </c:pt>
                <c:pt idx="5">
                  <c:v>0.999</c:v>
                </c:pt>
                <c:pt idx="6">
                  <c:v>0.999</c:v>
                </c:pt>
                <c:pt idx="10">
                  <c:v>0.7</c:v>
                </c:pt>
                <c:pt idx="11">
                  <c:v>0.80100000000000005</c:v>
                </c:pt>
                <c:pt idx="12">
                  <c:v>0.69799999999999995</c:v>
                </c:pt>
                <c:pt idx="16">
                  <c:v>1.0980000000000001</c:v>
                </c:pt>
                <c:pt idx="20">
                  <c:v>1.2</c:v>
                </c:pt>
                <c:pt idx="21">
                  <c:v>0.80100000000000005</c:v>
                </c:pt>
                <c:pt idx="23">
                  <c:v>1.2</c:v>
                </c:pt>
                <c:pt idx="24">
                  <c:v>0.80100000000000005</c:v>
                </c:pt>
                <c:pt idx="25">
                  <c:v>3.78</c:v>
                </c:pt>
                <c:pt idx="29">
                  <c:v>1.298</c:v>
                </c:pt>
                <c:pt idx="33">
                  <c:v>1.5029999999999999</c:v>
                </c:pt>
                <c:pt idx="34">
                  <c:v>0.90100000000000002</c:v>
                </c:pt>
                <c:pt idx="35">
                  <c:v>0.2</c:v>
                </c:pt>
                <c:pt idx="39">
                  <c:v>1.099</c:v>
                </c:pt>
                <c:pt idx="40">
                  <c:v>1.2969999999999999</c:v>
                </c:pt>
                <c:pt idx="41">
                  <c:v>1.395</c:v>
                </c:pt>
                <c:pt idx="42">
                  <c:v>1.399</c:v>
                </c:pt>
                <c:pt idx="43">
                  <c:v>0.9</c:v>
                </c:pt>
                <c:pt idx="44">
                  <c:v>4.04</c:v>
                </c:pt>
                <c:pt idx="48">
                  <c:v>0.998</c:v>
                </c:pt>
                <c:pt idx="49">
                  <c:v>0.89800000000000002</c:v>
                </c:pt>
                <c:pt idx="50">
                  <c:v>0.7</c:v>
                </c:pt>
                <c:pt idx="54">
                  <c:v>1</c:v>
                </c:pt>
                <c:pt idx="55">
                  <c:v>0.998</c:v>
                </c:pt>
                <c:pt idx="56">
                  <c:v>1.2030000000000001</c:v>
                </c:pt>
                <c:pt idx="60">
                  <c:v>1.696</c:v>
                </c:pt>
                <c:pt idx="61">
                  <c:v>0.7</c:v>
                </c:pt>
                <c:pt idx="62">
                  <c:v>1.0009999999999999</c:v>
                </c:pt>
                <c:pt idx="63">
                  <c:v>1.399</c:v>
                </c:pt>
                <c:pt idx="67">
                  <c:v>1.393</c:v>
                </c:pt>
                <c:pt idx="68">
                  <c:v>1.8</c:v>
                </c:pt>
                <c:pt idx="69">
                  <c:v>0.59799999999999998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CB-4041-8226-FD2838CEFB95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All!$CW$6:$CW$79</c:f>
              <c:numCache>
                <c:formatCode>General</c:formatCode>
                <c:ptCount val="74"/>
                <c:pt idx="0">
                  <c:v>9.9000000000000005E-2</c:v>
                </c:pt>
                <c:pt idx="4">
                  <c:v>0.69899999999999995</c:v>
                </c:pt>
                <c:pt idx="5">
                  <c:v>0.7</c:v>
                </c:pt>
                <c:pt idx="6">
                  <c:v>0.40100000000000002</c:v>
                </c:pt>
                <c:pt idx="10">
                  <c:v>0.999</c:v>
                </c:pt>
                <c:pt idx="11">
                  <c:v>0.7</c:v>
                </c:pt>
                <c:pt idx="12">
                  <c:v>0.60199999999999998</c:v>
                </c:pt>
                <c:pt idx="16">
                  <c:v>0.89900000000000002</c:v>
                </c:pt>
                <c:pt idx="20">
                  <c:v>1.403</c:v>
                </c:pt>
                <c:pt idx="21">
                  <c:v>0.80100000000000005</c:v>
                </c:pt>
                <c:pt idx="23">
                  <c:v>1.403</c:v>
                </c:pt>
                <c:pt idx="24">
                  <c:v>0.80100000000000005</c:v>
                </c:pt>
                <c:pt idx="25">
                  <c:v>3.68</c:v>
                </c:pt>
                <c:pt idx="29">
                  <c:v>0.5</c:v>
                </c:pt>
                <c:pt idx="33">
                  <c:v>1.0980000000000001</c:v>
                </c:pt>
                <c:pt idx="34">
                  <c:v>1.397</c:v>
                </c:pt>
                <c:pt idx="35">
                  <c:v>0.3</c:v>
                </c:pt>
                <c:pt idx="39">
                  <c:v>1.099</c:v>
                </c:pt>
                <c:pt idx="40">
                  <c:v>1.8</c:v>
                </c:pt>
                <c:pt idx="41">
                  <c:v>1.099</c:v>
                </c:pt>
                <c:pt idx="42">
                  <c:v>1.2</c:v>
                </c:pt>
                <c:pt idx="43">
                  <c:v>1.5</c:v>
                </c:pt>
                <c:pt idx="44">
                  <c:v>4.242</c:v>
                </c:pt>
                <c:pt idx="48">
                  <c:v>0.69899999999999995</c:v>
                </c:pt>
                <c:pt idx="49">
                  <c:v>0.80100000000000005</c:v>
                </c:pt>
                <c:pt idx="50">
                  <c:v>1.4</c:v>
                </c:pt>
                <c:pt idx="54">
                  <c:v>1.8979999999999999</c:v>
                </c:pt>
                <c:pt idx="55">
                  <c:v>1.4019999999999999</c:v>
                </c:pt>
                <c:pt idx="56">
                  <c:v>1.3009999999999999</c:v>
                </c:pt>
                <c:pt idx="60">
                  <c:v>0.29899999999999999</c:v>
                </c:pt>
                <c:pt idx="61">
                  <c:v>0.7</c:v>
                </c:pt>
                <c:pt idx="62">
                  <c:v>1</c:v>
                </c:pt>
                <c:pt idx="63">
                  <c:v>1.702</c:v>
                </c:pt>
                <c:pt idx="67">
                  <c:v>0.79900000000000004</c:v>
                </c:pt>
                <c:pt idx="68">
                  <c:v>1.101</c:v>
                </c:pt>
                <c:pt idx="69">
                  <c:v>1.296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CB-4041-8226-FD2838CEFB95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All!$CX$6:$CX$79</c:f>
              <c:numCache>
                <c:formatCode>General</c:formatCode>
                <c:ptCount val="74"/>
                <c:pt idx="0">
                  <c:v>0.1</c:v>
                </c:pt>
                <c:pt idx="4">
                  <c:v>1.605</c:v>
                </c:pt>
                <c:pt idx="5">
                  <c:v>0.90200000000000002</c:v>
                </c:pt>
                <c:pt idx="6">
                  <c:v>1.1950000000000001</c:v>
                </c:pt>
                <c:pt idx="10">
                  <c:v>1.196</c:v>
                </c:pt>
                <c:pt idx="11">
                  <c:v>0.90200000000000002</c:v>
                </c:pt>
                <c:pt idx="12">
                  <c:v>0.8</c:v>
                </c:pt>
                <c:pt idx="16">
                  <c:v>0.999</c:v>
                </c:pt>
                <c:pt idx="20">
                  <c:v>1.2</c:v>
                </c:pt>
                <c:pt idx="21">
                  <c:v>1.6</c:v>
                </c:pt>
                <c:pt idx="23">
                  <c:v>1.2</c:v>
                </c:pt>
                <c:pt idx="24">
                  <c:v>1.6</c:v>
                </c:pt>
                <c:pt idx="25">
                  <c:v>4.08</c:v>
                </c:pt>
                <c:pt idx="29">
                  <c:v>1.5960000000000001</c:v>
                </c:pt>
                <c:pt idx="33">
                  <c:v>2.1019999999999999</c:v>
                </c:pt>
                <c:pt idx="34">
                  <c:v>1.4</c:v>
                </c:pt>
                <c:pt idx="35">
                  <c:v>1.3979999999999999</c:v>
                </c:pt>
                <c:pt idx="39">
                  <c:v>1.4990000000000001</c:v>
                </c:pt>
                <c:pt idx="40">
                  <c:v>1.3</c:v>
                </c:pt>
                <c:pt idx="41">
                  <c:v>0.89700000000000002</c:v>
                </c:pt>
                <c:pt idx="42">
                  <c:v>2.194</c:v>
                </c:pt>
                <c:pt idx="43">
                  <c:v>2.6</c:v>
                </c:pt>
                <c:pt idx="44">
                  <c:v>4.1390000000000002</c:v>
                </c:pt>
                <c:pt idx="48">
                  <c:v>1.9990000000000001</c:v>
                </c:pt>
                <c:pt idx="49">
                  <c:v>1.7010000000000001</c:v>
                </c:pt>
                <c:pt idx="50">
                  <c:v>1.6950000000000001</c:v>
                </c:pt>
                <c:pt idx="54">
                  <c:v>1.496</c:v>
                </c:pt>
                <c:pt idx="55">
                  <c:v>2.1989999999999998</c:v>
                </c:pt>
                <c:pt idx="56">
                  <c:v>0.89900000000000002</c:v>
                </c:pt>
                <c:pt idx="60">
                  <c:v>2.403</c:v>
                </c:pt>
                <c:pt idx="61">
                  <c:v>1.595</c:v>
                </c:pt>
                <c:pt idx="62">
                  <c:v>2.0979999999999999</c:v>
                </c:pt>
                <c:pt idx="63">
                  <c:v>1.3</c:v>
                </c:pt>
                <c:pt idx="67">
                  <c:v>1.498</c:v>
                </c:pt>
                <c:pt idx="68">
                  <c:v>1.9970000000000001</c:v>
                </c:pt>
                <c:pt idx="69">
                  <c:v>0.79600000000000004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CB-4041-8226-FD2838CEFB95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All!$CY$6:$CY$79</c:f>
              <c:numCache>
                <c:formatCode>General</c:formatCode>
                <c:ptCount val="74"/>
                <c:pt idx="0">
                  <c:v>0.3</c:v>
                </c:pt>
                <c:pt idx="4">
                  <c:v>1.002</c:v>
                </c:pt>
                <c:pt idx="5">
                  <c:v>0.60199999999999998</c:v>
                </c:pt>
                <c:pt idx="6">
                  <c:v>0.79900000000000004</c:v>
                </c:pt>
                <c:pt idx="10">
                  <c:v>1.595</c:v>
                </c:pt>
                <c:pt idx="11">
                  <c:v>0.999</c:v>
                </c:pt>
                <c:pt idx="12">
                  <c:v>0.8</c:v>
                </c:pt>
                <c:pt idx="16">
                  <c:v>0.80100000000000005</c:v>
                </c:pt>
                <c:pt idx="20">
                  <c:v>0.6</c:v>
                </c:pt>
                <c:pt idx="21">
                  <c:v>0.20100000000000001</c:v>
                </c:pt>
                <c:pt idx="23">
                  <c:v>0.6</c:v>
                </c:pt>
                <c:pt idx="24">
                  <c:v>0.20100000000000001</c:v>
                </c:pt>
                <c:pt idx="25">
                  <c:v>4.3819999999999997</c:v>
                </c:pt>
                <c:pt idx="29">
                  <c:v>0.997</c:v>
                </c:pt>
                <c:pt idx="33">
                  <c:v>0.5</c:v>
                </c:pt>
                <c:pt idx="34">
                  <c:v>0.30099999999999999</c:v>
                </c:pt>
                <c:pt idx="35">
                  <c:v>0.4</c:v>
                </c:pt>
                <c:pt idx="39">
                  <c:v>0.40100000000000002</c:v>
                </c:pt>
                <c:pt idx="40">
                  <c:v>1.1000000000000001</c:v>
                </c:pt>
                <c:pt idx="41">
                  <c:v>0.89600000000000002</c:v>
                </c:pt>
                <c:pt idx="42">
                  <c:v>0.89500000000000002</c:v>
                </c:pt>
                <c:pt idx="43">
                  <c:v>1.0009999999999999</c:v>
                </c:pt>
                <c:pt idx="44">
                  <c:v>3.54</c:v>
                </c:pt>
                <c:pt idx="48">
                  <c:v>0.8</c:v>
                </c:pt>
                <c:pt idx="49">
                  <c:v>0.9</c:v>
                </c:pt>
                <c:pt idx="50">
                  <c:v>0.79800000000000004</c:v>
                </c:pt>
                <c:pt idx="54">
                  <c:v>0.70099999999999996</c:v>
                </c:pt>
                <c:pt idx="55">
                  <c:v>0.60099999999999998</c:v>
                </c:pt>
                <c:pt idx="56">
                  <c:v>1.2010000000000001</c:v>
                </c:pt>
                <c:pt idx="60">
                  <c:v>1.198</c:v>
                </c:pt>
                <c:pt idx="61">
                  <c:v>0.89900000000000002</c:v>
                </c:pt>
                <c:pt idx="62">
                  <c:v>0.79900000000000004</c:v>
                </c:pt>
                <c:pt idx="63">
                  <c:v>0.5</c:v>
                </c:pt>
                <c:pt idx="67">
                  <c:v>0.59799999999999998</c:v>
                </c:pt>
                <c:pt idx="68">
                  <c:v>0.60099999999999998</c:v>
                </c:pt>
                <c:pt idx="69">
                  <c:v>0.498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CB-4041-8226-FD2838CEFB95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All!$CZ$6:$CZ$79</c:f>
              <c:numCache>
                <c:formatCode>General</c:formatCode>
                <c:ptCount val="74"/>
                <c:pt idx="0">
                  <c:v>0.19900000000000001</c:v>
                </c:pt>
                <c:pt idx="4">
                  <c:v>1.004</c:v>
                </c:pt>
                <c:pt idx="5">
                  <c:v>0.5</c:v>
                </c:pt>
                <c:pt idx="6">
                  <c:v>0.59899999999999998</c:v>
                </c:pt>
                <c:pt idx="10">
                  <c:v>1.196</c:v>
                </c:pt>
                <c:pt idx="11">
                  <c:v>0.60099999999999998</c:v>
                </c:pt>
                <c:pt idx="12">
                  <c:v>0.60399999999999998</c:v>
                </c:pt>
                <c:pt idx="16">
                  <c:v>1.298</c:v>
                </c:pt>
                <c:pt idx="20">
                  <c:v>0.999</c:v>
                </c:pt>
                <c:pt idx="21">
                  <c:v>0.59899999999999998</c:v>
                </c:pt>
                <c:pt idx="23">
                  <c:v>0.999</c:v>
                </c:pt>
                <c:pt idx="24">
                  <c:v>0.59899999999999998</c:v>
                </c:pt>
                <c:pt idx="25">
                  <c:v>3.9820000000000002</c:v>
                </c:pt>
                <c:pt idx="29">
                  <c:v>0.70099999999999996</c:v>
                </c:pt>
                <c:pt idx="33">
                  <c:v>1.1990000000000001</c:v>
                </c:pt>
                <c:pt idx="34">
                  <c:v>0.89800000000000002</c:v>
                </c:pt>
                <c:pt idx="35">
                  <c:v>0.8</c:v>
                </c:pt>
                <c:pt idx="39">
                  <c:v>1.1970000000000001</c:v>
                </c:pt>
                <c:pt idx="40">
                  <c:v>1.8</c:v>
                </c:pt>
                <c:pt idx="41">
                  <c:v>1.9970000000000001</c:v>
                </c:pt>
                <c:pt idx="42">
                  <c:v>1.399</c:v>
                </c:pt>
                <c:pt idx="43">
                  <c:v>1.3</c:v>
                </c:pt>
                <c:pt idx="44">
                  <c:v>4.242</c:v>
                </c:pt>
                <c:pt idx="48">
                  <c:v>1.1020000000000001</c:v>
                </c:pt>
                <c:pt idx="49">
                  <c:v>0.90100000000000002</c:v>
                </c:pt>
                <c:pt idx="50">
                  <c:v>0.998</c:v>
                </c:pt>
                <c:pt idx="54">
                  <c:v>1.4</c:v>
                </c:pt>
                <c:pt idx="55">
                  <c:v>1.1990000000000001</c:v>
                </c:pt>
                <c:pt idx="56">
                  <c:v>0.8</c:v>
                </c:pt>
                <c:pt idx="60">
                  <c:v>0.80100000000000005</c:v>
                </c:pt>
                <c:pt idx="61">
                  <c:v>1.2989999999999999</c:v>
                </c:pt>
                <c:pt idx="62">
                  <c:v>0.997</c:v>
                </c:pt>
                <c:pt idx="63">
                  <c:v>1.202</c:v>
                </c:pt>
                <c:pt idx="67">
                  <c:v>0.89800000000000002</c:v>
                </c:pt>
                <c:pt idx="68">
                  <c:v>0.90200000000000002</c:v>
                </c:pt>
                <c:pt idx="69">
                  <c:v>0.89800000000000002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CB-4041-8226-FD2838CEFB95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All!$DA$6:$DA$79</c:f>
              <c:numCache>
                <c:formatCode>General</c:formatCode>
                <c:ptCount val="74"/>
                <c:pt idx="0">
                  <c:v>0.59799999999999998</c:v>
                </c:pt>
                <c:pt idx="4">
                  <c:v>1.196</c:v>
                </c:pt>
                <c:pt idx="5">
                  <c:v>0.89900000000000002</c:v>
                </c:pt>
                <c:pt idx="6">
                  <c:v>0.59899999999999998</c:v>
                </c:pt>
                <c:pt idx="10">
                  <c:v>0.89800000000000002</c:v>
                </c:pt>
                <c:pt idx="11">
                  <c:v>0.70299999999999996</c:v>
                </c:pt>
                <c:pt idx="12">
                  <c:v>0.60099999999999998</c:v>
                </c:pt>
                <c:pt idx="16">
                  <c:v>0.79900000000000004</c:v>
                </c:pt>
                <c:pt idx="20">
                  <c:v>1.2010000000000001</c:v>
                </c:pt>
                <c:pt idx="21">
                  <c:v>0.39900000000000002</c:v>
                </c:pt>
                <c:pt idx="23">
                  <c:v>1.2010000000000001</c:v>
                </c:pt>
                <c:pt idx="24">
                  <c:v>0.39900000000000002</c:v>
                </c:pt>
                <c:pt idx="25">
                  <c:v>3.4809999999999999</c:v>
                </c:pt>
                <c:pt idx="29">
                  <c:v>0.60099999999999998</c:v>
                </c:pt>
                <c:pt idx="33">
                  <c:v>0.89900000000000002</c:v>
                </c:pt>
                <c:pt idx="34">
                  <c:v>0.79900000000000004</c:v>
                </c:pt>
                <c:pt idx="35">
                  <c:v>0.497</c:v>
                </c:pt>
                <c:pt idx="39">
                  <c:v>0.7</c:v>
                </c:pt>
                <c:pt idx="40">
                  <c:v>1.3979999999999999</c:v>
                </c:pt>
                <c:pt idx="41">
                  <c:v>1.5009999999999999</c:v>
                </c:pt>
                <c:pt idx="42">
                  <c:v>1.1020000000000001</c:v>
                </c:pt>
                <c:pt idx="43">
                  <c:v>2.1019999999999999</c:v>
                </c:pt>
                <c:pt idx="44">
                  <c:v>4.4370000000000003</c:v>
                </c:pt>
                <c:pt idx="48">
                  <c:v>1.5960000000000001</c:v>
                </c:pt>
                <c:pt idx="49">
                  <c:v>0.90200000000000002</c:v>
                </c:pt>
                <c:pt idx="50">
                  <c:v>1.1020000000000001</c:v>
                </c:pt>
                <c:pt idx="54">
                  <c:v>0.89700000000000002</c:v>
                </c:pt>
                <c:pt idx="55">
                  <c:v>0.89900000000000002</c:v>
                </c:pt>
                <c:pt idx="56">
                  <c:v>0.501</c:v>
                </c:pt>
                <c:pt idx="60">
                  <c:v>1.498</c:v>
                </c:pt>
                <c:pt idx="61">
                  <c:v>1.605</c:v>
                </c:pt>
                <c:pt idx="62">
                  <c:v>0.9</c:v>
                </c:pt>
                <c:pt idx="63">
                  <c:v>0.80200000000000005</c:v>
                </c:pt>
                <c:pt idx="67">
                  <c:v>1.198</c:v>
                </c:pt>
                <c:pt idx="68">
                  <c:v>1</c:v>
                </c:pt>
                <c:pt idx="69">
                  <c:v>0.60099999999999998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CB-4041-8226-FD2838CEFB95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All!$DB$6:$DB$79</c:f>
              <c:numCache>
                <c:formatCode>General</c:formatCode>
                <c:ptCount val="74"/>
                <c:pt idx="0">
                  <c:v>0.19900000000000001</c:v>
                </c:pt>
                <c:pt idx="4">
                  <c:v>1.7030000000000001</c:v>
                </c:pt>
                <c:pt idx="5">
                  <c:v>1.2</c:v>
                </c:pt>
                <c:pt idx="6">
                  <c:v>0.39800000000000002</c:v>
                </c:pt>
                <c:pt idx="10">
                  <c:v>1.494</c:v>
                </c:pt>
                <c:pt idx="11">
                  <c:v>1.1020000000000001</c:v>
                </c:pt>
                <c:pt idx="12">
                  <c:v>1.603</c:v>
                </c:pt>
                <c:pt idx="16">
                  <c:v>2.4969999999999999</c:v>
                </c:pt>
                <c:pt idx="20">
                  <c:v>1.806</c:v>
                </c:pt>
                <c:pt idx="21">
                  <c:v>0.69799999999999995</c:v>
                </c:pt>
                <c:pt idx="23">
                  <c:v>1.806</c:v>
                </c:pt>
                <c:pt idx="24">
                  <c:v>0.69799999999999995</c:v>
                </c:pt>
                <c:pt idx="25">
                  <c:v>4.0810000000000004</c:v>
                </c:pt>
                <c:pt idx="29">
                  <c:v>1.1970000000000001</c:v>
                </c:pt>
                <c:pt idx="33">
                  <c:v>1.601</c:v>
                </c:pt>
                <c:pt idx="34">
                  <c:v>2.2999999999999998</c:v>
                </c:pt>
                <c:pt idx="35">
                  <c:v>0.39700000000000002</c:v>
                </c:pt>
                <c:pt idx="39">
                  <c:v>2.2970000000000002</c:v>
                </c:pt>
                <c:pt idx="40">
                  <c:v>2.198</c:v>
                </c:pt>
                <c:pt idx="41">
                  <c:v>2.4990000000000001</c:v>
                </c:pt>
                <c:pt idx="42">
                  <c:v>1.3939999999999999</c:v>
                </c:pt>
                <c:pt idx="43">
                  <c:v>2.601</c:v>
                </c:pt>
                <c:pt idx="44">
                  <c:v>4.4420000000000002</c:v>
                </c:pt>
                <c:pt idx="48">
                  <c:v>1.1970000000000001</c:v>
                </c:pt>
                <c:pt idx="49">
                  <c:v>1.903</c:v>
                </c:pt>
                <c:pt idx="50">
                  <c:v>0.998</c:v>
                </c:pt>
                <c:pt idx="54">
                  <c:v>1.099</c:v>
                </c:pt>
                <c:pt idx="55">
                  <c:v>1.2969999999999999</c:v>
                </c:pt>
                <c:pt idx="56">
                  <c:v>1.0009999999999999</c:v>
                </c:pt>
                <c:pt idx="60">
                  <c:v>1.399</c:v>
                </c:pt>
                <c:pt idx="61">
                  <c:v>1.399</c:v>
                </c:pt>
                <c:pt idx="62">
                  <c:v>1.2010000000000001</c:v>
                </c:pt>
                <c:pt idx="63">
                  <c:v>1.603</c:v>
                </c:pt>
                <c:pt idx="67">
                  <c:v>1.399</c:v>
                </c:pt>
                <c:pt idx="68">
                  <c:v>1.6040000000000001</c:v>
                </c:pt>
                <c:pt idx="69">
                  <c:v>1.7929999999999999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CB-4041-8226-FD2838CEF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1008"/>
        <c:axId val="436186032"/>
      </c:scatterChart>
      <c:valAx>
        <c:axId val="43620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6032"/>
        <c:crosses val="autoZero"/>
        <c:crossBetween val="midCat"/>
      </c:valAx>
      <c:valAx>
        <c:axId val="436186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All!$AZ$6:$AZ$79</c:f>
              <c:numCache>
                <c:formatCode>General</c:formatCode>
                <c:ptCount val="74"/>
                <c:pt idx="0">
                  <c:v>0.39</c:v>
                </c:pt>
                <c:pt idx="4">
                  <c:v>5.67</c:v>
                </c:pt>
                <c:pt idx="5">
                  <c:v>5.29</c:v>
                </c:pt>
                <c:pt idx="6">
                  <c:v>5.75</c:v>
                </c:pt>
                <c:pt idx="10">
                  <c:v>5.64</c:v>
                </c:pt>
                <c:pt idx="11">
                  <c:v>5.72</c:v>
                </c:pt>
                <c:pt idx="12">
                  <c:v>5.7</c:v>
                </c:pt>
                <c:pt idx="16">
                  <c:v>4.92</c:v>
                </c:pt>
                <c:pt idx="20">
                  <c:v>5.78</c:v>
                </c:pt>
                <c:pt idx="21">
                  <c:v>5.82</c:v>
                </c:pt>
                <c:pt idx="23">
                  <c:v>5.78</c:v>
                </c:pt>
                <c:pt idx="24">
                  <c:v>5.82</c:v>
                </c:pt>
                <c:pt idx="25">
                  <c:v>5.42</c:v>
                </c:pt>
                <c:pt idx="29">
                  <c:v>5.74</c:v>
                </c:pt>
                <c:pt idx="33">
                  <c:v>0.47</c:v>
                </c:pt>
                <c:pt idx="34">
                  <c:v>5.2</c:v>
                </c:pt>
                <c:pt idx="35">
                  <c:v>5.75</c:v>
                </c:pt>
                <c:pt idx="39">
                  <c:v>5.67</c:v>
                </c:pt>
                <c:pt idx="40">
                  <c:v>4.96</c:v>
                </c:pt>
                <c:pt idx="41">
                  <c:v>5.53</c:v>
                </c:pt>
                <c:pt idx="42">
                  <c:v>5.68</c:v>
                </c:pt>
                <c:pt idx="43">
                  <c:v>1</c:v>
                </c:pt>
                <c:pt idx="44">
                  <c:v>0.83</c:v>
                </c:pt>
                <c:pt idx="48">
                  <c:v>1.55</c:v>
                </c:pt>
                <c:pt idx="49">
                  <c:v>5.17</c:v>
                </c:pt>
                <c:pt idx="50">
                  <c:v>5.43</c:v>
                </c:pt>
                <c:pt idx="54">
                  <c:v>5.47</c:v>
                </c:pt>
                <c:pt idx="55">
                  <c:v>4.91</c:v>
                </c:pt>
                <c:pt idx="56">
                  <c:v>5.79</c:v>
                </c:pt>
                <c:pt idx="60">
                  <c:v>4.8899999999999997</c:v>
                </c:pt>
                <c:pt idx="61">
                  <c:v>5.51</c:v>
                </c:pt>
                <c:pt idx="62">
                  <c:v>5.62</c:v>
                </c:pt>
                <c:pt idx="63">
                  <c:v>5.66</c:v>
                </c:pt>
                <c:pt idx="67">
                  <c:v>5.61</c:v>
                </c:pt>
                <c:pt idx="68">
                  <c:v>5.67</c:v>
                </c:pt>
                <c:pt idx="69">
                  <c:v>5.69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E-45A3-A1D3-11B680BA6C12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All!$FO$6:$FO$79</c:f>
              <c:numCache>
                <c:formatCode>General</c:formatCode>
                <c:ptCount val="74"/>
                <c:pt idx="0">
                  <c:v>0.39</c:v>
                </c:pt>
                <c:pt idx="4">
                  <c:v>5.56</c:v>
                </c:pt>
                <c:pt idx="5">
                  <c:v>5.27</c:v>
                </c:pt>
                <c:pt idx="6">
                  <c:v>5.66</c:v>
                </c:pt>
                <c:pt idx="10">
                  <c:v>5.48</c:v>
                </c:pt>
                <c:pt idx="11">
                  <c:v>5.36</c:v>
                </c:pt>
                <c:pt idx="12">
                  <c:v>5.55</c:v>
                </c:pt>
                <c:pt idx="16">
                  <c:v>4.92</c:v>
                </c:pt>
                <c:pt idx="20">
                  <c:v>5.51</c:v>
                </c:pt>
                <c:pt idx="21">
                  <c:v>5.46</c:v>
                </c:pt>
                <c:pt idx="23">
                  <c:v>5.51</c:v>
                </c:pt>
                <c:pt idx="24">
                  <c:v>5.46</c:v>
                </c:pt>
                <c:pt idx="25">
                  <c:v>5.24</c:v>
                </c:pt>
                <c:pt idx="29">
                  <c:v>5.47</c:v>
                </c:pt>
                <c:pt idx="33">
                  <c:v>0.48</c:v>
                </c:pt>
                <c:pt idx="34">
                  <c:v>5.14</c:v>
                </c:pt>
                <c:pt idx="35">
                  <c:v>5.47</c:v>
                </c:pt>
                <c:pt idx="39">
                  <c:v>5.4</c:v>
                </c:pt>
                <c:pt idx="40">
                  <c:v>4.91</c:v>
                </c:pt>
                <c:pt idx="41">
                  <c:v>5.37</c:v>
                </c:pt>
                <c:pt idx="42">
                  <c:v>5.4</c:v>
                </c:pt>
                <c:pt idx="43">
                  <c:v>0.98</c:v>
                </c:pt>
                <c:pt idx="44">
                  <c:v>0.86</c:v>
                </c:pt>
                <c:pt idx="48">
                  <c:v>1.55</c:v>
                </c:pt>
                <c:pt idx="49">
                  <c:v>5.08</c:v>
                </c:pt>
                <c:pt idx="50">
                  <c:v>5.38</c:v>
                </c:pt>
                <c:pt idx="54">
                  <c:v>5.2</c:v>
                </c:pt>
                <c:pt idx="55">
                  <c:v>4.92</c:v>
                </c:pt>
                <c:pt idx="56">
                  <c:v>5.49</c:v>
                </c:pt>
                <c:pt idx="60">
                  <c:v>4.9000000000000004</c:v>
                </c:pt>
                <c:pt idx="61">
                  <c:v>5.4</c:v>
                </c:pt>
                <c:pt idx="62">
                  <c:v>5.38</c:v>
                </c:pt>
                <c:pt idx="63">
                  <c:v>5.38</c:v>
                </c:pt>
                <c:pt idx="67">
                  <c:v>5.4</c:v>
                </c:pt>
                <c:pt idx="68">
                  <c:v>5.22</c:v>
                </c:pt>
                <c:pt idx="69">
                  <c:v>5.43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CE-45A3-A1D3-11B680BA6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3936"/>
        <c:axId val="436194352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All!$BA$6:$BA$79</c:f>
              <c:numCache>
                <c:formatCode>General</c:formatCode>
                <c:ptCount val="74"/>
                <c:pt idx="0">
                  <c:v>65.093000000000004</c:v>
                </c:pt>
                <c:pt idx="4">
                  <c:v>69</c:v>
                </c:pt>
                <c:pt idx="5">
                  <c:v>96.727000000000004</c:v>
                </c:pt>
                <c:pt idx="6">
                  <c:v>69.153999999999996</c:v>
                </c:pt>
                <c:pt idx="10">
                  <c:v>64.611999999999995</c:v>
                </c:pt>
                <c:pt idx="11">
                  <c:v>135.696</c:v>
                </c:pt>
                <c:pt idx="12">
                  <c:v>76.400000000000006</c:v>
                </c:pt>
                <c:pt idx="16">
                  <c:v>69.302999999999997</c:v>
                </c:pt>
                <c:pt idx="20">
                  <c:v>67.915999999999997</c:v>
                </c:pt>
                <c:pt idx="21">
                  <c:v>69.3</c:v>
                </c:pt>
                <c:pt idx="23">
                  <c:v>67.915999999999997</c:v>
                </c:pt>
                <c:pt idx="24">
                  <c:v>69.3</c:v>
                </c:pt>
                <c:pt idx="25">
                  <c:v>64.507999999999996</c:v>
                </c:pt>
                <c:pt idx="29">
                  <c:v>66.796999999999997</c:v>
                </c:pt>
                <c:pt idx="33">
                  <c:v>64.997</c:v>
                </c:pt>
                <c:pt idx="34">
                  <c:v>128.77600000000001</c:v>
                </c:pt>
                <c:pt idx="35">
                  <c:v>138.40700000000001</c:v>
                </c:pt>
                <c:pt idx="39">
                  <c:v>68.8</c:v>
                </c:pt>
                <c:pt idx="40">
                  <c:v>91.763000000000005</c:v>
                </c:pt>
                <c:pt idx="41">
                  <c:v>111.55</c:v>
                </c:pt>
                <c:pt idx="42">
                  <c:v>137.94</c:v>
                </c:pt>
                <c:pt idx="43">
                  <c:v>103.919</c:v>
                </c:pt>
                <c:pt idx="44">
                  <c:v>137.1</c:v>
                </c:pt>
                <c:pt idx="48">
                  <c:v>5.7</c:v>
                </c:pt>
                <c:pt idx="49">
                  <c:v>86.869</c:v>
                </c:pt>
                <c:pt idx="50">
                  <c:v>66.796999999999997</c:v>
                </c:pt>
                <c:pt idx="54">
                  <c:v>65.992999999999995</c:v>
                </c:pt>
                <c:pt idx="55">
                  <c:v>104.803</c:v>
                </c:pt>
                <c:pt idx="56">
                  <c:v>65.400000000000006</c:v>
                </c:pt>
                <c:pt idx="60">
                  <c:v>69.403000000000006</c:v>
                </c:pt>
                <c:pt idx="61">
                  <c:v>101.908</c:v>
                </c:pt>
                <c:pt idx="62">
                  <c:v>135.63399999999999</c:v>
                </c:pt>
                <c:pt idx="63">
                  <c:v>69.3</c:v>
                </c:pt>
                <c:pt idx="67">
                  <c:v>66.3</c:v>
                </c:pt>
                <c:pt idx="68">
                  <c:v>108.92400000000001</c:v>
                </c:pt>
                <c:pt idx="69">
                  <c:v>69.302000000000007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CE-45A3-A1D3-11B680BA6C12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All!$BB$6:$BB$79</c:f>
              <c:numCache>
                <c:formatCode>General</c:formatCode>
                <c:ptCount val="74"/>
                <c:pt idx="0">
                  <c:v>67.707999999999998</c:v>
                </c:pt>
                <c:pt idx="4">
                  <c:v>69.8</c:v>
                </c:pt>
                <c:pt idx="5">
                  <c:v>95.728999999999999</c:v>
                </c:pt>
                <c:pt idx="6">
                  <c:v>69.400000000000006</c:v>
                </c:pt>
                <c:pt idx="10">
                  <c:v>66.805999999999997</c:v>
                </c:pt>
                <c:pt idx="11">
                  <c:v>135.12</c:v>
                </c:pt>
                <c:pt idx="12">
                  <c:v>76.218000000000004</c:v>
                </c:pt>
                <c:pt idx="16">
                  <c:v>69.3</c:v>
                </c:pt>
                <c:pt idx="20">
                  <c:v>68.099999999999994</c:v>
                </c:pt>
                <c:pt idx="21">
                  <c:v>69.400000000000006</c:v>
                </c:pt>
                <c:pt idx="23">
                  <c:v>68.099999999999994</c:v>
                </c:pt>
                <c:pt idx="24">
                  <c:v>69.400000000000006</c:v>
                </c:pt>
                <c:pt idx="25">
                  <c:v>67.802000000000007</c:v>
                </c:pt>
                <c:pt idx="29">
                  <c:v>66.7</c:v>
                </c:pt>
                <c:pt idx="33">
                  <c:v>66.503</c:v>
                </c:pt>
                <c:pt idx="34">
                  <c:v>128.57599999999999</c:v>
                </c:pt>
                <c:pt idx="35">
                  <c:v>143.50399999999999</c:v>
                </c:pt>
                <c:pt idx="39">
                  <c:v>69.2</c:v>
                </c:pt>
                <c:pt idx="40">
                  <c:v>91.150999999999996</c:v>
                </c:pt>
                <c:pt idx="41">
                  <c:v>117.467</c:v>
                </c:pt>
                <c:pt idx="42">
                  <c:v>138.1</c:v>
                </c:pt>
                <c:pt idx="43">
                  <c:v>107.523</c:v>
                </c:pt>
                <c:pt idx="44">
                  <c:v>140.25299999999999</c:v>
                </c:pt>
                <c:pt idx="48">
                  <c:v>6.1020000000000003</c:v>
                </c:pt>
                <c:pt idx="49">
                  <c:v>87.156999999999996</c:v>
                </c:pt>
                <c:pt idx="50">
                  <c:v>66.5</c:v>
                </c:pt>
                <c:pt idx="54">
                  <c:v>65.602000000000004</c:v>
                </c:pt>
                <c:pt idx="55">
                  <c:v>102.655</c:v>
                </c:pt>
                <c:pt idx="56">
                  <c:v>66.304000000000002</c:v>
                </c:pt>
                <c:pt idx="60">
                  <c:v>69.602999999999994</c:v>
                </c:pt>
                <c:pt idx="61">
                  <c:v>100.806</c:v>
                </c:pt>
                <c:pt idx="62">
                  <c:v>137.52099999999999</c:v>
                </c:pt>
                <c:pt idx="63">
                  <c:v>69.302000000000007</c:v>
                </c:pt>
                <c:pt idx="67">
                  <c:v>66.900000000000006</c:v>
                </c:pt>
                <c:pt idx="68">
                  <c:v>108.92</c:v>
                </c:pt>
                <c:pt idx="69">
                  <c:v>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CE-45A3-A1D3-11B680BA6C12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All!$ID$6:$ID$79</c:f>
              <c:numCache>
                <c:formatCode>General</c:formatCode>
                <c:ptCount val="74"/>
                <c:pt idx="0">
                  <c:v>0</c:v>
                </c:pt>
                <c:pt idx="4">
                  <c:v>-6.2E-2</c:v>
                </c:pt>
                <c:pt idx="5">
                  <c:v>-9.5000000000000001E-2</c:v>
                </c:pt>
                <c:pt idx="6">
                  <c:v>-0.10299999999999999</c:v>
                </c:pt>
                <c:pt idx="10">
                  <c:v>-7.1999999999999995E-2</c:v>
                </c:pt>
                <c:pt idx="11">
                  <c:v>-0.124</c:v>
                </c:pt>
                <c:pt idx="12">
                  <c:v>-9.9000000000000005E-2</c:v>
                </c:pt>
                <c:pt idx="16">
                  <c:v>-8.0000000000000002E-3</c:v>
                </c:pt>
                <c:pt idx="20">
                  <c:v>-4.2000000000000003E-2</c:v>
                </c:pt>
                <c:pt idx="21">
                  <c:v>-0.06</c:v>
                </c:pt>
                <c:pt idx="23">
                  <c:v>-4.2000000000000003E-2</c:v>
                </c:pt>
                <c:pt idx="24">
                  <c:v>-0.06</c:v>
                </c:pt>
                <c:pt idx="25">
                  <c:v>-1.9E-2</c:v>
                </c:pt>
                <c:pt idx="29">
                  <c:v>-2.7E-2</c:v>
                </c:pt>
                <c:pt idx="33">
                  <c:v>-5.1999999999999998E-2</c:v>
                </c:pt>
                <c:pt idx="34">
                  <c:v>-0.13100000000000001</c:v>
                </c:pt>
                <c:pt idx="35">
                  <c:v>-6.0000000000000001E-3</c:v>
                </c:pt>
                <c:pt idx="39">
                  <c:v>-5.1999999999999998E-2</c:v>
                </c:pt>
                <c:pt idx="40">
                  <c:v>-9.1999999999999998E-2</c:v>
                </c:pt>
                <c:pt idx="41">
                  <c:v>-0.13300000000000001</c:v>
                </c:pt>
                <c:pt idx="42">
                  <c:v>-0.151</c:v>
                </c:pt>
                <c:pt idx="43">
                  <c:v>-0.13300000000000001</c:v>
                </c:pt>
                <c:pt idx="44">
                  <c:v>-1.4999999999999999E-2</c:v>
                </c:pt>
                <c:pt idx="48">
                  <c:v>-8.8999999999999996E-2</c:v>
                </c:pt>
                <c:pt idx="49">
                  <c:v>-0.29799999999999999</c:v>
                </c:pt>
                <c:pt idx="50">
                  <c:v>-0.191</c:v>
                </c:pt>
                <c:pt idx="54">
                  <c:v>-0.13600000000000001</c:v>
                </c:pt>
                <c:pt idx="55">
                  <c:v>-0.192</c:v>
                </c:pt>
                <c:pt idx="56">
                  <c:v>-0.14199999999999999</c:v>
                </c:pt>
                <c:pt idx="60">
                  <c:v>-0.13900000000000001</c:v>
                </c:pt>
                <c:pt idx="61">
                  <c:v>-0.19400000000000001</c:v>
                </c:pt>
                <c:pt idx="62">
                  <c:v>-0.223</c:v>
                </c:pt>
                <c:pt idx="63">
                  <c:v>-0.113</c:v>
                </c:pt>
                <c:pt idx="67">
                  <c:v>-0.16600000000000001</c:v>
                </c:pt>
                <c:pt idx="68">
                  <c:v>-0.23799999999999999</c:v>
                </c:pt>
                <c:pt idx="69">
                  <c:v>-0.22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CE-45A3-A1D3-11B680BA6C12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All!$IE$6:$IE$79</c:f>
              <c:numCache>
                <c:formatCode>General</c:formatCode>
                <c:ptCount val="74"/>
                <c:pt idx="0">
                  <c:v>0</c:v>
                </c:pt>
                <c:pt idx="4">
                  <c:v>-8.0000000000000002E-3</c:v>
                </c:pt>
                <c:pt idx="5">
                  <c:v>3.5999999999999997E-2</c:v>
                </c:pt>
                <c:pt idx="6">
                  <c:v>3.5000000000000003E-2</c:v>
                </c:pt>
                <c:pt idx="10">
                  <c:v>3.6999999999999998E-2</c:v>
                </c:pt>
                <c:pt idx="11">
                  <c:v>3.7999999999999999E-2</c:v>
                </c:pt>
                <c:pt idx="12">
                  <c:v>5.1999999999999998E-2</c:v>
                </c:pt>
                <c:pt idx="16">
                  <c:v>1.2999999999999999E-2</c:v>
                </c:pt>
                <c:pt idx="20">
                  <c:v>0.03</c:v>
                </c:pt>
                <c:pt idx="21">
                  <c:v>4.8000000000000001E-2</c:v>
                </c:pt>
                <c:pt idx="23">
                  <c:v>0.03</c:v>
                </c:pt>
                <c:pt idx="24">
                  <c:v>4.8000000000000001E-2</c:v>
                </c:pt>
                <c:pt idx="25">
                  <c:v>2.3E-2</c:v>
                </c:pt>
                <c:pt idx="29">
                  <c:v>2.3E-2</c:v>
                </c:pt>
                <c:pt idx="33">
                  <c:v>-3.6999999999999998E-2</c:v>
                </c:pt>
                <c:pt idx="34">
                  <c:v>-5.5E-2</c:v>
                </c:pt>
                <c:pt idx="35">
                  <c:v>-3.0000000000000001E-3</c:v>
                </c:pt>
                <c:pt idx="39">
                  <c:v>-3.4000000000000002E-2</c:v>
                </c:pt>
                <c:pt idx="40">
                  <c:v>-1.7999999999999999E-2</c:v>
                </c:pt>
                <c:pt idx="41">
                  <c:v>-0.03</c:v>
                </c:pt>
                <c:pt idx="42">
                  <c:v>-3.9E-2</c:v>
                </c:pt>
                <c:pt idx="43">
                  <c:v>-4.3999999999999997E-2</c:v>
                </c:pt>
                <c:pt idx="44">
                  <c:v>-7.0000000000000001E-3</c:v>
                </c:pt>
                <c:pt idx="48">
                  <c:v>-0.05</c:v>
                </c:pt>
                <c:pt idx="49">
                  <c:v>-0.13500000000000001</c:v>
                </c:pt>
                <c:pt idx="50">
                  <c:v>-7.9000000000000001E-2</c:v>
                </c:pt>
                <c:pt idx="54">
                  <c:v>-3.3000000000000002E-2</c:v>
                </c:pt>
                <c:pt idx="55">
                  <c:v>-2.5000000000000001E-2</c:v>
                </c:pt>
                <c:pt idx="56">
                  <c:v>-2.5000000000000001E-2</c:v>
                </c:pt>
                <c:pt idx="60">
                  <c:v>-1.7999999999999999E-2</c:v>
                </c:pt>
                <c:pt idx="61">
                  <c:v>-3.3000000000000002E-2</c:v>
                </c:pt>
                <c:pt idx="62">
                  <c:v>-4.1000000000000002E-2</c:v>
                </c:pt>
                <c:pt idx="63">
                  <c:v>-2.7E-2</c:v>
                </c:pt>
                <c:pt idx="67">
                  <c:v>-3.5000000000000003E-2</c:v>
                </c:pt>
                <c:pt idx="68">
                  <c:v>-5.5E-2</c:v>
                </c:pt>
                <c:pt idx="69">
                  <c:v>-3.2000000000000001E-2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3CE-45A3-A1D3-11B680BA6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5264"/>
        <c:axId val="375144432"/>
      </c:scatterChart>
      <c:valAx>
        <c:axId val="43619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4352"/>
        <c:crosses val="autoZero"/>
        <c:crossBetween val="midCat"/>
      </c:valAx>
      <c:valAx>
        <c:axId val="4361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3936"/>
        <c:crosses val="autoZero"/>
        <c:crossBetween val="midCat"/>
      </c:valAx>
      <c:valAx>
        <c:axId val="375144432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5264"/>
        <c:crosses val="max"/>
        <c:crossBetween val="midCat"/>
      </c:valAx>
      <c:valAx>
        <c:axId val="37514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4443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All!$EL$6:$EL$79</c:f>
              <c:numCache>
                <c:formatCode>General</c:formatCode>
                <c:ptCount val="74"/>
                <c:pt idx="0">
                  <c:v>1.25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10">
                  <c:v>0.9</c:v>
                </c:pt>
                <c:pt idx="11">
                  <c:v>0.65</c:v>
                </c:pt>
                <c:pt idx="12">
                  <c:v>0.65</c:v>
                </c:pt>
                <c:pt idx="16">
                  <c:v>0.65</c:v>
                </c:pt>
                <c:pt idx="20">
                  <c:v>0.9</c:v>
                </c:pt>
                <c:pt idx="21">
                  <c:v>0.75</c:v>
                </c:pt>
                <c:pt idx="23">
                  <c:v>0.9</c:v>
                </c:pt>
                <c:pt idx="24">
                  <c:v>0.75</c:v>
                </c:pt>
                <c:pt idx="25">
                  <c:v>0.75</c:v>
                </c:pt>
                <c:pt idx="29">
                  <c:v>0.9</c:v>
                </c:pt>
                <c:pt idx="33">
                  <c:v>0.8</c:v>
                </c:pt>
                <c:pt idx="34">
                  <c:v>0.7</c:v>
                </c:pt>
                <c:pt idx="35">
                  <c:v>0.8</c:v>
                </c:pt>
                <c:pt idx="39">
                  <c:v>0.85</c:v>
                </c:pt>
                <c:pt idx="40">
                  <c:v>0.8</c:v>
                </c:pt>
                <c:pt idx="41">
                  <c:v>0.75</c:v>
                </c:pt>
                <c:pt idx="42">
                  <c:v>0.85</c:v>
                </c:pt>
                <c:pt idx="43">
                  <c:v>0.75</c:v>
                </c:pt>
                <c:pt idx="44">
                  <c:v>1.05</c:v>
                </c:pt>
                <c:pt idx="48">
                  <c:v>0.85</c:v>
                </c:pt>
                <c:pt idx="49">
                  <c:v>0.9</c:v>
                </c:pt>
                <c:pt idx="50">
                  <c:v>0.95</c:v>
                </c:pt>
                <c:pt idx="54">
                  <c:v>1.1000000000000001</c:v>
                </c:pt>
                <c:pt idx="55">
                  <c:v>0.95</c:v>
                </c:pt>
                <c:pt idx="56">
                  <c:v>1.05</c:v>
                </c:pt>
                <c:pt idx="60">
                  <c:v>1.25</c:v>
                </c:pt>
                <c:pt idx="61">
                  <c:v>1.1499999999999999</c:v>
                </c:pt>
                <c:pt idx="62">
                  <c:v>1.05</c:v>
                </c:pt>
                <c:pt idx="63">
                  <c:v>1.1499999999999999</c:v>
                </c:pt>
                <c:pt idx="67">
                  <c:v>1.4</c:v>
                </c:pt>
                <c:pt idx="68">
                  <c:v>1.2</c:v>
                </c:pt>
                <c:pt idx="6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21-4E9D-93AB-6D59CE752126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All!$EM$6:$EM$79</c:f>
              <c:numCache>
                <c:formatCode>General</c:formatCode>
                <c:ptCount val="74"/>
                <c:pt idx="0">
                  <c:v>0.25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6">
                  <c:v>0.3</c:v>
                </c:pt>
                <c:pt idx="20">
                  <c:v>0.3</c:v>
                </c:pt>
                <c:pt idx="21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0.35</c:v>
                </c:pt>
                <c:pt idx="29">
                  <c:v>0.35</c:v>
                </c:pt>
                <c:pt idx="33">
                  <c:v>0.35</c:v>
                </c:pt>
                <c:pt idx="34">
                  <c:v>0.35</c:v>
                </c:pt>
                <c:pt idx="35">
                  <c:v>0.25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0.45</c:v>
                </c:pt>
                <c:pt idx="43">
                  <c:v>0.45</c:v>
                </c:pt>
                <c:pt idx="44">
                  <c:v>0.3</c:v>
                </c:pt>
                <c:pt idx="48">
                  <c:v>0.35</c:v>
                </c:pt>
                <c:pt idx="49">
                  <c:v>0.55000000000000004</c:v>
                </c:pt>
                <c:pt idx="50">
                  <c:v>0.55000000000000004</c:v>
                </c:pt>
                <c:pt idx="54">
                  <c:v>0.55000000000000004</c:v>
                </c:pt>
                <c:pt idx="55">
                  <c:v>0.6</c:v>
                </c:pt>
                <c:pt idx="56">
                  <c:v>0.55000000000000004</c:v>
                </c:pt>
                <c:pt idx="60">
                  <c:v>0.55000000000000004</c:v>
                </c:pt>
                <c:pt idx="61">
                  <c:v>0.7</c:v>
                </c:pt>
                <c:pt idx="62">
                  <c:v>0.75</c:v>
                </c:pt>
                <c:pt idx="63">
                  <c:v>0.75</c:v>
                </c:pt>
                <c:pt idx="67">
                  <c:v>0.75</c:v>
                </c:pt>
                <c:pt idx="68">
                  <c:v>0.8</c:v>
                </c:pt>
                <c:pt idx="69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21-4E9D-93AB-6D59CE752126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All!$FM$6:$FM$79</c:f>
              <c:numCache>
                <c:formatCode>General</c:formatCode>
                <c:ptCount val="74"/>
                <c:pt idx="0">
                  <c:v>2.2000000000000002</c:v>
                </c:pt>
                <c:pt idx="4">
                  <c:v>2.37</c:v>
                </c:pt>
                <c:pt idx="5">
                  <c:v>2.34</c:v>
                </c:pt>
                <c:pt idx="6">
                  <c:v>2.31</c:v>
                </c:pt>
                <c:pt idx="10">
                  <c:v>2.52</c:v>
                </c:pt>
                <c:pt idx="11">
                  <c:v>2.2000000000000002</c:v>
                </c:pt>
                <c:pt idx="12">
                  <c:v>2.23</c:v>
                </c:pt>
                <c:pt idx="16">
                  <c:v>2.2000000000000002</c:v>
                </c:pt>
                <c:pt idx="20">
                  <c:v>2.54</c:v>
                </c:pt>
                <c:pt idx="21">
                  <c:v>2.35</c:v>
                </c:pt>
                <c:pt idx="23">
                  <c:v>2.54</c:v>
                </c:pt>
                <c:pt idx="24">
                  <c:v>2.35</c:v>
                </c:pt>
                <c:pt idx="25">
                  <c:v>2.37</c:v>
                </c:pt>
                <c:pt idx="29">
                  <c:v>2.54</c:v>
                </c:pt>
                <c:pt idx="33">
                  <c:v>2.52</c:v>
                </c:pt>
                <c:pt idx="34">
                  <c:v>2.48</c:v>
                </c:pt>
                <c:pt idx="35">
                  <c:v>2.4</c:v>
                </c:pt>
                <c:pt idx="39">
                  <c:v>2.5099999999999998</c:v>
                </c:pt>
                <c:pt idx="40">
                  <c:v>2.4900000000000002</c:v>
                </c:pt>
                <c:pt idx="41">
                  <c:v>2.4900000000000002</c:v>
                </c:pt>
                <c:pt idx="42">
                  <c:v>2.5299999999999998</c:v>
                </c:pt>
                <c:pt idx="43">
                  <c:v>2.54</c:v>
                </c:pt>
                <c:pt idx="44">
                  <c:v>2.5499999999999998</c:v>
                </c:pt>
                <c:pt idx="48">
                  <c:v>2.61</c:v>
                </c:pt>
                <c:pt idx="49">
                  <c:v>2.68</c:v>
                </c:pt>
                <c:pt idx="50">
                  <c:v>2.74</c:v>
                </c:pt>
                <c:pt idx="54">
                  <c:v>2.72</c:v>
                </c:pt>
                <c:pt idx="55">
                  <c:v>2.75</c:v>
                </c:pt>
                <c:pt idx="56">
                  <c:v>2.76</c:v>
                </c:pt>
                <c:pt idx="60">
                  <c:v>3.05</c:v>
                </c:pt>
                <c:pt idx="61">
                  <c:v>2.84</c:v>
                </c:pt>
                <c:pt idx="62">
                  <c:v>2.86</c:v>
                </c:pt>
                <c:pt idx="63">
                  <c:v>2.89</c:v>
                </c:pt>
                <c:pt idx="67">
                  <c:v>3.27</c:v>
                </c:pt>
                <c:pt idx="68">
                  <c:v>3.05</c:v>
                </c:pt>
                <c:pt idx="69">
                  <c:v>3.06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21-4E9D-93AB-6D59CE752126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All!$FN$6:$FN$79</c:f>
              <c:numCache>
                <c:formatCode>General</c:formatCode>
                <c:ptCount val="74"/>
                <c:pt idx="0">
                  <c:v>0.31</c:v>
                </c:pt>
                <c:pt idx="4">
                  <c:v>0.37</c:v>
                </c:pt>
                <c:pt idx="5">
                  <c:v>1</c:v>
                </c:pt>
                <c:pt idx="6">
                  <c:v>0.54</c:v>
                </c:pt>
                <c:pt idx="10">
                  <c:v>0.57999999999999996</c:v>
                </c:pt>
                <c:pt idx="11">
                  <c:v>0.95</c:v>
                </c:pt>
                <c:pt idx="12">
                  <c:v>0.52</c:v>
                </c:pt>
                <c:pt idx="16">
                  <c:v>0.45</c:v>
                </c:pt>
                <c:pt idx="20">
                  <c:v>0.59</c:v>
                </c:pt>
                <c:pt idx="21">
                  <c:v>0.56999999999999995</c:v>
                </c:pt>
                <c:pt idx="23">
                  <c:v>0.59</c:v>
                </c:pt>
                <c:pt idx="24">
                  <c:v>0.56999999999999995</c:v>
                </c:pt>
                <c:pt idx="25">
                  <c:v>0.56999999999999995</c:v>
                </c:pt>
                <c:pt idx="29">
                  <c:v>0.62</c:v>
                </c:pt>
                <c:pt idx="33">
                  <c:v>0.65</c:v>
                </c:pt>
                <c:pt idx="34">
                  <c:v>1.1200000000000001</c:v>
                </c:pt>
                <c:pt idx="35">
                  <c:v>0.55000000000000004</c:v>
                </c:pt>
                <c:pt idx="39">
                  <c:v>0.56000000000000005</c:v>
                </c:pt>
                <c:pt idx="40">
                  <c:v>1.1499999999999999</c:v>
                </c:pt>
                <c:pt idx="41">
                  <c:v>1.1299999999999999</c:v>
                </c:pt>
                <c:pt idx="42">
                  <c:v>1.1299999999999999</c:v>
                </c:pt>
                <c:pt idx="43">
                  <c:v>1.19</c:v>
                </c:pt>
                <c:pt idx="44">
                  <c:v>0.64</c:v>
                </c:pt>
                <c:pt idx="48">
                  <c:v>0.51</c:v>
                </c:pt>
                <c:pt idx="49">
                  <c:v>1.2</c:v>
                </c:pt>
                <c:pt idx="50">
                  <c:v>0.84</c:v>
                </c:pt>
                <c:pt idx="54">
                  <c:v>0.94</c:v>
                </c:pt>
                <c:pt idx="55">
                  <c:v>1.28</c:v>
                </c:pt>
                <c:pt idx="56">
                  <c:v>0.92</c:v>
                </c:pt>
                <c:pt idx="60">
                  <c:v>0.99</c:v>
                </c:pt>
                <c:pt idx="61">
                  <c:v>1.39</c:v>
                </c:pt>
                <c:pt idx="62">
                  <c:v>1.44</c:v>
                </c:pt>
                <c:pt idx="63">
                  <c:v>1.02</c:v>
                </c:pt>
                <c:pt idx="67">
                  <c:v>1.1200000000000001</c:v>
                </c:pt>
                <c:pt idx="68">
                  <c:v>1.23</c:v>
                </c:pt>
                <c:pt idx="6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21-4E9D-93AB-6D59CE752126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All!$HV$6:$HV$79</c:f>
              <c:numCache>
                <c:formatCode>General</c:formatCode>
                <c:ptCount val="74"/>
                <c:pt idx="0">
                  <c:v>7.9000000000000001E-2</c:v>
                </c:pt>
                <c:pt idx="4">
                  <c:v>1.1319999999999999</c:v>
                </c:pt>
                <c:pt idx="5">
                  <c:v>1.3839999999999999</c:v>
                </c:pt>
                <c:pt idx="6">
                  <c:v>1.2549999999999999</c:v>
                </c:pt>
                <c:pt idx="10">
                  <c:v>1.1379999999999999</c:v>
                </c:pt>
                <c:pt idx="11">
                  <c:v>1.379</c:v>
                </c:pt>
                <c:pt idx="12">
                  <c:v>1.2430000000000001</c:v>
                </c:pt>
                <c:pt idx="16">
                  <c:v>1.091</c:v>
                </c:pt>
                <c:pt idx="20">
                  <c:v>1.232</c:v>
                </c:pt>
                <c:pt idx="21">
                  <c:v>1.2869999999999999</c:v>
                </c:pt>
                <c:pt idx="23">
                  <c:v>1.232</c:v>
                </c:pt>
                <c:pt idx="24">
                  <c:v>1.2869999999999999</c:v>
                </c:pt>
                <c:pt idx="25">
                  <c:v>1.109</c:v>
                </c:pt>
                <c:pt idx="29">
                  <c:v>1.1399999999999999</c:v>
                </c:pt>
                <c:pt idx="33">
                  <c:v>0.73599999999999999</c:v>
                </c:pt>
                <c:pt idx="34">
                  <c:v>1.492</c:v>
                </c:pt>
                <c:pt idx="35">
                  <c:v>0.66800000000000004</c:v>
                </c:pt>
                <c:pt idx="39">
                  <c:v>0.69099999999999995</c:v>
                </c:pt>
                <c:pt idx="40">
                  <c:v>1.4970000000000001</c:v>
                </c:pt>
                <c:pt idx="41">
                  <c:v>1.504</c:v>
                </c:pt>
                <c:pt idx="42">
                  <c:v>1.45</c:v>
                </c:pt>
                <c:pt idx="43">
                  <c:v>1.52</c:v>
                </c:pt>
                <c:pt idx="44">
                  <c:v>0.83799999999999997</c:v>
                </c:pt>
                <c:pt idx="48">
                  <c:v>0.61299999999999999</c:v>
                </c:pt>
                <c:pt idx="49">
                  <c:v>1.5069999999999999</c:v>
                </c:pt>
                <c:pt idx="50">
                  <c:v>1.1579999999999999</c:v>
                </c:pt>
                <c:pt idx="54">
                  <c:v>1.1970000000000001</c:v>
                </c:pt>
                <c:pt idx="55">
                  <c:v>1.5089999999999999</c:v>
                </c:pt>
                <c:pt idx="56">
                  <c:v>1.3240000000000001</c:v>
                </c:pt>
                <c:pt idx="60">
                  <c:v>1.2250000000000001</c:v>
                </c:pt>
                <c:pt idx="61">
                  <c:v>1.502</c:v>
                </c:pt>
                <c:pt idx="62">
                  <c:v>1.5409999999999999</c:v>
                </c:pt>
                <c:pt idx="63">
                  <c:v>1.1459999999999999</c:v>
                </c:pt>
                <c:pt idx="67">
                  <c:v>1.3109999999999999</c:v>
                </c:pt>
                <c:pt idx="68">
                  <c:v>1.4970000000000001</c:v>
                </c:pt>
                <c:pt idx="69">
                  <c:v>1.41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21-4E9D-93AB-6D59CE752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9744"/>
        <c:axId val="436204752"/>
      </c:scatterChart>
      <c:valAx>
        <c:axId val="43620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4752"/>
        <c:crosses val="autoZero"/>
        <c:crossBetween val="midCat"/>
      </c:valAx>
      <c:valAx>
        <c:axId val="436204752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All!$FG$6:$FG$79</c:f>
              <c:numCache>
                <c:formatCode>General</c:formatCode>
                <c:ptCount val="74"/>
                <c:pt idx="0">
                  <c:v>1.157</c:v>
                </c:pt>
                <c:pt idx="4">
                  <c:v>0.90200000000000002</c:v>
                </c:pt>
                <c:pt idx="5">
                  <c:v>0.871</c:v>
                </c:pt>
                <c:pt idx="6">
                  <c:v>0.89200000000000002</c:v>
                </c:pt>
                <c:pt idx="10">
                  <c:v>0.92900000000000005</c:v>
                </c:pt>
                <c:pt idx="11">
                  <c:v>0.871</c:v>
                </c:pt>
                <c:pt idx="12">
                  <c:v>0.89500000000000002</c:v>
                </c:pt>
                <c:pt idx="16">
                  <c:v>0.92400000000000004</c:v>
                </c:pt>
                <c:pt idx="20">
                  <c:v>0.9</c:v>
                </c:pt>
                <c:pt idx="21">
                  <c:v>0.877</c:v>
                </c:pt>
                <c:pt idx="23">
                  <c:v>0.9</c:v>
                </c:pt>
                <c:pt idx="24">
                  <c:v>0.877</c:v>
                </c:pt>
                <c:pt idx="25">
                  <c:v>0.92600000000000005</c:v>
                </c:pt>
                <c:pt idx="29">
                  <c:v>0.91</c:v>
                </c:pt>
                <c:pt idx="33">
                  <c:v>1.167</c:v>
                </c:pt>
                <c:pt idx="34">
                  <c:v>0.91100000000000003</c:v>
                </c:pt>
                <c:pt idx="35">
                  <c:v>0.98499999999999999</c:v>
                </c:pt>
                <c:pt idx="39">
                  <c:v>0.97499999999999998</c:v>
                </c:pt>
                <c:pt idx="40">
                  <c:v>0.91300000000000003</c:v>
                </c:pt>
                <c:pt idx="41">
                  <c:v>0.91200000000000003</c:v>
                </c:pt>
                <c:pt idx="42">
                  <c:v>0.91</c:v>
                </c:pt>
                <c:pt idx="43">
                  <c:v>0.91400000000000003</c:v>
                </c:pt>
                <c:pt idx="44">
                  <c:v>0.93600000000000005</c:v>
                </c:pt>
                <c:pt idx="48">
                  <c:v>0.98799999999999999</c:v>
                </c:pt>
                <c:pt idx="49">
                  <c:v>0.90900000000000003</c:v>
                </c:pt>
                <c:pt idx="50">
                  <c:v>1.127</c:v>
                </c:pt>
                <c:pt idx="54">
                  <c:v>0.93200000000000005</c:v>
                </c:pt>
                <c:pt idx="55">
                  <c:v>0.91</c:v>
                </c:pt>
                <c:pt idx="56">
                  <c:v>0.99</c:v>
                </c:pt>
                <c:pt idx="60">
                  <c:v>0.95699999999999996</c:v>
                </c:pt>
                <c:pt idx="61">
                  <c:v>0.91</c:v>
                </c:pt>
                <c:pt idx="62">
                  <c:v>0.90900000000000003</c:v>
                </c:pt>
                <c:pt idx="63">
                  <c:v>1.103</c:v>
                </c:pt>
                <c:pt idx="67">
                  <c:v>0.92900000000000005</c:v>
                </c:pt>
                <c:pt idx="68">
                  <c:v>0.91300000000000003</c:v>
                </c:pt>
                <c:pt idx="69">
                  <c:v>0.91600000000000004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DC-4906-BBE3-20DABB3688AB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All!$FH$6:$FH$79</c:f>
              <c:numCache>
                <c:formatCode>General</c:formatCode>
                <c:ptCount val="74"/>
                <c:pt idx="0">
                  <c:v>1.022</c:v>
                </c:pt>
                <c:pt idx="4">
                  <c:v>0.90200000000000002</c:v>
                </c:pt>
                <c:pt idx="5">
                  <c:v>0.872</c:v>
                </c:pt>
                <c:pt idx="6">
                  <c:v>0.89200000000000002</c:v>
                </c:pt>
                <c:pt idx="10">
                  <c:v>0.91900000000000004</c:v>
                </c:pt>
                <c:pt idx="11">
                  <c:v>0.871</c:v>
                </c:pt>
                <c:pt idx="12">
                  <c:v>0.876</c:v>
                </c:pt>
                <c:pt idx="16">
                  <c:v>0.91</c:v>
                </c:pt>
                <c:pt idx="20">
                  <c:v>0.89900000000000002</c:v>
                </c:pt>
                <c:pt idx="21">
                  <c:v>0.89800000000000002</c:v>
                </c:pt>
                <c:pt idx="23">
                  <c:v>0.89900000000000002</c:v>
                </c:pt>
                <c:pt idx="24">
                  <c:v>0.89800000000000002</c:v>
                </c:pt>
                <c:pt idx="25">
                  <c:v>0.90800000000000003</c:v>
                </c:pt>
                <c:pt idx="29">
                  <c:v>0.91</c:v>
                </c:pt>
                <c:pt idx="33">
                  <c:v>1.0369999999999999</c:v>
                </c:pt>
                <c:pt idx="34">
                  <c:v>0.91</c:v>
                </c:pt>
                <c:pt idx="35">
                  <c:v>0.93799999999999994</c:v>
                </c:pt>
                <c:pt idx="39">
                  <c:v>0.97399999999999998</c:v>
                </c:pt>
                <c:pt idx="40">
                  <c:v>0.91200000000000003</c:v>
                </c:pt>
                <c:pt idx="41">
                  <c:v>0.91</c:v>
                </c:pt>
                <c:pt idx="42">
                  <c:v>0.90900000000000003</c:v>
                </c:pt>
                <c:pt idx="43">
                  <c:v>0.91200000000000003</c:v>
                </c:pt>
                <c:pt idx="44">
                  <c:v>0.92200000000000004</c:v>
                </c:pt>
                <c:pt idx="48">
                  <c:v>0.98799999999999999</c:v>
                </c:pt>
                <c:pt idx="49">
                  <c:v>0.90800000000000003</c:v>
                </c:pt>
                <c:pt idx="50">
                  <c:v>1.1519999999999999</c:v>
                </c:pt>
                <c:pt idx="54">
                  <c:v>0.93100000000000005</c:v>
                </c:pt>
                <c:pt idx="55">
                  <c:v>0.90900000000000003</c:v>
                </c:pt>
                <c:pt idx="56">
                  <c:v>0.98799999999999999</c:v>
                </c:pt>
                <c:pt idx="60">
                  <c:v>0.96199999999999997</c:v>
                </c:pt>
                <c:pt idx="61">
                  <c:v>0.90800000000000003</c:v>
                </c:pt>
                <c:pt idx="62">
                  <c:v>0.90700000000000003</c:v>
                </c:pt>
                <c:pt idx="63">
                  <c:v>1.1539999999999999</c:v>
                </c:pt>
                <c:pt idx="67">
                  <c:v>0.92800000000000005</c:v>
                </c:pt>
                <c:pt idx="68">
                  <c:v>0.91100000000000003</c:v>
                </c:pt>
                <c:pt idx="69">
                  <c:v>0.91200000000000003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DC-4906-BBE3-20DABB3688AB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All!$FI$6:$FI$79</c:f>
              <c:numCache>
                <c:formatCode>General</c:formatCode>
                <c:ptCount val="74"/>
                <c:pt idx="0">
                  <c:v>0.997</c:v>
                </c:pt>
                <c:pt idx="4">
                  <c:v>0.98</c:v>
                </c:pt>
                <c:pt idx="5">
                  <c:v>0.95699999999999996</c:v>
                </c:pt>
                <c:pt idx="6">
                  <c:v>0.95899999999999996</c:v>
                </c:pt>
                <c:pt idx="10">
                  <c:v>0.97399999999999998</c:v>
                </c:pt>
                <c:pt idx="11">
                  <c:v>0.95599999999999996</c:v>
                </c:pt>
                <c:pt idx="12">
                  <c:v>0.96199999999999997</c:v>
                </c:pt>
                <c:pt idx="16">
                  <c:v>0.97799999999999998</c:v>
                </c:pt>
                <c:pt idx="20">
                  <c:v>0.97499999999999998</c:v>
                </c:pt>
                <c:pt idx="21">
                  <c:v>0.96699999999999997</c:v>
                </c:pt>
                <c:pt idx="23">
                  <c:v>0.97499999999999998</c:v>
                </c:pt>
                <c:pt idx="24">
                  <c:v>0.96699999999999997</c:v>
                </c:pt>
                <c:pt idx="25">
                  <c:v>0.98799999999999999</c:v>
                </c:pt>
                <c:pt idx="29">
                  <c:v>0.98199999999999998</c:v>
                </c:pt>
                <c:pt idx="33">
                  <c:v>1</c:v>
                </c:pt>
                <c:pt idx="34">
                  <c:v>0.98599999999999999</c:v>
                </c:pt>
                <c:pt idx="35">
                  <c:v>1.01</c:v>
                </c:pt>
                <c:pt idx="39">
                  <c:v>0.998</c:v>
                </c:pt>
                <c:pt idx="40">
                  <c:v>0.98599999999999999</c:v>
                </c:pt>
                <c:pt idx="41">
                  <c:v>0.98699999999999999</c:v>
                </c:pt>
                <c:pt idx="42">
                  <c:v>0.98899999999999999</c:v>
                </c:pt>
                <c:pt idx="43">
                  <c:v>0.99</c:v>
                </c:pt>
                <c:pt idx="44">
                  <c:v>1.0169999999999999</c:v>
                </c:pt>
                <c:pt idx="48">
                  <c:v>1.0009999999999999</c:v>
                </c:pt>
                <c:pt idx="49">
                  <c:v>0.98499999999999999</c:v>
                </c:pt>
                <c:pt idx="50">
                  <c:v>0.98899999999999999</c:v>
                </c:pt>
                <c:pt idx="54">
                  <c:v>0.99</c:v>
                </c:pt>
                <c:pt idx="55">
                  <c:v>0.98599999999999999</c:v>
                </c:pt>
                <c:pt idx="56">
                  <c:v>0.98799999999999999</c:v>
                </c:pt>
                <c:pt idx="60">
                  <c:v>0.99299999999999999</c:v>
                </c:pt>
                <c:pt idx="61">
                  <c:v>0.98799999999999999</c:v>
                </c:pt>
                <c:pt idx="62">
                  <c:v>0.98699999999999999</c:v>
                </c:pt>
                <c:pt idx="63">
                  <c:v>0.99199999999999999</c:v>
                </c:pt>
                <c:pt idx="67">
                  <c:v>0.99199999999999999</c:v>
                </c:pt>
                <c:pt idx="68">
                  <c:v>0.98799999999999999</c:v>
                </c:pt>
                <c:pt idx="69">
                  <c:v>0.98899999999999999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DC-4906-BBE3-20DABB3688AB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All!$FJ$6:$FJ$79</c:f>
              <c:numCache>
                <c:formatCode>General</c:formatCode>
                <c:ptCount val="74"/>
                <c:pt idx="0">
                  <c:v>0.998</c:v>
                </c:pt>
                <c:pt idx="4">
                  <c:v>0.97499999999999998</c:v>
                </c:pt>
                <c:pt idx="5">
                  <c:v>0.95399999999999996</c:v>
                </c:pt>
                <c:pt idx="6">
                  <c:v>0.95699999999999996</c:v>
                </c:pt>
                <c:pt idx="10">
                  <c:v>0.97099999999999997</c:v>
                </c:pt>
                <c:pt idx="11">
                  <c:v>0.95499999999999996</c:v>
                </c:pt>
                <c:pt idx="12">
                  <c:v>0.96099999999999997</c:v>
                </c:pt>
                <c:pt idx="16">
                  <c:v>0.97499999999999998</c:v>
                </c:pt>
                <c:pt idx="20">
                  <c:v>0.97299999999999998</c:v>
                </c:pt>
                <c:pt idx="21">
                  <c:v>0.96299999999999997</c:v>
                </c:pt>
                <c:pt idx="23">
                  <c:v>0.97299999999999998</c:v>
                </c:pt>
                <c:pt idx="24">
                  <c:v>0.96299999999999997</c:v>
                </c:pt>
                <c:pt idx="25">
                  <c:v>0.98199999999999998</c:v>
                </c:pt>
                <c:pt idx="29">
                  <c:v>0.97599999999999998</c:v>
                </c:pt>
                <c:pt idx="33">
                  <c:v>0.998</c:v>
                </c:pt>
                <c:pt idx="34">
                  <c:v>0.98299999999999998</c:v>
                </c:pt>
                <c:pt idx="35">
                  <c:v>1.008</c:v>
                </c:pt>
                <c:pt idx="39">
                  <c:v>0.996</c:v>
                </c:pt>
                <c:pt idx="40">
                  <c:v>0.98099999999999998</c:v>
                </c:pt>
                <c:pt idx="41">
                  <c:v>0.98399999999999999</c:v>
                </c:pt>
                <c:pt idx="42">
                  <c:v>0.98599999999999999</c:v>
                </c:pt>
                <c:pt idx="43">
                  <c:v>0.98699999999999999</c:v>
                </c:pt>
                <c:pt idx="44">
                  <c:v>1.014</c:v>
                </c:pt>
                <c:pt idx="48">
                  <c:v>0.999</c:v>
                </c:pt>
                <c:pt idx="49">
                  <c:v>0.98099999999999998</c:v>
                </c:pt>
                <c:pt idx="50">
                  <c:v>0.98699999999999999</c:v>
                </c:pt>
                <c:pt idx="54">
                  <c:v>0.98799999999999999</c:v>
                </c:pt>
                <c:pt idx="55">
                  <c:v>0.98299999999999998</c:v>
                </c:pt>
                <c:pt idx="56">
                  <c:v>0.98399999999999999</c:v>
                </c:pt>
                <c:pt idx="60">
                  <c:v>0.99</c:v>
                </c:pt>
                <c:pt idx="61">
                  <c:v>0.98399999999999999</c:v>
                </c:pt>
                <c:pt idx="62">
                  <c:v>0.98299999999999998</c:v>
                </c:pt>
                <c:pt idx="63">
                  <c:v>0.98899999999999999</c:v>
                </c:pt>
                <c:pt idx="67">
                  <c:v>0.98799999999999999</c:v>
                </c:pt>
                <c:pt idx="68">
                  <c:v>0.98499999999999999</c:v>
                </c:pt>
                <c:pt idx="69">
                  <c:v>0.98599999999999999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C-4906-BBE3-20DABB368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2272"/>
        <c:axId val="436188944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All!$IL$6:$IL$79</c:f>
              <c:numCache>
                <c:formatCode>General</c:formatCode>
                <c:ptCount val="74"/>
                <c:pt idx="0">
                  <c:v>2404.585</c:v>
                </c:pt>
                <c:pt idx="4">
                  <c:v>981.31100000000004</c:v>
                </c:pt>
                <c:pt idx="5">
                  <c:v>45.17</c:v>
                </c:pt>
                <c:pt idx="6">
                  <c:v>49.588000000000001</c:v>
                </c:pt>
                <c:pt idx="10">
                  <c:v>113.499</c:v>
                </c:pt>
                <c:pt idx="11">
                  <c:v>43.957999999999998</c:v>
                </c:pt>
                <c:pt idx="12">
                  <c:v>54.37</c:v>
                </c:pt>
                <c:pt idx="16">
                  <c:v>1849.306</c:v>
                </c:pt>
                <c:pt idx="20">
                  <c:v>76.540999999999997</c:v>
                </c:pt>
                <c:pt idx="21">
                  <c:v>43.722999999999999</c:v>
                </c:pt>
                <c:pt idx="23">
                  <c:v>76.540999999999997</c:v>
                </c:pt>
                <c:pt idx="24">
                  <c:v>43.722999999999999</c:v>
                </c:pt>
                <c:pt idx="25">
                  <c:v>1366.4259999999999</c:v>
                </c:pt>
                <c:pt idx="29">
                  <c:v>347.209</c:v>
                </c:pt>
                <c:pt idx="33">
                  <c:v>236.303</c:v>
                </c:pt>
                <c:pt idx="34">
                  <c:v>62.457000000000001</c:v>
                </c:pt>
                <c:pt idx="35">
                  <c:v>460.303</c:v>
                </c:pt>
                <c:pt idx="39">
                  <c:v>295.28100000000001</c:v>
                </c:pt>
                <c:pt idx="40">
                  <c:v>60.244</c:v>
                </c:pt>
                <c:pt idx="41">
                  <c:v>61.209000000000003</c:v>
                </c:pt>
                <c:pt idx="42">
                  <c:v>67.212000000000003</c:v>
                </c:pt>
                <c:pt idx="43">
                  <c:v>60.75</c:v>
                </c:pt>
                <c:pt idx="44">
                  <c:v>95.936000000000007</c:v>
                </c:pt>
                <c:pt idx="48">
                  <c:v>2023.8969999999999</c:v>
                </c:pt>
                <c:pt idx="49">
                  <c:v>71.126999999999995</c:v>
                </c:pt>
                <c:pt idx="50">
                  <c:v>122.48699999999999</c:v>
                </c:pt>
                <c:pt idx="54">
                  <c:v>134.49700000000001</c:v>
                </c:pt>
                <c:pt idx="55">
                  <c:v>72.123000000000005</c:v>
                </c:pt>
                <c:pt idx="56">
                  <c:v>88.248000000000005</c:v>
                </c:pt>
                <c:pt idx="60">
                  <c:v>112.858</c:v>
                </c:pt>
                <c:pt idx="61">
                  <c:v>72.003</c:v>
                </c:pt>
                <c:pt idx="62">
                  <c:v>66.275000000000006</c:v>
                </c:pt>
                <c:pt idx="63">
                  <c:v>123.633</c:v>
                </c:pt>
                <c:pt idx="67">
                  <c:v>430.42399999999998</c:v>
                </c:pt>
                <c:pt idx="68">
                  <c:v>71.686999999999998</c:v>
                </c:pt>
                <c:pt idx="69">
                  <c:v>71.744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DC-4906-BBE3-20DABB3688AB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All!$IM$6:$IM$79</c:f>
              <c:numCache>
                <c:formatCode>General</c:formatCode>
                <c:ptCount val="74"/>
                <c:pt idx="0">
                  <c:v>2405.0059999999999</c:v>
                </c:pt>
                <c:pt idx="4">
                  <c:v>981.55200000000002</c:v>
                </c:pt>
                <c:pt idx="5">
                  <c:v>45.17</c:v>
                </c:pt>
                <c:pt idx="6">
                  <c:v>49.588000000000001</c:v>
                </c:pt>
                <c:pt idx="10">
                  <c:v>113.499</c:v>
                </c:pt>
                <c:pt idx="11">
                  <c:v>43.957999999999998</c:v>
                </c:pt>
                <c:pt idx="12">
                  <c:v>54.37</c:v>
                </c:pt>
                <c:pt idx="16">
                  <c:v>1849.306</c:v>
                </c:pt>
                <c:pt idx="20">
                  <c:v>76.661000000000001</c:v>
                </c:pt>
                <c:pt idx="21">
                  <c:v>43.722999999999999</c:v>
                </c:pt>
                <c:pt idx="23">
                  <c:v>76.661000000000001</c:v>
                </c:pt>
                <c:pt idx="24">
                  <c:v>43.722999999999999</c:v>
                </c:pt>
                <c:pt idx="25">
                  <c:v>1366.6859999999999</c:v>
                </c:pt>
                <c:pt idx="29">
                  <c:v>347.44900000000001</c:v>
                </c:pt>
                <c:pt idx="33">
                  <c:v>236.78299999999999</c:v>
                </c:pt>
                <c:pt idx="34">
                  <c:v>62.457000000000001</c:v>
                </c:pt>
                <c:pt idx="35">
                  <c:v>460.303</c:v>
                </c:pt>
                <c:pt idx="39">
                  <c:v>295.50200000000001</c:v>
                </c:pt>
                <c:pt idx="40">
                  <c:v>60.244</c:v>
                </c:pt>
                <c:pt idx="41">
                  <c:v>61.209000000000003</c:v>
                </c:pt>
                <c:pt idx="42">
                  <c:v>67.212000000000003</c:v>
                </c:pt>
                <c:pt idx="43">
                  <c:v>60.75</c:v>
                </c:pt>
                <c:pt idx="44">
                  <c:v>95.936000000000007</c:v>
                </c:pt>
                <c:pt idx="48">
                  <c:v>2023.8969999999999</c:v>
                </c:pt>
                <c:pt idx="49">
                  <c:v>71.126999999999995</c:v>
                </c:pt>
                <c:pt idx="50">
                  <c:v>122.48699999999999</c:v>
                </c:pt>
                <c:pt idx="54">
                  <c:v>134.49700000000001</c:v>
                </c:pt>
                <c:pt idx="55">
                  <c:v>72.123000000000005</c:v>
                </c:pt>
                <c:pt idx="56">
                  <c:v>88.248000000000005</c:v>
                </c:pt>
                <c:pt idx="60">
                  <c:v>112.858</c:v>
                </c:pt>
                <c:pt idx="61">
                  <c:v>72.003</c:v>
                </c:pt>
                <c:pt idx="62">
                  <c:v>66.275000000000006</c:v>
                </c:pt>
                <c:pt idx="63">
                  <c:v>123.633</c:v>
                </c:pt>
                <c:pt idx="67">
                  <c:v>430.66399999999999</c:v>
                </c:pt>
                <c:pt idx="68">
                  <c:v>71.686999999999998</c:v>
                </c:pt>
                <c:pt idx="69">
                  <c:v>71.744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DC-4906-BBE3-20DABB368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34032"/>
        <c:axId val="375157328"/>
      </c:scatterChart>
      <c:valAx>
        <c:axId val="43619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8944"/>
        <c:crosses val="autoZero"/>
        <c:crossBetween val="midCat"/>
      </c:valAx>
      <c:valAx>
        <c:axId val="43618894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2272"/>
        <c:crosses val="autoZero"/>
        <c:crossBetween val="midCat"/>
      </c:valAx>
      <c:valAx>
        <c:axId val="375157328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34032"/>
        <c:crosses val="max"/>
        <c:crossBetween val="midCat"/>
      </c:valAx>
      <c:valAx>
        <c:axId val="375134032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732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All!$FP$6:$FP$79</c:f>
              <c:numCache>
                <c:formatCode>General</c:formatCode>
                <c:ptCount val="74"/>
                <c:pt idx="0">
                  <c:v>0.45</c:v>
                </c:pt>
                <c:pt idx="4">
                  <c:v>0.05</c:v>
                </c:pt>
                <c:pt idx="6">
                  <c:v>3.35</c:v>
                </c:pt>
                <c:pt idx="10">
                  <c:v>4.5</c:v>
                </c:pt>
                <c:pt idx="12">
                  <c:v>3.9</c:v>
                </c:pt>
                <c:pt idx="16">
                  <c:v>0.7</c:v>
                </c:pt>
                <c:pt idx="20">
                  <c:v>0.7</c:v>
                </c:pt>
                <c:pt idx="21">
                  <c:v>3.9</c:v>
                </c:pt>
                <c:pt idx="23">
                  <c:v>0.7</c:v>
                </c:pt>
                <c:pt idx="24">
                  <c:v>3.9</c:v>
                </c:pt>
                <c:pt idx="25">
                  <c:v>0</c:v>
                </c:pt>
                <c:pt idx="29">
                  <c:v>0.5</c:v>
                </c:pt>
                <c:pt idx="33">
                  <c:v>0.8</c:v>
                </c:pt>
                <c:pt idx="35">
                  <c:v>4.1500000000000004</c:v>
                </c:pt>
                <c:pt idx="39">
                  <c:v>2.75</c:v>
                </c:pt>
                <c:pt idx="44">
                  <c:v>4.1500000000000004</c:v>
                </c:pt>
                <c:pt idx="48">
                  <c:v>2.2999999999999998</c:v>
                </c:pt>
                <c:pt idx="50">
                  <c:v>3.95</c:v>
                </c:pt>
                <c:pt idx="54">
                  <c:v>2.6</c:v>
                </c:pt>
                <c:pt idx="56">
                  <c:v>3.65</c:v>
                </c:pt>
                <c:pt idx="60">
                  <c:v>3.95</c:v>
                </c:pt>
                <c:pt idx="63">
                  <c:v>3.85</c:v>
                </c:pt>
                <c:pt idx="67">
                  <c:v>0.05</c:v>
                </c:pt>
                <c:pt idx="68">
                  <c:v>3.5</c:v>
                </c:pt>
                <c:pt idx="6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E2-46D7-BDDB-EBC349B69CA8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All!$FQ$6:$FQ$79</c:f>
              <c:numCache>
                <c:formatCode>General</c:formatCode>
                <c:ptCount val="74"/>
                <c:pt idx="0">
                  <c:v>4.2</c:v>
                </c:pt>
                <c:pt idx="4">
                  <c:v>3.05</c:v>
                </c:pt>
                <c:pt idx="5">
                  <c:v>4.5999999999999996</c:v>
                </c:pt>
                <c:pt idx="6">
                  <c:v>4.3</c:v>
                </c:pt>
                <c:pt idx="10">
                  <c:v>2.25</c:v>
                </c:pt>
                <c:pt idx="11">
                  <c:v>4.55</c:v>
                </c:pt>
                <c:pt idx="12">
                  <c:v>4.45</c:v>
                </c:pt>
                <c:pt idx="16">
                  <c:v>4.4000000000000004</c:v>
                </c:pt>
                <c:pt idx="20">
                  <c:v>4.45</c:v>
                </c:pt>
                <c:pt idx="21">
                  <c:v>4.4000000000000004</c:v>
                </c:pt>
                <c:pt idx="23">
                  <c:v>4.45</c:v>
                </c:pt>
                <c:pt idx="24">
                  <c:v>4.4000000000000004</c:v>
                </c:pt>
                <c:pt idx="25">
                  <c:v>1.75</c:v>
                </c:pt>
                <c:pt idx="29">
                  <c:v>3.5</c:v>
                </c:pt>
                <c:pt idx="33">
                  <c:v>2.85</c:v>
                </c:pt>
                <c:pt idx="34">
                  <c:v>4.6500000000000004</c:v>
                </c:pt>
                <c:pt idx="35">
                  <c:v>4.6500000000000004</c:v>
                </c:pt>
                <c:pt idx="39">
                  <c:v>4.5999999999999996</c:v>
                </c:pt>
                <c:pt idx="40">
                  <c:v>4.7</c:v>
                </c:pt>
                <c:pt idx="41">
                  <c:v>4.55</c:v>
                </c:pt>
                <c:pt idx="42">
                  <c:v>4.5</c:v>
                </c:pt>
                <c:pt idx="43">
                  <c:v>4.6500000000000004</c:v>
                </c:pt>
                <c:pt idx="44">
                  <c:v>4.45</c:v>
                </c:pt>
                <c:pt idx="48">
                  <c:v>4.75</c:v>
                </c:pt>
                <c:pt idx="49">
                  <c:v>4.55</c:v>
                </c:pt>
                <c:pt idx="50">
                  <c:v>4.4000000000000004</c:v>
                </c:pt>
                <c:pt idx="54">
                  <c:v>4.45</c:v>
                </c:pt>
                <c:pt idx="55">
                  <c:v>4.5999999999999996</c:v>
                </c:pt>
                <c:pt idx="56">
                  <c:v>4.3499999999999996</c:v>
                </c:pt>
                <c:pt idx="60">
                  <c:v>3.15</c:v>
                </c:pt>
                <c:pt idx="61">
                  <c:v>4.5999999999999996</c:v>
                </c:pt>
                <c:pt idx="62">
                  <c:v>4.5999999999999996</c:v>
                </c:pt>
                <c:pt idx="63">
                  <c:v>4.4000000000000004</c:v>
                </c:pt>
                <c:pt idx="67">
                  <c:v>2.15</c:v>
                </c:pt>
                <c:pt idx="68">
                  <c:v>4.1500000000000004</c:v>
                </c:pt>
                <c:pt idx="69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E2-46D7-BDDB-EBC349B69CA8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All!$FR$6:$FR$79</c:f>
              <c:numCache>
                <c:formatCode>General</c:formatCode>
                <c:ptCount val="74"/>
                <c:pt idx="0">
                  <c:v>5.7</c:v>
                </c:pt>
                <c:pt idx="4">
                  <c:v>5.25</c:v>
                </c:pt>
                <c:pt idx="5">
                  <c:v>5.15</c:v>
                </c:pt>
                <c:pt idx="6">
                  <c:v>5.0999999999999996</c:v>
                </c:pt>
                <c:pt idx="10">
                  <c:v>4.95</c:v>
                </c:pt>
                <c:pt idx="11">
                  <c:v>4.95</c:v>
                </c:pt>
                <c:pt idx="12">
                  <c:v>4.95</c:v>
                </c:pt>
                <c:pt idx="16">
                  <c:v>5.2</c:v>
                </c:pt>
                <c:pt idx="20">
                  <c:v>5.05</c:v>
                </c:pt>
                <c:pt idx="21">
                  <c:v>5</c:v>
                </c:pt>
                <c:pt idx="23">
                  <c:v>5.05</c:v>
                </c:pt>
                <c:pt idx="24">
                  <c:v>5</c:v>
                </c:pt>
                <c:pt idx="25">
                  <c:v>5.05</c:v>
                </c:pt>
                <c:pt idx="29">
                  <c:v>5.15</c:v>
                </c:pt>
                <c:pt idx="33">
                  <c:v>5.25</c:v>
                </c:pt>
                <c:pt idx="34">
                  <c:v>5.15</c:v>
                </c:pt>
                <c:pt idx="35">
                  <c:v>5.15</c:v>
                </c:pt>
                <c:pt idx="39">
                  <c:v>5.2</c:v>
                </c:pt>
                <c:pt idx="40">
                  <c:v>5.2</c:v>
                </c:pt>
                <c:pt idx="41">
                  <c:v>5.05</c:v>
                </c:pt>
                <c:pt idx="42">
                  <c:v>5.05</c:v>
                </c:pt>
                <c:pt idx="43">
                  <c:v>5.0999999999999996</c:v>
                </c:pt>
                <c:pt idx="44">
                  <c:v>5.25</c:v>
                </c:pt>
                <c:pt idx="48">
                  <c:v>5.3</c:v>
                </c:pt>
                <c:pt idx="49">
                  <c:v>5.15</c:v>
                </c:pt>
                <c:pt idx="50">
                  <c:v>5.0999999999999996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5.05</c:v>
                </c:pt>
                <c:pt idx="60">
                  <c:v>5.2</c:v>
                </c:pt>
                <c:pt idx="61">
                  <c:v>5.05</c:v>
                </c:pt>
                <c:pt idx="62">
                  <c:v>5.0999999999999996</c:v>
                </c:pt>
                <c:pt idx="63">
                  <c:v>5.0999999999999996</c:v>
                </c:pt>
                <c:pt idx="67">
                  <c:v>4.8499999999999996</c:v>
                </c:pt>
                <c:pt idx="68">
                  <c:v>5</c:v>
                </c:pt>
                <c:pt idx="69">
                  <c:v>5.0999999999999996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E2-46D7-BDDB-EBC349B69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6016"/>
        <c:axId val="436192272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All!$FK$6:$FK$79</c:f>
              <c:numCache>
                <c:formatCode>General</c:formatCode>
                <c:ptCount val="74"/>
                <c:pt idx="0">
                  <c:v>1.0009999999999999</c:v>
                </c:pt>
                <c:pt idx="4">
                  <c:v>0.40200000000000002</c:v>
                </c:pt>
                <c:pt idx="5">
                  <c:v>0</c:v>
                </c:pt>
                <c:pt idx="6">
                  <c:v>0</c:v>
                </c:pt>
                <c:pt idx="10">
                  <c:v>0.60099999999999998</c:v>
                </c:pt>
                <c:pt idx="11">
                  <c:v>0</c:v>
                </c:pt>
                <c:pt idx="12">
                  <c:v>0</c:v>
                </c:pt>
                <c:pt idx="16">
                  <c:v>0.501</c:v>
                </c:pt>
                <c:pt idx="20">
                  <c:v>0.4</c:v>
                </c:pt>
                <c:pt idx="21">
                  <c:v>9.9000000000000005E-2</c:v>
                </c:pt>
                <c:pt idx="23">
                  <c:v>0.4</c:v>
                </c:pt>
                <c:pt idx="24">
                  <c:v>9.9000000000000005E-2</c:v>
                </c:pt>
                <c:pt idx="25">
                  <c:v>0.40300000000000002</c:v>
                </c:pt>
                <c:pt idx="29">
                  <c:v>0.4</c:v>
                </c:pt>
                <c:pt idx="33">
                  <c:v>0.19900000000000001</c:v>
                </c:pt>
                <c:pt idx="34">
                  <c:v>0</c:v>
                </c:pt>
                <c:pt idx="35">
                  <c:v>0</c:v>
                </c:pt>
                <c:pt idx="39">
                  <c:v>0.2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0.79900000000000004</c:v>
                </c:pt>
                <c:pt idx="49">
                  <c:v>0</c:v>
                </c:pt>
                <c:pt idx="50">
                  <c:v>0</c:v>
                </c:pt>
                <c:pt idx="54">
                  <c:v>0.4</c:v>
                </c:pt>
                <c:pt idx="55">
                  <c:v>0</c:v>
                </c:pt>
                <c:pt idx="56">
                  <c:v>0</c:v>
                </c:pt>
                <c:pt idx="60">
                  <c:v>0.40100000000000002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0.40200000000000002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E2-46D7-BDDB-EBC349B69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35280"/>
        <c:axId val="375134448"/>
      </c:scatterChart>
      <c:valAx>
        <c:axId val="43619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2272"/>
        <c:crosses val="autoZero"/>
        <c:crossBetween val="midCat"/>
      </c:valAx>
      <c:valAx>
        <c:axId val="4361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6016"/>
        <c:crosses val="autoZero"/>
        <c:crossBetween val="midCat"/>
      </c:valAx>
      <c:valAx>
        <c:axId val="375134448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35280"/>
        <c:crosses val="max"/>
        <c:crossBetween val="midCat"/>
      </c:valAx>
      <c:valAx>
        <c:axId val="375135280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3444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All!$GF$6:$GF$79</c:f>
              <c:numCache>
                <c:formatCode>General</c:formatCode>
                <c:ptCount val="74"/>
                <c:pt idx="0">
                  <c:v>1465.3438000000001</c:v>
                </c:pt>
                <c:pt idx="4">
                  <c:v>1325.625</c:v>
                </c:pt>
                <c:pt idx="5">
                  <c:v>1416.8280999999999</c:v>
                </c:pt>
                <c:pt idx="6">
                  <c:v>1267.4375</c:v>
                </c:pt>
                <c:pt idx="10">
                  <c:v>1149.4219000000001</c:v>
                </c:pt>
                <c:pt idx="11">
                  <c:v>1352.5</c:v>
                </c:pt>
                <c:pt idx="12">
                  <c:v>1271.1094000000001</c:v>
                </c:pt>
                <c:pt idx="16">
                  <c:v>1588.6405999999999</c:v>
                </c:pt>
                <c:pt idx="20">
                  <c:v>1356.5780999999999</c:v>
                </c:pt>
                <c:pt idx="21">
                  <c:v>1303.3594000000001</c:v>
                </c:pt>
                <c:pt idx="23">
                  <c:v>1356.5780999999999</c:v>
                </c:pt>
                <c:pt idx="24">
                  <c:v>1303.3594000000001</c:v>
                </c:pt>
                <c:pt idx="25">
                  <c:v>1269.2188000000001</c:v>
                </c:pt>
                <c:pt idx="29">
                  <c:v>1220.625</c:v>
                </c:pt>
                <c:pt idx="33">
                  <c:v>1546.0625</c:v>
                </c:pt>
                <c:pt idx="34">
                  <c:v>1574.4530999999999</c:v>
                </c:pt>
                <c:pt idx="35">
                  <c:v>1188.2030999999999</c:v>
                </c:pt>
                <c:pt idx="39">
                  <c:v>1457.3594000000001</c:v>
                </c:pt>
                <c:pt idx="40">
                  <c:v>1452.5938000000001</c:v>
                </c:pt>
                <c:pt idx="41">
                  <c:v>1366.8280999999999</c:v>
                </c:pt>
                <c:pt idx="42">
                  <c:v>1432.25</c:v>
                </c:pt>
                <c:pt idx="43">
                  <c:v>1427.9063000000001</c:v>
                </c:pt>
                <c:pt idx="44">
                  <c:v>966.76559999999995</c:v>
                </c:pt>
                <c:pt idx="48">
                  <c:v>1444.5313000000001</c:v>
                </c:pt>
                <c:pt idx="49">
                  <c:v>1422.7344000000001</c:v>
                </c:pt>
                <c:pt idx="50">
                  <c:v>1166.5469000000001</c:v>
                </c:pt>
                <c:pt idx="54">
                  <c:v>1411.4375</c:v>
                </c:pt>
                <c:pt idx="55">
                  <c:v>1431.2969000000001</c:v>
                </c:pt>
                <c:pt idx="56">
                  <c:v>1362.4375</c:v>
                </c:pt>
                <c:pt idx="60">
                  <c:v>1182.0938000000001</c:v>
                </c:pt>
                <c:pt idx="61">
                  <c:v>1226.4530999999999</c:v>
                </c:pt>
                <c:pt idx="62">
                  <c:v>1575.9844000000001</c:v>
                </c:pt>
                <c:pt idx="63">
                  <c:v>1339.4219000000001</c:v>
                </c:pt>
                <c:pt idx="67">
                  <c:v>1172.3125</c:v>
                </c:pt>
                <c:pt idx="68">
                  <c:v>1480.0313000000001</c:v>
                </c:pt>
                <c:pt idx="69">
                  <c:v>1382.1719000000001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3C-4244-A938-FFA376DB2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5168"/>
        <c:axId val="436210576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All!$FU$6:$FU$79</c:f>
              <c:numCache>
                <c:formatCode>General</c:formatCode>
                <c:ptCount val="74"/>
                <c:pt idx="0">
                  <c:v>2.23</c:v>
                </c:pt>
                <c:pt idx="4">
                  <c:v>7.35</c:v>
                </c:pt>
                <c:pt idx="5">
                  <c:v>7.51</c:v>
                </c:pt>
                <c:pt idx="6">
                  <c:v>7.85</c:v>
                </c:pt>
                <c:pt idx="10">
                  <c:v>7.19</c:v>
                </c:pt>
                <c:pt idx="11">
                  <c:v>7.56</c:v>
                </c:pt>
                <c:pt idx="12">
                  <c:v>7.63</c:v>
                </c:pt>
                <c:pt idx="16">
                  <c:v>4.29</c:v>
                </c:pt>
                <c:pt idx="20">
                  <c:v>5.93</c:v>
                </c:pt>
                <c:pt idx="21">
                  <c:v>6.7</c:v>
                </c:pt>
                <c:pt idx="23">
                  <c:v>5.93</c:v>
                </c:pt>
                <c:pt idx="24">
                  <c:v>6.7</c:v>
                </c:pt>
                <c:pt idx="25">
                  <c:v>5.03</c:v>
                </c:pt>
                <c:pt idx="29">
                  <c:v>5.96</c:v>
                </c:pt>
                <c:pt idx="33">
                  <c:v>3.51</c:v>
                </c:pt>
                <c:pt idx="34">
                  <c:v>6.08</c:v>
                </c:pt>
                <c:pt idx="35">
                  <c:v>5.28</c:v>
                </c:pt>
                <c:pt idx="39">
                  <c:v>6.68</c:v>
                </c:pt>
                <c:pt idx="40">
                  <c:v>7.62</c:v>
                </c:pt>
                <c:pt idx="41">
                  <c:v>7.33</c:v>
                </c:pt>
                <c:pt idx="42">
                  <c:v>7.02</c:v>
                </c:pt>
                <c:pt idx="43">
                  <c:v>7.34</c:v>
                </c:pt>
                <c:pt idx="44">
                  <c:v>6.35</c:v>
                </c:pt>
                <c:pt idx="48">
                  <c:v>6.33</c:v>
                </c:pt>
                <c:pt idx="49">
                  <c:v>7.2</c:v>
                </c:pt>
                <c:pt idx="50">
                  <c:v>7.58</c:v>
                </c:pt>
                <c:pt idx="54">
                  <c:v>7.3</c:v>
                </c:pt>
                <c:pt idx="55">
                  <c:v>7.55</c:v>
                </c:pt>
                <c:pt idx="56">
                  <c:v>7.66</c:v>
                </c:pt>
                <c:pt idx="60">
                  <c:v>7.68</c:v>
                </c:pt>
                <c:pt idx="61">
                  <c:v>7.65</c:v>
                </c:pt>
                <c:pt idx="62">
                  <c:v>7.49</c:v>
                </c:pt>
                <c:pt idx="63">
                  <c:v>7.74</c:v>
                </c:pt>
                <c:pt idx="67">
                  <c:v>7.4</c:v>
                </c:pt>
                <c:pt idx="68">
                  <c:v>7.55</c:v>
                </c:pt>
                <c:pt idx="69">
                  <c:v>7.52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C-4244-A938-FFA376DB2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35696"/>
        <c:axId val="375143184"/>
      </c:scatterChart>
      <c:valAx>
        <c:axId val="43620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10576"/>
        <c:crosses val="autoZero"/>
        <c:crossBetween val="midCat"/>
      </c:valAx>
      <c:valAx>
        <c:axId val="43621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5168"/>
        <c:crosses val="autoZero"/>
        <c:crossBetween val="midCat"/>
      </c:valAx>
      <c:valAx>
        <c:axId val="37514318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35696"/>
        <c:crosses val="max"/>
        <c:crossBetween val="midCat"/>
      </c:valAx>
      <c:valAx>
        <c:axId val="375135696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4318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All!$FW$6:$FW$79</c:f>
              <c:numCache>
                <c:formatCode>General</c:formatCode>
                <c:ptCount val="74"/>
                <c:pt idx="0">
                  <c:v>16383.5</c:v>
                </c:pt>
                <c:pt idx="4">
                  <c:v>3178</c:v>
                </c:pt>
                <c:pt idx="5">
                  <c:v>3156.5</c:v>
                </c:pt>
                <c:pt idx="6">
                  <c:v>3207.5</c:v>
                </c:pt>
                <c:pt idx="10">
                  <c:v>3148</c:v>
                </c:pt>
                <c:pt idx="11">
                  <c:v>3156</c:v>
                </c:pt>
                <c:pt idx="12">
                  <c:v>3309.5</c:v>
                </c:pt>
                <c:pt idx="16">
                  <c:v>3149.5</c:v>
                </c:pt>
                <c:pt idx="20">
                  <c:v>3071.5</c:v>
                </c:pt>
                <c:pt idx="21">
                  <c:v>3015</c:v>
                </c:pt>
                <c:pt idx="23">
                  <c:v>3071.5</c:v>
                </c:pt>
                <c:pt idx="24">
                  <c:v>3015</c:v>
                </c:pt>
                <c:pt idx="25">
                  <c:v>3090</c:v>
                </c:pt>
                <c:pt idx="29">
                  <c:v>3042</c:v>
                </c:pt>
                <c:pt idx="33">
                  <c:v>16383.5</c:v>
                </c:pt>
                <c:pt idx="34">
                  <c:v>3082.5</c:v>
                </c:pt>
                <c:pt idx="35">
                  <c:v>3075</c:v>
                </c:pt>
                <c:pt idx="39">
                  <c:v>3117</c:v>
                </c:pt>
                <c:pt idx="40">
                  <c:v>3140.5</c:v>
                </c:pt>
                <c:pt idx="41">
                  <c:v>3038.5</c:v>
                </c:pt>
                <c:pt idx="42">
                  <c:v>3095.5</c:v>
                </c:pt>
                <c:pt idx="43">
                  <c:v>3349.5</c:v>
                </c:pt>
                <c:pt idx="44">
                  <c:v>2987</c:v>
                </c:pt>
                <c:pt idx="48">
                  <c:v>16383.5</c:v>
                </c:pt>
                <c:pt idx="49">
                  <c:v>3036</c:v>
                </c:pt>
                <c:pt idx="50">
                  <c:v>3056</c:v>
                </c:pt>
                <c:pt idx="54">
                  <c:v>3153</c:v>
                </c:pt>
                <c:pt idx="55">
                  <c:v>3201.5</c:v>
                </c:pt>
                <c:pt idx="56">
                  <c:v>3152</c:v>
                </c:pt>
                <c:pt idx="60">
                  <c:v>3196</c:v>
                </c:pt>
                <c:pt idx="61">
                  <c:v>3068</c:v>
                </c:pt>
                <c:pt idx="62">
                  <c:v>3121</c:v>
                </c:pt>
                <c:pt idx="63">
                  <c:v>3094</c:v>
                </c:pt>
                <c:pt idx="67">
                  <c:v>3257</c:v>
                </c:pt>
                <c:pt idx="68">
                  <c:v>3059.5</c:v>
                </c:pt>
                <c:pt idx="69">
                  <c:v>3017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2B-4237-9880-269858D2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5184"/>
        <c:axId val="436206000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All!$FV$6:$FV$79</c:f>
              <c:numCache>
                <c:formatCode>General</c:formatCode>
                <c:ptCount val="74"/>
                <c:pt idx="0">
                  <c:v>3.16</c:v>
                </c:pt>
                <c:pt idx="4">
                  <c:v>8.57</c:v>
                </c:pt>
                <c:pt idx="5">
                  <c:v>14.24</c:v>
                </c:pt>
                <c:pt idx="6">
                  <c:v>19.89</c:v>
                </c:pt>
                <c:pt idx="10">
                  <c:v>25.6</c:v>
                </c:pt>
                <c:pt idx="11">
                  <c:v>31.44</c:v>
                </c:pt>
                <c:pt idx="12">
                  <c:v>37.36</c:v>
                </c:pt>
                <c:pt idx="16">
                  <c:v>42.95</c:v>
                </c:pt>
                <c:pt idx="20">
                  <c:v>48.77</c:v>
                </c:pt>
                <c:pt idx="21">
                  <c:v>54.57</c:v>
                </c:pt>
                <c:pt idx="23">
                  <c:v>48.77</c:v>
                </c:pt>
                <c:pt idx="24">
                  <c:v>54.57</c:v>
                </c:pt>
                <c:pt idx="25">
                  <c:v>60.25</c:v>
                </c:pt>
                <c:pt idx="29">
                  <c:v>66.150000000000006</c:v>
                </c:pt>
                <c:pt idx="33">
                  <c:v>5.86</c:v>
                </c:pt>
                <c:pt idx="34">
                  <c:v>11.9</c:v>
                </c:pt>
                <c:pt idx="35">
                  <c:v>14.73</c:v>
                </c:pt>
                <c:pt idx="39">
                  <c:v>5.79</c:v>
                </c:pt>
                <c:pt idx="40">
                  <c:v>11.89</c:v>
                </c:pt>
                <c:pt idx="41">
                  <c:v>17.98</c:v>
                </c:pt>
                <c:pt idx="42">
                  <c:v>23.86</c:v>
                </c:pt>
                <c:pt idx="43">
                  <c:v>29.98</c:v>
                </c:pt>
                <c:pt idx="44">
                  <c:v>33.64</c:v>
                </c:pt>
                <c:pt idx="48">
                  <c:v>5.61</c:v>
                </c:pt>
                <c:pt idx="49">
                  <c:v>11.55</c:v>
                </c:pt>
                <c:pt idx="50">
                  <c:v>17.38</c:v>
                </c:pt>
                <c:pt idx="54">
                  <c:v>5.59</c:v>
                </c:pt>
                <c:pt idx="55">
                  <c:v>11.53</c:v>
                </c:pt>
                <c:pt idx="56">
                  <c:v>17.27</c:v>
                </c:pt>
                <c:pt idx="60">
                  <c:v>5.75</c:v>
                </c:pt>
                <c:pt idx="61">
                  <c:v>11.68</c:v>
                </c:pt>
                <c:pt idx="62">
                  <c:v>17.7</c:v>
                </c:pt>
                <c:pt idx="63">
                  <c:v>23.59</c:v>
                </c:pt>
                <c:pt idx="67">
                  <c:v>5.9</c:v>
                </c:pt>
                <c:pt idx="68">
                  <c:v>11.89</c:v>
                </c:pt>
                <c:pt idx="69">
                  <c:v>17.850000000000001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2B-4237-9880-269858D2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37776"/>
        <c:axId val="375153584"/>
      </c:scatterChart>
      <c:valAx>
        <c:axId val="43619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6000"/>
        <c:crosses val="autoZero"/>
        <c:crossBetween val="midCat"/>
      </c:valAx>
      <c:valAx>
        <c:axId val="43620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5184"/>
        <c:crosses val="autoZero"/>
        <c:crossBetween val="midCat"/>
      </c:valAx>
      <c:valAx>
        <c:axId val="375153584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37776"/>
        <c:crosses val="max"/>
        <c:crossBetween val="midCat"/>
      </c:valAx>
      <c:valAx>
        <c:axId val="375137776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358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All!$FX$6:$FX$79</c:f>
              <c:numCache>
                <c:formatCode>General</c:formatCode>
                <c:ptCount val="74"/>
                <c:pt idx="0">
                  <c:v>160300</c:v>
                </c:pt>
                <c:pt idx="4">
                  <c:v>163600</c:v>
                </c:pt>
                <c:pt idx="5">
                  <c:v>172700</c:v>
                </c:pt>
                <c:pt idx="6">
                  <c:v>162900</c:v>
                </c:pt>
                <c:pt idx="10">
                  <c:v>161800</c:v>
                </c:pt>
                <c:pt idx="11">
                  <c:v>162800</c:v>
                </c:pt>
                <c:pt idx="12">
                  <c:v>163100</c:v>
                </c:pt>
                <c:pt idx="16">
                  <c:v>163400</c:v>
                </c:pt>
                <c:pt idx="20">
                  <c:v>169100</c:v>
                </c:pt>
                <c:pt idx="21">
                  <c:v>155400</c:v>
                </c:pt>
                <c:pt idx="23">
                  <c:v>169100</c:v>
                </c:pt>
                <c:pt idx="24">
                  <c:v>155400</c:v>
                </c:pt>
                <c:pt idx="25">
                  <c:v>154700</c:v>
                </c:pt>
                <c:pt idx="29">
                  <c:v>155300</c:v>
                </c:pt>
                <c:pt idx="33">
                  <c:v>161300</c:v>
                </c:pt>
                <c:pt idx="34">
                  <c:v>166300</c:v>
                </c:pt>
                <c:pt idx="35">
                  <c:v>161200</c:v>
                </c:pt>
                <c:pt idx="39">
                  <c:v>160500</c:v>
                </c:pt>
                <c:pt idx="40">
                  <c:v>169600</c:v>
                </c:pt>
                <c:pt idx="41">
                  <c:v>173500</c:v>
                </c:pt>
                <c:pt idx="42">
                  <c:v>168700</c:v>
                </c:pt>
                <c:pt idx="43">
                  <c:v>164900</c:v>
                </c:pt>
                <c:pt idx="44">
                  <c:v>171400</c:v>
                </c:pt>
                <c:pt idx="48">
                  <c:v>166700</c:v>
                </c:pt>
                <c:pt idx="49">
                  <c:v>164900</c:v>
                </c:pt>
                <c:pt idx="50">
                  <c:v>171400</c:v>
                </c:pt>
                <c:pt idx="54">
                  <c:v>162500</c:v>
                </c:pt>
                <c:pt idx="55">
                  <c:v>163800</c:v>
                </c:pt>
                <c:pt idx="56">
                  <c:v>161500</c:v>
                </c:pt>
                <c:pt idx="60">
                  <c:v>172000</c:v>
                </c:pt>
                <c:pt idx="61">
                  <c:v>162900</c:v>
                </c:pt>
                <c:pt idx="62">
                  <c:v>162100</c:v>
                </c:pt>
                <c:pt idx="63">
                  <c:v>160000</c:v>
                </c:pt>
                <c:pt idx="67">
                  <c:v>166700</c:v>
                </c:pt>
                <c:pt idx="68">
                  <c:v>162800</c:v>
                </c:pt>
                <c:pt idx="69">
                  <c:v>163200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2-4FC7-A510-4D5FF27F1860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All!$FY$6:$FY$79</c:f>
              <c:numCache>
                <c:formatCode>General</c:formatCode>
                <c:ptCount val="74"/>
                <c:pt idx="0">
                  <c:v>168600</c:v>
                </c:pt>
                <c:pt idx="4">
                  <c:v>165500</c:v>
                </c:pt>
                <c:pt idx="5">
                  <c:v>172200</c:v>
                </c:pt>
                <c:pt idx="6">
                  <c:v>163100</c:v>
                </c:pt>
                <c:pt idx="10">
                  <c:v>164600</c:v>
                </c:pt>
                <c:pt idx="11">
                  <c:v>161000</c:v>
                </c:pt>
                <c:pt idx="12">
                  <c:v>163700</c:v>
                </c:pt>
                <c:pt idx="16">
                  <c:v>164600</c:v>
                </c:pt>
                <c:pt idx="20">
                  <c:v>167900</c:v>
                </c:pt>
                <c:pt idx="21">
                  <c:v>165500</c:v>
                </c:pt>
                <c:pt idx="23">
                  <c:v>167900</c:v>
                </c:pt>
                <c:pt idx="24">
                  <c:v>165500</c:v>
                </c:pt>
                <c:pt idx="25">
                  <c:v>168200</c:v>
                </c:pt>
                <c:pt idx="29">
                  <c:v>166900</c:v>
                </c:pt>
                <c:pt idx="33">
                  <c:v>161300</c:v>
                </c:pt>
                <c:pt idx="34">
                  <c:v>165900</c:v>
                </c:pt>
                <c:pt idx="35">
                  <c:v>162100</c:v>
                </c:pt>
                <c:pt idx="39">
                  <c:v>161200</c:v>
                </c:pt>
                <c:pt idx="40">
                  <c:v>169200</c:v>
                </c:pt>
                <c:pt idx="41">
                  <c:v>173400</c:v>
                </c:pt>
                <c:pt idx="42">
                  <c:v>166900</c:v>
                </c:pt>
                <c:pt idx="43">
                  <c:v>164600</c:v>
                </c:pt>
                <c:pt idx="44">
                  <c:v>172700</c:v>
                </c:pt>
                <c:pt idx="48">
                  <c:v>166900</c:v>
                </c:pt>
                <c:pt idx="49">
                  <c:v>163500</c:v>
                </c:pt>
                <c:pt idx="50">
                  <c:v>172300</c:v>
                </c:pt>
                <c:pt idx="54">
                  <c:v>164200</c:v>
                </c:pt>
                <c:pt idx="55">
                  <c:v>164500</c:v>
                </c:pt>
                <c:pt idx="56">
                  <c:v>161600</c:v>
                </c:pt>
                <c:pt idx="60">
                  <c:v>173500</c:v>
                </c:pt>
                <c:pt idx="61">
                  <c:v>163800</c:v>
                </c:pt>
                <c:pt idx="62">
                  <c:v>160800</c:v>
                </c:pt>
                <c:pt idx="63">
                  <c:v>163300</c:v>
                </c:pt>
                <c:pt idx="67">
                  <c:v>169400</c:v>
                </c:pt>
                <c:pt idx="68">
                  <c:v>162700</c:v>
                </c:pt>
                <c:pt idx="69">
                  <c:v>162000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B2-4FC7-A510-4D5FF27F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1424"/>
        <c:axId val="436203920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All!$FZ$6:$FZ$79</c:f>
              <c:numCache>
                <c:formatCode>General</c:formatCode>
                <c:ptCount val="74"/>
                <c:pt idx="0">
                  <c:v>53.737000000000002</c:v>
                </c:pt>
                <c:pt idx="4">
                  <c:v>48.8</c:v>
                </c:pt>
                <c:pt idx="5">
                  <c:v>47.186</c:v>
                </c:pt>
                <c:pt idx="6">
                  <c:v>47.582000000000001</c:v>
                </c:pt>
                <c:pt idx="10">
                  <c:v>47.703000000000003</c:v>
                </c:pt>
                <c:pt idx="11">
                  <c:v>47.145000000000003</c:v>
                </c:pt>
                <c:pt idx="12">
                  <c:v>47.308</c:v>
                </c:pt>
                <c:pt idx="16">
                  <c:v>48.604999999999997</c:v>
                </c:pt>
                <c:pt idx="20">
                  <c:v>48.963000000000001</c:v>
                </c:pt>
                <c:pt idx="21">
                  <c:v>69.260000000000005</c:v>
                </c:pt>
                <c:pt idx="23">
                  <c:v>48.963000000000001</c:v>
                </c:pt>
                <c:pt idx="24">
                  <c:v>69.260000000000005</c:v>
                </c:pt>
                <c:pt idx="25">
                  <c:v>71.778000000000006</c:v>
                </c:pt>
                <c:pt idx="29">
                  <c:v>70.272000000000006</c:v>
                </c:pt>
                <c:pt idx="33">
                  <c:v>45.805</c:v>
                </c:pt>
                <c:pt idx="34">
                  <c:v>44.546999999999997</c:v>
                </c:pt>
                <c:pt idx="35">
                  <c:v>49.575000000000003</c:v>
                </c:pt>
                <c:pt idx="39">
                  <c:v>45.578000000000003</c:v>
                </c:pt>
                <c:pt idx="40">
                  <c:v>44.390999999999998</c:v>
                </c:pt>
                <c:pt idx="41">
                  <c:v>44.637</c:v>
                </c:pt>
                <c:pt idx="42">
                  <c:v>44.716000000000001</c:v>
                </c:pt>
                <c:pt idx="43">
                  <c:v>44.658000000000001</c:v>
                </c:pt>
                <c:pt idx="44">
                  <c:v>52.524000000000001</c:v>
                </c:pt>
                <c:pt idx="48">
                  <c:v>45.276000000000003</c:v>
                </c:pt>
                <c:pt idx="49">
                  <c:v>44.670999999999999</c:v>
                </c:pt>
                <c:pt idx="50">
                  <c:v>44.784999999999997</c:v>
                </c:pt>
                <c:pt idx="54">
                  <c:v>44.417000000000002</c:v>
                </c:pt>
                <c:pt idx="55">
                  <c:v>44.238999999999997</c:v>
                </c:pt>
                <c:pt idx="56">
                  <c:v>43.776000000000003</c:v>
                </c:pt>
                <c:pt idx="60">
                  <c:v>44.801000000000002</c:v>
                </c:pt>
                <c:pt idx="61">
                  <c:v>43.850999999999999</c:v>
                </c:pt>
                <c:pt idx="62">
                  <c:v>43.469000000000001</c:v>
                </c:pt>
                <c:pt idx="63">
                  <c:v>43.177</c:v>
                </c:pt>
                <c:pt idx="67">
                  <c:v>44.639000000000003</c:v>
                </c:pt>
                <c:pt idx="68">
                  <c:v>43.582999999999998</c:v>
                </c:pt>
                <c:pt idx="69">
                  <c:v>43.451000000000001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B2-4FC7-A510-4D5FF27F1860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All!$GA$6:$GA$79</c:f>
              <c:numCache>
                <c:formatCode>General</c:formatCode>
                <c:ptCount val="74"/>
                <c:pt idx="0">
                  <c:v>49.744999999999997</c:v>
                </c:pt>
                <c:pt idx="4">
                  <c:v>48.055999999999997</c:v>
                </c:pt>
                <c:pt idx="5">
                  <c:v>45.820999999999998</c:v>
                </c:pt>
                <c:pt idx="6">
                  <c:v>46.113</c:v>
                </c:pt>
                <c:pt idx="10">
                  <c:v>46.156999999999996</c:v>
                </c:pt>
                <c:pt idx="11">
                  <c:v>45.405999999999999</c:v>
                </c:pt>
                <c:pt idx="12">
                  <c:v>45.496000000000002</c:v>
                </c:pt>
                <c:pt idx="16">
                  <c:v>46.073</c:v>
                </c:pt>
                <c:pt idx="20">
                  <c:v>45.48</c:v>
                </c:pt>
                <c:pt idx="21">
                  <c:v>45.83</c:v>
                </c:pt>
                <c:pt idx="23">
                  <c:v>45.48</c:v>
                </c:pt>
                <c:pt idx="24">
                  <c:v>45.83</c:v>
                </c:pt>
                <c:pt idx="25">
                  <c:v>48.106999999999999</c:v>
                </c:pt>
                <c:pt idx="29">
                  <c:v>46.469000000000001</c:v>
                </c:pt>
                <c:pt idx="33">
                  <c:v>44.658999999999999</c:v>
                </c:pt>
                <c:pt idx="34">
                  <c:v>43.082999999999998</c:v>
                </c:pt>
                <c:pt idx="35">
                  <c:v>47.993000000000002</c:v>
                </c:pt>
                <c:pt idx="39">
                  <c:v>43.91</c:v>
                </c:pt>
                <c:pt idx="40">
                  <c:v>42.945</c:v>
                </c:pt>
                <c:pt idx="41">
                  <c:v>42.862000000000002</c:v>
                </c:pt>
                <c:pt idx="42">
                  <c:v>43.066000000000003</c:v>
                </c:pt>
                <c:pt idx="43">
                  <c:v>43.110999999999997</c:v>
                </c:pt>
                <c:pt idx="44">
                  <c:v>51.033999999999999</c:v>
                </c:pt>
                <c:pt idx="48">
                  <c:v>43.548999999999999</c:v>
                </c:pt>
                <c:pt idx="49">
                  <c:v>42.817999999999998</c:v>
                </c:pt>
                <c:pt idx="50">
                  <c:v>43.021999999999998</c:v>
                </c:pt>
                <c:pt idx="54">
                  <c:v>43.564999999999998</c:v>
                </c:pt>
                <c:pt idx="55">
                  <c:v>43.156999999999996</c:v>
                </c:pt>
                <c:pt idx="56">
                  <c:v>42.927999999999997</c:v>
                </c:pt>
                <c:pt idx="60">
                  <c:v>43.79</c:v>
                </c:pt>
                <c:pt idx="61">
                  <c:v>43.070999999999998</c:v>
                </c:pt>
                <c:pt idx="62">
                  <c:v>42.598999999999997</c:v>
                </c:pt>
                <c:pt idx="63">
                  <c:v>42.551000000000002</c:v>
                </c:pt>
                <c:pt idx="67">
                  <c:v>43.573999999999998</c:v>
                </c:pt>
                <c:pt idx="68">
                  <c:v>42.911999999999999</c:v>
                </c:pt>
                <c:pt idx="69">
                  <c:v>42.728999999999999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B2-4FC7-A510-4D5FF27F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33616"/>
        <c:axId val="375158992"/>
      </c:scatterChart>
      <c:valAx>
        <c:axId val="43620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3920"/>
        <c:crosses val="autoZero"/>
        <c:crossBetween val="midCat"/>
      </c:valAx>
      <c:valAx>
        <c:axId val="43620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1424"/>
        <c:crosses val="autoZero"/>
        <c:crossBetween val="midCat"/>
      </c:valAx>
      <c:valAx>
        <c:axId val="375158992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33616"/>
        <c:crosses val="max"/>
        <c:crossBetween val="midCat"/>
      </c:valAx>
      <c:valAx>
        <c:axId val="375133616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899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All!$GB$6:$GB$79</c:f>
              <c:numCache>
                <c:formatCode>General</c:formatCode>
                <c:ptCount val="74"/>
                <c:pt idx="0">
                  <c:v>2131.1999999999998</c:v>
                </c:pt>
                <c:pt idx="4">
                  <c:v>2133.6</c:v>
                </c:pt>
                <c:pt idx="5">
                  <c:v>2167.4</c:v>
                </c:pt>
                <c:pt idx="6">
                  <c:v>2146.5</c:v>
                </c:pt>
                <c:pt idx="10">
                  <c:v>2194.1</c:v>
                </c:pt>
                <c:pt idx="11">
                  <c:v>2149.6999999999998</c:v>
                </c:pt>
                <c:pt idx="12">
                  <c:v>2207</c:v>
                </c:pt>
                <c:pt idx="16">
                  <c:v>2171.9</c:v>
                </c:pt>
                <c:pt idx="20">
                  <c:v>2308</c:v>
                </c:pt>
                <c:pt idx="21">
                  <c:v>2055.4</c:v>
                </c:pt>
                <c:pt idx="23">
                  <c:v>2308</c:v>
                </c:pt>
                <c:pt idx="24">
                  <c:v>2055.4</c:v>
                </c:pt>
                <c:pt idx="25">
                  <c:v>2072.9</c:v>
                </c:pt>
                <c:pt idx="29">
                  <c:v>2070.6</c:v>
                </c:pt>
                <c:pt idx="33">
                  <c:v>2131.5</c:v>
                </c:pt>
                <c:pt idx="34">
                  <c:v>2115.1999999999998</c:v>
                </c:pt>
                <c:pt idx="35">
                  <c:v>2076.6</c:v>
                </c:pt>
                <c:pt idx="39">
                  <c:v>2127.1</c:v>
                </c:pt>
                <c:pt idx="40">
                  <c:v>2138.1</c:v>
                </c:pt>
                <c:pt idx="41">
                  <c:v>2319.6999999999998</c:v>
                </c:pt>
                <c:pt idx="42">
                  <c:v>2217</c:v>
                </c:pt>
                <c:pt idx="43">
                  <c:v>2156.1</c:v>
                </c:pt>
                <c:pt idx="44">
                  <c:v>2097</c:v>
                </c:pt>
                <c:pt idx="48">
                  <c:v>2109.4</c:v>
                </c:pt>
                <c:pt idx="49">
                  <c:v>2305.5</c:v>
                </c:pt>
                <c:pt idx="50">
                  <c:v>2121.9</c:v>
                </c:pt>
                <c:pt idx="54">
                  <c:v>2154.6</c:v>
                </c:pt>
                <c:pt idx="55">
                  <c:v>2110.9</c:v>
                </c:pt>
                <c:pt idx="56">
                  <c:v>2127</c:v>
                </c:pt>
                <c:pt idx="60">
                  <c:v>2123.3000000000002</c:v>
                </c:pt>
                <c:pt idx="61">
                  <c:v>2132.6999999999998</c:v>
                </c:pt>
                <c:pt idx="62">
                  <c:v>2109.8000000000002</c:v>
                </c:pt>
                <c:pt idx="63">
                  <c:v>2202.9</c:v>
                </c:pt>
                <c:pt idx="67">
                  <c:v>2117.4</c:v>
                </c:pt>
                <c:pt idx="68">
                  <c:v>2162.6999999999998</c:v>
                </c:pt>
                <c:pt idx="69">
                  <c:v>2111.9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6-4297-90EC-6C30AAC296E1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All!$GC$6:$GC$79</c:f>
              <c:numCache>
                <c:formatCode>General</c:formatCode>
                <c:ptCount val="74"/>
                <c:pt idx="0">
                  <c:v>2136.6999999999998</c:v>
                </c:pt>
                <c:pt idx="4">
                  <c:v>2128</c:v>
                </c:pt>
                <c:pt idx="5">
                  <c:v>2153</c:v>
                </c:pt>
                <c:pt idx="6">
                  <c:v>2129.3000000000002</c:v>
                </c:pt>
                <c:pt idx="10">
                  <c:v>2119.4</c:v>
                </c:pt>
                <c:pt idx="11">
                  <c:v>2144.4</c:v>
                </c:pt>
                <c:pt idx="12">
                  <c:v>2156.6</c:v>
                </c:pt>
                <c:pt idx="16">
                  <c:v>2155</c:v>
                </c:pt>
                <c:pt idx="20">
                  <c:v>2184.6999999999998</c:v>
                </c:pt>
                <c:pt idx="21">
                  <c:v>2098</c:v>
                </c:pt>
                <c:pt idx="23">
                  <c:v>2184.6999999999998</c:v>
                </c:pt>
                <c:pt idx="24">
                  <c:v>2098</c:v>
                </c:pt>
                <c:pt idx="25">
                  <c:v>2091.1</c:v>
                </c:pt>
                <c:pt idx="29">
                  <c:v>2101.4</c:v>
                </c:pt>
                <c:pt idx="33">
                  <c:v>2141.3000000000002</c:v>
                </c:pt>
                <c:pt idx="34">
                  <c:v>2113.6</c:v>
                </c:pt>
                <c:pt idx="35">
                  <c:v>2071.9</c:v>
                </c:pt>
                <c:pt idx="39">
                  <c:v>2189.1</c:v>
                </c:pt>
                <c:pt idx="40">
                  <c:v>2131.1999999999998</c:v>
                </c:pt>
                <c:pt idx="41">
                  <c:v>2185.6</c:v>
                </c:pt>
                <c:pt idx="42">
                  <c:v>2103.6</c:v>
                </c:pt>
                <c:pt idx="43">
                  <c:v>2193.6</c:v>
                </c:pt>
                <c:pt idx="44">
                  <c:v>2089.3000000000002</c:v>
                </c:pt>
                <c:pt idx="48">
                  <c:v>2107.1999999999998</c:v>
                </c:pt>
                <c:pt idx="49">
                  <c:v>2102.9</c:v>
                </c:pt>
                <c:pt idx="50">
                  <c:v>2122.9</c:v>
                </c:pt>
                <c:pt idx="54">
                  <c:v>2314.4</c:v>
                </c:pt>
                <c:pt idx="55">
                  <c:v>2099.9</c:v>
                </c:pt>
                <c:pt idx="56">
                  <c:v>2098.1</c:v>
                </c:pt>
                <c:pt idx="60">
                  <c:v>2118.1999999999998</c:v>
                </c:pt>
                <c:pt idx="61">
                  <c:v>2236.1999999999998</c:v>
                </c:pt>
                <c:pt idx="62">
                  <c:v>2092.5</c:v>
                </c:pt>
                <c:pt idx="63">
                  <c:v>2106.4</c:v>
                </c:pt>
                <c:pt idx="67">
                  <c:v>2108.1999999999998</c:v>
                </c:pt>
                <c:pt idx="68">
                  <c:v>2202.1</c:v>
                </c:pt>
                <c:pt idx="69">
                  <c:v>2176.1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6-4297-90EC-6C30AAC296E1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All!$GD$6:$GD$79</c:f>
              <c:numCache>
                <c:formatCode>General</c:formatCode>
                <c:ptCount val="74"/>
                <c:pt idx="0">
                  <c:v>2168.3000000000002</c:v>
                </c:pt>
                <c:pt idx="4">
                  <c:v>2175.1</c:v>
                </c:pt>
                <c:pt idx="5">
                  <c:v>2341.4</c:v>
                </c:pt>
                <c:pt idx="6">
                  <c:v>2248.1</c:v>
                </c:pt>
                <c:pt idx="10">
                  <c:v>2194.1</c:v>
                </c:pt>
                <c:pt idx="11">
                  <c:v>2206</c:v>
                </c:pt>
                <c:pt idx="12">
                  <c:v>2207</c:v>
                </c:pt>
                <c:pt idx="16">
                  <c:v>2243.6999999999998</c:v>
                </c:pt>
                <c:pt idx="20">
                  <c:v>2363</c:v>
                </c:pt>
                <c:pt idx="21">
                  <c:v>2059.9</c:v>
                </c:pt>
                <c:pt idx="23">
                  <c:v>2363</c:v>
                </c:pt>
                <c:pt idx="24">
                  <c:v>2059.9</c:v>
                </c:pt>
                <c:pt idx="25">
                  <c:v>2095.3000000000002</c:v>
                </c:pt>
                <c:pt idx="29">
                  <c:v>2070.6</c:v>
                </c:pt>
                <c:pt idx="33">
                  <c:v>2144.6999999999998</c:v>
                </c:pt>
                <c:pt idx="34">
                  <c:v>2132.9</c:v>
                </c:pt>
                <c:pt idx="35">
                  <c:v>2122.5</c:v>
                </c:pt>
                <c:pt idx="39">
                  <c:v>2218.1999999999998</c:v>
                </c:pt>
                <c:pt idx="40">
                  <c:v>2202.8000000000002</c:v>
                </c:pt>
                <c:pt idx="41">
                  <c:v>2324.9</c:v>
                </c:pt>
                <c:pt idx="42">
                  <c:v>2237.4</c:v>
                </c:pt>
                <c:pt idx="43">
                  <c:v>2193.1</c:v>
                </c:pt>
                <c:pt idx="44">
                  <c:v>2163</c:v>
                </c:pt>
                <c:pt idx="48">
                  <c:v>2311</c:v>
                </c:pt>
                <c:pt idx="49">
                  <c:v>2305.5</c:v>
                </c:pt>
                <c:pt idx="50">
                  <c:v>2173</c:v>
                </c:pt>
                <c:pt idx="54">
                  <c:v>2154.6</c:v>
                </c:pt>
                <c:pt idx="55">
                  <c:v>2125.1999999999998</c:v>
                </c:pt>
                <c:pt idx="56">
                  <c:v>2187.1999999999998</c:v>
                </c:pt>
                <c:pt idx="60">
                  <c:v>2127.9</c:v>
                </c:pt>
                <c:pt idx="61">
                  <c:v>2143.8000000000002</c:v>
                </c:pt>
                <c:pt idx="62">
                  <c:v>2209.1999999999998</c:v>
                </c:pt>
                <c:pt idx="63">
                  <c:v>2305.5</c:v>
                </c:pt>
                <c:pt idx="67">
                  <c:v>2146.6</c:v>
                </c:pt>
                <c:pt idx="68">
                  <c:v>2162.6999999999998</c:v>
                </c:pt>
                <c:pt idx="69">
                  <c:v>2141.3000000000002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C6-4297-90EC-6C30AAC296E1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All!$GE$6:$GE$79</c:f>
              <c:numCache>
                <c:formatCode>General</c:formatCode>
                <c:ptCount val="74"/>
                <c:pt idx="0">
                  <c:v>2142</c:v>
                </c:pt>
                <c:pt idx="4">
                  <c:v>2174</c:v>
                </c:pt>
                <c:pt idx="5">
                  <c:v>2226.6</c:v>
                </c:pt>
                <c:pt idx="6">
                  <c:v>2248.8000000000002</c:v>
                </c:pt>
                <c:pt idx="10">
                  <c:v>2147.1999999999998</c:v>
                </c:pt>
                <c:pt idx="11">
                  <c:v>2240.6</c:v>
                </c:pt>
                <c:pt idx="12">
                  <c:v>2178.1</c:v>
                </c:pt>
                <c:pt idx="16">
                  <c:v>2236.5</c:v>
                </c:pt>
                <c:pt idx="20">
                  <c:v>2184.6999999999998</c:v>
                </c:pt>
                <c:pt idx="21">
                  <c:v>2123.3000000000002</c:v>
                </c:pt>
                <c:pt idx="23">
                  <c:v>2184.6999999999998</c:v>
                </c:pt>
                <c:pt idx="24">
                  <c:v>2123.3000000000002</c:v>
                </c:pt>
                <c:pt idx="25">
                  <c:v>2127.6</c:v>
                </c:pt>
                <c:pt idx="29">
                  <c:v>2191.5</c:v>
                </c:pt>
                <c:pt idx="33">
                  <c:v>2231.1</c:v>
                </c:pt>
                <c:pt idx="34">
                  <c:v>2139.6999999999998</c:v>
                </c:pt>
                <c:pt idx="35">
                  <c:v>2119.3000000000002</c:v>
                </c:pt>
                <c:pt idx="39">
                  <c:v>2189.1</c:v>
                </c:pt>
                <c:pt idx="40">
                  <c:v>2526.8000000000002</c:v>
                </c:pt>
                <c:pt idx="41">
                  <c:v>2185.6</c:v>
                </c:pt>
                <c:pt idx="42">
                  <c:v>2138.3000000000002</c:v>
                </c:pt>
                <c:pt idx="43">
                  <c:v>2247.8000000000002</c:v>
                </c:pt>
                <c:pt idx="44">
                  <c:v>2310.1999999999998</c:v>
                </c:pt>
                <c:pt idx="48">
                  <c:v>2134.5</c:v>
                </c:pt>
                <c:pt idx="49">
                  <c:v>2147.1</c:v>
                </c:pt>
                <c:pt idx="50">
                  <c:v>2139.3000000000002</c:v>
                </c:pt>
                <c:pt idx="54">
                  <c:v>2314.4</c:v>
                </c:pt>
                <c:pt idx="55">
                  <c:v>2139.6</c:v>
                </c:pt>
                <c:pt idx="56">
                  <c:v>2127</c:v>
                </c:pt>
                <c:pt idx="60">
                  <c:v>2339.9</c:v>
                </c:pt>
                <c:pt idx="61">
                  <c:v>2469.4</c:v>
                </c:pt>
                <c:pt idx="62">
                  <c:v>2121.8000000000002</c:v>
                </c:pt>
                <c:pt idx="63">
                  <c:v>2468.8000000000002</c:v>
                </c:pt>
                <c:pt idx="67">
                  <c:v>2148.1</c:v>
                </c:pt>
                <c:pt idx="68">
                  <c:v>2211.6999999999998</c:v>
                </c:pt>
                <c:pt idx="69">
                  <c:v>2176.1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C6-4297-90EC-6C30AAC29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1856"/>
        <c:axId val="436195600"/>
      </c:scatterChart>
      <c:valAx>
        <c:axId val="43619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5600"/>
        <c:crosses val="autoZero"/>
        <c:crossBetween val="midCat"/>
      </c:valAx>
      <c:valAx>
        <c:axId val="43619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1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All!$GG$6:$GG$79</c:f>
              <c:numCache>
                <c:formatCode>General</c:formatCode>
                <c:ptCount val="74"/>
                <c:pt idx="0">
                  <c:v>34</c:v>
                </c:pt>
                <c:pt idx="4">
                  <c:v>30</c:v>
                </c:pt>
                <c:pt idx="5">
                  <c:v>26</c:v>
                </c:pt>
                <c:pt idx="6">
                  <c:v>27</c:v>
                </c:pt>
                <c:pt idx="10">
                  <c:v>28</c:v>
                </c:pt>
                <c:pt idx="11">
                  <c:v>28</c:v>
                </c:pt>
                <c:pt idx="12">
                  <c:v>29</c:v>
                </c:pt>
                <c:pt idx="16">
                  <c:v>37</c:v>
                </c:pt>
                <c:pt idx="20">
                  <c:v>33</c:v>
                </c:pt>
                <c:pt idx="21">
                  <c:v>34</c:v>
                </c:pt>
                <c:pt idx="23">
                  <c:v>33</c:v>
                </c:pt>
                <c:pt idx="24">
                  <c:v>34</c:v>
                </c:pt>
                <c:pt idx="25">
                  <c:v>38</c:v>
                </c:pt>
                <c:pt idx="29">
                  <c:v>37</c:v>
                </c:pt>
                <c:pt idx="33">
                  <c:v>35</c:v>
                </c:pt>
                <c:pt idx="34">
                  <c:v>30</c:v>
                </c:pt>
                <c:pt idx="35">
                  <c:v>33</c:v>
                </c:pt>
                <c:pt idx="39">
                  <c:v>33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35</c:v>
                </c:pt>
                <c:pt idx="44">
                  <c:v>38</c:v>
                </c:pt>
                <c:pt idx="48">
                  <c:v>41</c:v>
                </c:pt>
                <c:pt idx="49">
                  <c:v>28</c:v>
                </c:pt>
                <c:pt idx="50">
                  <c:v>29</c:v>
                </c:pt>
                <c:pt idx="54">
                  <c:v>29</c:v>
                </c:pt>
                <c:pt idx="55">
                  <c:v>29</c:v>
                </c:pt>
                <c:pt idx="56">
                  <c:v>30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7">
                  <c:v>32</c:v>
                </c:pt>
                <c:pt idx="68">
                  <c:v>31</c:v>
                </c:pt>
                <c:pt idx="69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49-4713-98E0-DD71C3D454BF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All!$GH$6:$GH$79</c:f>
              <c:numCache>
                <c:formatCode>General</c:formatCode>
                <c:ptCount val="74"/>
                <c:pt idx="0">
                  <c:v>34.4</c:v>
                </c:pt>
                <c:pt idx="4">
                  <c:v>30.3</c:v>
                </c:pt>
                <c:pt idx="5">
                  <c:v>26.5</c:v>
                </c:pt>
                <c:pt idx="6">
                  <c:v>27.3</c:v>
                </c:pt>
                <c:pt idx="10">
                  <c:v>28</c:v>
                </c:pt>
                <c:pt idx="11">
                  <c:v>28.3</c:v>
                </c:pt>
                <c:pt idx="12">
                  <c:v>29.1</c:v>
                </c:pt>
                <c:pt idx="16">
                  <c:v>36.5</c:v>
                </c:pt>
                <c:pt idx="20">
                  <c:v>33.299999999999997</c:v>
                </c:pt>
                <c:pt idx="21">
                  <c:v>33.6</c:v>
                </c:pt>
                <c:pt idx="23">
                  <c:v>33.299999999999997</c:v>
                </c:pt>
                <c:pt idx="24">
                  <c:v>33.6</c:v>
                </c:pt>
                <c:pt idx="25">
                  <c:v>38</c:v>
                </c:pt>
                <c:pt idx="29">
                  <c:v>37.1</c:v>
                </c:pt>
                <c:pt idx="33">
                  <c:v>35.1</c:v>
                </c:pt>
                <c:pt idx="34">
                  <c:v>30</c:v>
                </c:pt>
                <c:pt idx="35">
                  <c:v>32.5</c:v>
                </c:pt>
                <c:pt idx="39">
                  <c:v>32.799999999999997</c:v>
                </c:pt>
                <c:pt idx="40">
                  <c:v>31.2</c:v>
                </c:pt>
                <c:pt idx="41">
                  <c:v>32.200000000000003</c:v>
                </c:pt>
                <c:pt idx="42">
                  <c:v>33.200000000000003</c:v>
                </c:pt>
                <c:pt idx="43">
                  <c:v>34.6</c:v>
                </c:pt>
                <c:pt idx="44">
                  <c:v>38.5</c:v>
                </c:pt>
                <c:pt idx="48">
                  <c:v>41.5</c:v>
                </c:pt>
                <c:pt idx="49">
                  <c:v>27.9</c:v>
                </c:pt>
                <c:pt idx="50">
                  <c:v>29.1</c:v>
                </c:pt>
                <c:pt idx="54">
                  <c:v>29.5</c:v>
                </c:pt>
                <c:pt idx="55">
                  <c:v>28.7</c:v>
                </c:pt>
                <c:pt idx="56">
                  <c:v>29.5</c:v>
                </c:pt>
                <c:pt idx="60">
                  <c:v>29.8</c:v>
                </c:pt>
                <c:pt idx="61">
                  <c:v>29</c:v>
                </c:pt>
                <c:pt idx="62">
                  <c:v>29.6</c:v>
                </c:pt>
                <c:pt idx="63">
                  <c:v>30.7</c:v>
                </c:pt>
                <c:pt idx="67">
                  <c:v>32.299999999999997</c:v>
                </c:pt>
                <c:pt idx="68">
                  <c:v>30.5</c:v>
                </c:pt>
                <c:pt idx="69">
                  <c:v>31.7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49-4713-98E0-DD71C3D454BF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All!$GI$6:$GI$79</c:f>
              <c:numCache>
                <c:formatCode>General</c:formatCode>
                <c:ptCount val="74"/>
                <c:pt idx="0">
                  <c:v>68.8</c:v>
                </c:pt>
                <c:pt idx="4">
                  <c:v>71.400000000000006</c:v>
                </c:pt>
                <c:pt idx="5">
                  <c:v>48.9</c:v>
                </c:pt>
                <c:pt idx="6">
                  <c:v>46.3</c:v>
                </c:pt>
                <c:pt idx="10">
                  <c:v>50.2</c:v>
                </c:pt>
                <c:pt idx="11">
                  <c:v>47</c:v>
                </c:pt>
                <c:pt idx="12">
                  <c:v>46.8</c:v>
                </c:pt>
                <c:pt idx="16">
                  <c:v>80.599999999999994</c:v>
                </c:pt>
                <c:pt idx="20">
                  <c:v>56.7</c:v>
                </c:pt>
                <c:pt idx="21">
                  <c:v>49.8</c:v>
                </c:pt>
                <c:pt idx="23">
                  <c:v>56.7</c:v>
                </c:pt>
                <c:pt idx="24">
                  <c:v>49.8</c:v>
                </c:pt>
                <c:pt idx="25">
                  <c:v>82</c:v>
                </c:pt>
                <c:pt idx="29">
                  <c:v>62.9</c:v>
                </c:pt>
                <c:pt idx="33">
                  <c:v>70.599999999999994</c:v>
                </c:pt>
                <c:pt idx="34">
                  <c:v>48.6</c:v>
                </c:pt>
                <c:pt idx="35">
                  <c:v>48.6</c:v>
                </c:pt>
                <c:pt idx="39">
                  <c:v>57.9</c:v>
                </c:pt>
                <c:pt idx="40">
                  <c:v>46.5</c:v>
                </c:pt>
                <c:pt idx="41">
                  <c:v>45.6</c:v>
                </c:pt>
                <c:pt idx="42">
                  <c:v>46.1</c:v>
                </c:pt>
                <c:pt idx="43">
                  <c:v>46.2</c:v>
                </c:pt>
                <c:pt idx="44">
                  <c:v>46.3</c:v>
                </c:pt>
                <c:pt idx="48">
                  <c:v>73.599999999999994</c:v>
                </c:pt>
                <c:pt idx="49">
                  <c:v>48.2</c:v>
                </c:pt>
                <c:pt idx="50">
                  <c:v>45.2</c:v>
                </c:pt>
                <c:pt idx="54">
                  <c:v>49.8</c:v>
                </c:pt>
                <c:pt idx="55">
                  <c:v>45.3</c:v>
                </c:pt>
                <c:pt idx="56">
                  <c:v>43.8</c:v>
                </c:pt>
                <c:pt idx="60">
                  <c:v>47.8</c:v>
                </c:pt>
                <c:pt idx="61">
                  <c:v>44.7</c:v>
                </c:pt>
                <c:pt idx="62">
                  <c:v>44.2</c:v>
                </c:pt>
                <c:pt idx="63">
                  <c:v>46</c:v>
                </c:pt>
                <c:pt idx="67">
                  <c:v>65.400000000000006</c:v>
                </c:pt>
                <c:pt idx="68">
                  <c:v>48.4</c:v>
                </c:pt>
                <c:pt idx="69">
                  <c:v>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49-4713-98E0-DD71C3D454BF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All!$GJ$6:$GJ$79</c:f>
              <c:numCache>
                <c:formatCode>General</c:formatCode>
                <c:ptCount val="74"/>
                <c:pt idx="0">
                  <c:v>68.900000000000006</c:v>
                </c:pt>
                <c:pt idx="4">
                  <c:v>73.8</c:v>
                </c:pt>
                <c:pt idx="5">
                  <c:v>54.2</c:v>
                </c:pt>
                <c:pt idx="6">
                  <c:v>52.2</c:v>
                </c:pt>
                <c:pt idx="10">
                  <c:v>56.5</c:v>
                </c:pt>
                <c:pt idx="11">
                  <c:v>52.8</c:v>
                </c:pt>
                <c:pt idx="12">
                  <c:v>52.6</c:v>
                </c:pt>
                <c:pt idx="16">
                  <c:v>82.2</c:v>
                </c:pt>
                <c:pt idx="20">
                  <c:v>61.5</c:v>
                </c:pt>
                <c:pt idx="21">
                  <c:v>55.7</c:v>
                </c:pt>
                <c:pt idx="23">
                  <c:v>61.5</c:v>
                </c:pt>
                <c:pt idx="24">
                  <c:v>55.7</c:v>
                </c:pt>
                <c:pt idx="25">
                  <c:v>84.3</c:v>
                </c:pt>
                <c:pt idx="29">
                  <c:v>67.400000000000006</c:v>
                </c:pt>
                <c:pt idx="33">
                  <c:v>71.8</c:v>
                </c:pt>
                <c:pt idx="34">
                  <c:v>53</c:v>
                </c:pt>
                <c:pt idx="35">
                  <c:v>56.3</c:v>
                </c:pt>
                <c:pt idx="39">
                  <c:v>63.7</c:v>
                </c:pt>
                <c:pt idx="40">
                  <c:v>52.2</c:v>
                </c:pt>
                <c:pt idx="41">
                  <c:v>50.7</c:v>
                </c:pt>
                <c:pt idx="42">
                  <c:v>51.3</c:v>
                </c:pt>
                <c:pt idx="43">
                  <c:v>51.5</c:v>
                </c:pt>
                <c:pt idx="44">
                  <c:v>52.7</c:v>
                </c:pt>
                <c:pt idx="48">
                  <c:v>74.099999999999994</c:v>
                </c:pt>
                <c:pt idx="49">
                  <c:v>52.2</c:v>
                </c:pt>
                <c:pt idx="50">
                  <c:v>51.1</c:v>
                </c:pt>
                <c:pt idx="54">
                  <c:v>56.4</c:v>
                </c:pt>
                <c:pt idx="55">
                  <c:v>51</c:v>
                </c:pt>
                <c:pt idx="56">
                  <c:v>50</c:v>
                </c:pt>
                <c:pt idx="60">
                  <c:v>54</c:v>
                </c:pt>
                <c:pt idx="61">
                  <c:v>50.5</c:v>
                </c:pt>
                <c:pt idx="62">
                  <c:v>49.9</c:v>
                </c:pt>
                <c:pt idx="63">
                  <c:v>51.7</c:v>
                </c:pt>
                <c:pt idx="67">
                  <c:v>69.8</c:v>
                </c:pt>
                <c:pt idx="68">
                  <c:v>54</c:v>
                </c:pt>
                <c:pt idx="69">
                  <c:v>50.3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49-4713-98E0-DD71C3D45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6848"/>
        <c:axId val="436200592"/>
      </c:scatterChart>
      <c:valAx>
        <c:axId val="43619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0592"/>
        <c:crosses val="autoZero"/>
        <c:crossBetween val="midCat"/>
      </c:valAx>
      <c:valAx>
        <c:axId val="436200592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All!$ID$6:$ID$79</c:f>
              <c:numCache>
                <c:formatCode>General</c:formatCode>
                <c:ptCount val="74"/>
                <c:pt idx="0">
                  <c:v>0</c:v>
                </c:pt>
                <c:pt idx="4">
                  <c:v>-6.2E-2</c:v>
                </c:pt>
                <c:pt idx="5">
                  <c:v>-9.5000000000000001E-2</c:v>
                </c:pt>
                <c:pt idx="6">
                  <c:v>-0.10299999999999999</c:v>
                </c:pt>
                <c:pt idx="10">
                  <c:v>-7.1999999999999995E-2</c:v>
                </c:pt>
                <c:pt idx="11">
                  <c:v>-0.124</c:v>
                </c:pt>
                <c:pt idx="12">
                  <c:v>-9.9000000000000005E-2</c:v>
                </c:pt>
                <c:pt idx="16">
                  <c:v>-8.0000000000000002E-3</c:v>
                </c:pt>
                <c:pt idx="20">
                  <c:v>-4.2000000000000003E-2</c:v>
                </c:pt>
                <c:pt idx="21">
                  <c:v>-0.06</c:v>
                </c:pt>
                <c:pt idx="23">
                  <c:v>-4.2000000000000003E-2</c:v>
                </c:pt>
                <c:pt idx="24">
                  <c:v>-0.06</c:v>
                </c:pt>
                <c:pt idx="25">
                  <c:v>-1.9E-2</c:v>
                </c:pt>
                <c:pt idx="29">
                  <c:v>-2.7E-2</c:v>
                </c:pt>
                <c:pt idx="33">
                  <c:v>-5.1999999999999998E-2</c:v>
                </c:pt>
                <c:pt idx="34">
                  <c:v>-0.13100000000000001</c:v>
                </c:pt>
                <c:pt idx="35">
                  <c:v>-6.0000000000000001E-3</c:v>
                </c:pt>
                <c:pt idx="39">
                  <c:v>-5.1999999999999998E-2</c:v>
                </c:pt>
                <c:pt idx="40">
                  <c:v>-9.1999999999999998E-2</c:v>
                </c:pt>
                <c:pt idx="41">
                  <c:v>-0.13300000000000001</c:v>
                </c:pt>
                <c:pt idx="42">
                  <c:v>-0.151</c:v>
                </c:pt>
                <c:pt idx="43">
                  <c:v>-0.13300000000000001</c:v>
                </c:pt>
                <c:pt idx="44">
                  <c:v>-1.4999999999999999E-2</c:v>
                </c:pt>
                <c:pt idx="48">
                  <c:v>-8.8999999999999996E-2</c:v>
                </c:pt>
                <c:pt idx="49">
                  <c:v>-0.29799999999999999</c:v>
                </c:pt>
                <c:pt idx="50">
                  <c:v>-0.191</c:v>
                </c:pt>
                <c:pt idx="54">
                  <c:v>-0.13600000000000001</c:v>
                </c:pt>
                <c:pt idx="55">
                  <c:v>-0.192</c:v>
                </c:pt>
                <c:pt idx="56">
                  <c:v>-0.14199999999999999</c:v>
                </c:pt>
                <c:pt idx="60">
                  <c:v>-0.13900000000000001</c:v>
                </c:pt>
                <c:pt idx="61">
                  <c:v>-0.19400000000000001</c:v>
                </c:pt>
                <c:pt idx="62">
                  <c:v>-0.223</c:v>
                </c:pt>
                <c:pt idx="63">
                  <c:v>-0.113</c:v>
                </c:pt>
                <c:pt idx="67">
                  <c:v>-0.16600000000000001</c:v>
                </c:pt>
                <c:pt idx="68">
                  <c:v>-0.23799999999999999</c:v>
                </c:pt>
                <c:pt idx="69">
                  <c:v>-0.22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9-4A57-A668-D122457630F1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All!$IE$6:$IE$79</c:f>
              <c:numCache>
                <c:formatCode>General</c:formatCode>
                <c:ptCount val="74"/>
                <c:pt idx="0">
                  <c:v>0</c:v>
                </c:pt>
                <c:pt idx="4">
                  <c:v>-8.0000000000000002E-3</c:v>
                </c:pt>
                <c:pt idx="5">
                  <c:v>3.5999999999999997E-2</c:v>
                </c:pt>
                <c:pt idx="6">
                  <c:v>3.5000000000000003E-2</c:v>
                </c:pt>
                <c:pt idx="10">
                  <c:v>3.6999999999999998E-2</c:v>
                </c:pt>
                <c:pt idx="11">
                  <c:v>3.7999999999999999E-2</c:v>
                </c:pt>
                <c:pt idx="12">
                  <c:v>5.1999999999999998E-2</c:v>
                </c:pt>
                <c:pt idx="16">
                  <c:v>1.2999999999999999E-2</c:v>
                </c:pt>
                <c:pt idx="20">
                  <c:v>0.03</c:v>
                </c:pt>
                <c:pt idx="21">
                  <c:v>4.8000000000000001E-2</c:v>
                </c:pt>
                <c:pt idx="23">
                  <c:v>0.03</c:v>
                </c:pt>
                <c:pt idx="24">
                  <c:v>4.8000000000000001E-2</c:v>
                </c:pt>
                <c:pt idx="25">
                  <c:v>2.3E-2</c:v>
                </c:pt>
                <c:pt idx="29">
                  <c:v>2.3E-2</c:v>
                </c:pt>
                <c:pt idx="33">
                  <c:v>-3.6999999999999998E-2</c:v>
                </c:pt>
                <c:pt idx="34">
                  <c:v>-5.5E-2</c:v>
                </c:pt>
                <c:pt idx="35">
                  <c:v>-3.0000000000000001E-3</c:v>
                </c:pt>
                <c:pt idx="39">
                  <c:v>-3.4000000000000002E-2</c:v>
                </c:pt>
                <c:pt idx="40">
                  <c:v>-1.7999999999999999E-2</c:v>
                </c:pt>
                <c:pt idx="41">
                  <c:v>-0.03</c:v>
                </c:pt>
                <c:pt idx="42">
                  <c:v>-3.9E-2</c:v>
                </c:pt>
                <c:pt idx="43">
                  <c:v>-4.3999999999999997E-2</c:v>
                </c:pt>
                <c:pt idx="44">
                  <c:v>-7.0000000000000001E-3</c:v>
                </c:pt>
                <c:pt idx="48">
                  <c:v>-0.05</c:v>
                </c:pt>
                <c:pt idx="49">
                  <c:v>-0.13500000000000001</c:v>
                </c:pt>
                <c:pt idx="50">
                  <c:v>-7.9000000000000001E-2</c:v>
                </c:pt>
                <c:pt idx="54">
                  <c:v>-3.3000000000000002E-2</c:v>
                </c:pt>
                <c:pt idx="55">
                  <c:v>-2.5000000000000001E-2</c:v>
                </c:pt>
                <c:pt idx="56">
                  <c:v>-2.5000000000000001E-2</c:v>
                </c:pt>
                <c:pt idx="60">
                  <c:v>-1.7999999999999999E-2</c:v>
                </c:pt>
                <c:pt idx="61">
                  <c:v>-3.3000000000000002E-2</c:v>
                </c:pt>
                <c:pt idx="62">
                  <c:v>-4.1000000000000002E-2</c:v>
                </c:pt>
                <c:pt idx="63">
                  <c:v>-2.7E-2</c:v>
                </c:pt>
                <c:pt idx="67">
                  <c:v>-3.5000000000000003E-2</c:v>
                </c:pt>
                <c:pt idx="68">
                  <c:v>-5.5E-2</c:v>
                </c:pt>
                <c:pt idx="69">
                  <c:v>-3.2000000000000001E-2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9-4A57-A668-D122457630F1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All!$IJ$6:$IJ$79</c:f>
              <c:numCache>
                <c:formatCode>General</c:formatCode>
                <c:ptCount val="74"/>
                <c:pt idx="0">
                  <c:v>0</c:v>
                </c:pt>
                <c:pt idx="4">
                  <c:v>-3.5999999999999997E-2</c:v>
                </c:pt>
                <c:pt idx="5">
                  <c:v>-7.3999999999999996E-2</c:v>
                </c:pt>
                <c:pt idx="6">
                  <c:v>-7.0999999999999994E-2</c:v>
                </c:pt>
                <c:pt idx="10">
                  <c:v>-5.8999999999999997E-2</c:v>
                </c:pt>
                <c:pt idx="11">
                  <c:v>-0.11600000000000001</c:v>
                </c:pt>
                <c:pt idx="12">
                  <c:v>-8.1000000000000003E-2</c:v>
                </c:pt>
                <c:pt idx="16">
                  <c:v>2.3E-2</c:v>
                </c:pt>
                <c:pt idx="20">
                  <c:v>3.4000000000000002E-2</c:v>
                </c:pt>
                <c:pt idx="21">
                  <c:v>0.58099999999999996</c:v>
                </c:pt>
                <c:pt idx="23">
                  <c:v>3.4000000000000002E-2</c:v>
                </c:pt>
                <c:pt idx="24">
                  <c:v>0.58099999999999996</c:v>
                </c:pt>
                <c:pt idx="25">
                  <c:v>0</c:v>
                </c:pt>
                <c:pt idx="29">
                  <c:v>1.2E-2</c:v>
                </c:pt>
                <c:pt idx="33">
                  <c:v>-3.5000000000000003E-2</c:v>
                </c:pt>
                <c:pt idx="34">
                  <c:v>-0.215</c:v>
                </c:pt>
                <c:pt idx="35">
                  <c:v>-8.9999999999999993E-3</c:v>
                </c:pt>
                <c:pt idx="39">
                  <c:v>-4.5999999999999999E-2</c:v>
                </c:pt>
                <c:pt idx="40">
                  <c:v>-0.187</c:v>
                </c:pt>
                <c:pt idx="41">
                  <c:v>-0.23699999999999999</c:v>
                </c:pt>
                <c:pt idx="42">
                  <c:v>-0.28999999999999998</c:v>
                </c:pt>
                <c:pt idx="43">
                  <c:v>-0.21099999999999999</c:v>
                </c:pt>
                <c:pt idx="44">
                  <c:v>-1.7999999999999999E-2</c:v>
                </c:pt>
                <c:pt idx="48">
                  <c:v>-7.0000000000000007E-2</c:v>
                </c:pt>
                <c:pt idx="49">
                  <c:v>-0.26900000000000002</c:v>
                </c:pt>
                <c:pt idx="50">
                  <c:v>-0.22900000000000001</c:v>
                </c:pt>
                <c:pt idx="54">
                  <c:v>8.5999999999999993E-2</c:v>
                </c:pt>
                <c:pt idx="55">
                  <c:v>8.7999999999999995E-2</c:v>
                </c:pt>
                <c:pt idx="56">
                  <c:v>6.7000000000000004E-2</c:v>
                </c:pt>
                <c:pt idx="60">
                  <c:v>0.11799999999999999</c:v>
                </c:pt>
                <c:pt idx="61">
                  <c:v>5.3999999999999999E-2</c:v>
                </c:pt>
                <c:pt idx="62">
                  <c:v>4.7E-2</c:v>
                </c:pt>
                <c:pt idx="63">
                  <c:v>0.02</c:v>
                </c:pt>
                <c:pt idx="67">
                  <c:v>6.6000000000000003E-2</c:v>
                </c:pt>
                <c:pt idx="68">
                  <c:v>3.2000000000000001E-2</c:v>
                </c:pt>
                <c:pt idx="69">
                  <c:v>7.1999999999999995E-2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39-4A57-A668-D122457630F1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All!$IK$6:$IK$79</c:f>
              <c:numCache>
                <c:formatCode>General</c:formatCode>
                <c:ptCount val="74"/>
                <c:pt idx="0">
                  <c:v>0</c:v>
                </c:pt>
                <c:pt idx="4">
                  <c:v>-9.8000000000000004E-2</c:v>
                </c:pt>
                <c:pt idx="5">
                  <c:v>-0.23300000000000001</c:v>
                </c:pt>
                <c:pt idx="6">
                  <c:v>-0.25900000000000001</c:v>
                </c:pt>
                <c:pt idx="10">
                  <c:v>-0.22600000000000001</c:v>
                </c:pt>
                <c:pt idx="11">
                  <c:v>-0.376</c:v>
                </c:pt>
                <c:pt idx="12">
                  <c:v>-0.30399999999999999</c:v>
                </c:pt>
                <c:pt idx="16">
                  <c:v>-3.0000000000000001E-3</c:v>
                </c:pt>
                <c:pt idx="20">
                  <c:v>-8.9999999999999993E-3</c:v>
                </c:pt>
                <c:pt idx="21">
                  <c:v>-3.3000000000000002E-2</c:v>
                </c:pt>
                <c:pt idx="23">
                  <c:v>-8.9999999999999993E-3</c:v>
                </c:pt>
                <c:pt idx="24">
                  <c:v>-3.3000000000000002E-2</c:v>
                </c:pt>
                <c:pt idx="25">
                  <c:v>4.0000000000000001E-3</c:v>
                </c:pt>
                <c:pt idx="29">
                  <c:v>2.1999999999999999E-2</c:v>
                </c:pt>
                <c:pt idx="33">
                  <c:v>-0.02</c:v>
                </c:pt>
                <c:pt idx="34">
                  <c:v>-0.13600000000000001</c:v>
                </c:pt>
                <c:pt idx="35">
                  <c:v>-6.0000000000000001E-3</c:v>
                </c:pt>
                <c:pt idx="39">
                  <c:v>-3.5999999999999997E-2</c:v>
                </c:pt>
                <c:pt idx="40">
                  <c:v>-0.14499999999999999</c:v>
                </c:pt>
                <c:pt idx="41">
                  <c:v>-0.20499999999999999</c:v>
                </c:pt>
                <c:pt idx="42">
                  <c:v>-0.24299999999999999</c:v>
                </c:pt>
                <c:pt idx="43">
                  <c:v>-0.16</c:v>
                </c:pt>
                <c:pt idx="44">
                  <c:v>-1.2999999999999999E-2</c:v>
                </c:pt>
                <c:pt idx="48">
                  <c:v>-6.3E-2</c:v>
                </c:pt>
                <c:pt idx="49">
                  <c:v>-0.27300000000000002</c:v>
                </c:pt>
                <c:pt idx="50">
                  <c:v>-0.19600000000000001</c:v>
                </c:pt>
                <c:pt idx="54">
                  <c:v>-0.13</c:v>
                </c:pt>
                <c:pt idx="55">
                  <c:v>-0.29099999999999998</c:v>
                </c:pt>
                <c:pt idx="56">
                  <c:v>-0.18</c:v>
                </c:pt>
                <c:pt idx="60">
                  <c:v>-0.14799999999999999</c:v>
                </c:pt>
                <c:pt idx="61">
                  <c:v>-0.25700000000000001</c:v>
                </c:pt>
                <c:pt idx="62">
                  <c:v>-0.34899999999999998</c:v>
                </c:pt>
                <c:pt idx="63">
                  <c:v>-0.20200000000000001</c:v>
                </c:pt>
                <c:pt idx="67">
                  <c:v>-0.221</c:v>
                </c:pt>
                <c:pt idx="68">
                  <c:v>-0.36499999999999999</c:v>
                </c:pt>
                <c:pt idx="69">
                  <c:v>-0.316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39-4A57-A668-D122457630F1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All!$IO$6:$IO$79</c:f>
              <c:numCache>
                <c:formatCode>General</c:formatCode>
                <c:ptCount val="74"/>
                <c:pt idx="0">
                  <c:v>1.7999999999999999E-2</c:v>
                </c:pt>
                <c:pt idx="4">
                  <c:v>0.308</c:v>
                </c:pt>
                <c:pt idx="5">
                  <c:v>0.63300000000000001</c:v>
                </c:pt>
                <c:pt idx="6">
                  <c:v>0.56599999999999995</c:v>
                </c:pt>
                <c:pt idx="10">
                  <c:v>0.61899999999999999</c:v>
                </c:pt>
                <c:pt idx="11">
                  <c:v>0.86199999999999999</c:v>
                </c:pt>
                <c:pt idx="12">
                  <c:v>0.78400000000000003</c:v>
                </c:pt>
                <c:pt idx="16">
                  <c:v>0.24299999999999999</c:v>
                </c:pt>
                <c:pt idx="20">
                  <c:v>0.29799999999999999</c:v>
                </c:pt>
                <c:pt idx="21">
                  <c:v>2.923</c:v>
                </c:pt>
                <c:pt idx="23">
                  <c:v>0.29799999999999999</c:v>
                </c:pt>
                <c:pt idx="24">
                  <c:v>2.923</c:v>
                </c:pt>
                <c:pt idx="25">
                  <c:v>2.8380000000000001</c:v>
                </c:pt>
                <c:pt idx="29">
                  <c:v>3.1739999999999999</c:v>
                </c:pt>
                <c:pt idx="33">
                  <c:v>0.25600000000000001</c:v>
                </c:pt>
                <c:pt idx="34">
                  <c:v>0.42499999999999999</c:v>
                </c:pt>
                <c:pt idx="35">
                  <c:v>2.3E-2</c:v>
                </c:pt>
                <c:pt idx="39">
                  <c:v>0.14799999999999999</c:v>
                </c:pt>
                <c:pt idx="40">
                  <c:v>0.49099999999999999</c:v>
                </c:pt>
                <c:pt idx="41">
                  <c:v>0.41</c:v>
                </c:pt>
                <c:pt idx="42">
                  <c:v>0.39300000000000002</c:v>
                </c:pt>
                <c:pt idx="43">
                  <c:v>0.45200000000000001</c:v>
                </c:pt>
                <c:pt idx="44">
                  <c:v>7.6999999999999999E-2</c:v>
                </c:pt>
                <c:pt idx="48">
                  <c:v>0.126</c:v>
                </c:pt>
                <c:pt idx="49">
                  <c:v>0.44900000000000001</c:v>
                </c:pt>
                <c:pt idx="50">
                  <c:v>0.26900000000000002</c:v>
                </c:pt>
                <c:pt idx="54">
                  <c:v>0.99399999999999999</c:v>
                </c:pt>
                <c:pt idx="55">
                  <c:v>1.53</c:v>
                </c:pt>
                <c:pt idx="56">
                  <c:v>1.139</c:v>
                </c:pt>
                <c:pt idx="60">
                  <c:v>1.107</c:v>
                </c:pt>
                <c:pt idx="61">
                  <c:v>1.385</c:v>
                </c:pt>
                <c:pt idx="62">
                  <c:v>1.504</c:v>
                </c:pt>
                <c:pt idx="63">
                  <c:v>0.996</c:v>
                </c:pt>
                <c:pt idx="67">
                  <c:v>1.244</c:v>
                </c:pt>
                <c:pt idx="68">
                  <c:v>1.3320000000000001</c:v>
                </c:pt>
                <c:pt idx="69">
                  <c:v>1.262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39-4A57-A668-D1224576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3088"/>
        <c:axId val="436185616"/>
      </c:scatterChart>
      <c:valAx>
        <c:axId val="43620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5616"/>
        <c:crosses val="autoZero"/>
        <c:crossBetween val="midCat"/>
      </c:valAx>
      <c:valAx>
        <c:axId val="43618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All!$IF$6:$IF$79</c:f>
              <c:numCache>
                <c:formatCode>General</c:formatCode>
                <c:ptCount val="74"/>
                <c:pt idx="0">
                  <c:v>854</c:v>
                </c:pt>
                <c:pt idx="4">
                  <c:v>921.2</c:v>
                </c:pt>
                <c:pt idx="5">
                  <c:v>921.8</c:v>
                </c:pt>
                <c:pt idx="6">
                  <c:v>914.1</c:v>
                </c:pt>
                <c:pt idx="10">
                  <c:v>900.8</c:v>
                </c:pt>
                <c:pt idx="11">
                  <c:v>893.6</c:v>
                </c:pt>
                <c:pt idx="12">
                  <c:v>927.6</c:v>
                </c:pt>
                <c:pt idx="16">
                  <c:v>911.7</c:v>
                </c:pt>
                <c:pt idx="20">
                  <c:v>900.5</c:v>
                </c:pt>
                <c:pt idx="21">
                  <c:v>913.4</c:v>
                </c:pt>
                <c:pt idx="23">
                  <c:v>900.5</c:v>
                </c:pt>
                <c:pt idx="24">
                  <c:v>913.4</c:v>
                </c:pt>
                <c:pt idx="25">
                  <c:v>906</c:v>
                </c:pt>
                <c:pt idx="29">
                  <c:v>876</c:v>
                </c:pt>
                <c:pt idx="33">
                  <c:v>783.6</c:v>
                </c:pt>
                <c:pt idx="34">
                  <c:v>787.3</c:v>
                </c:pt>
                <c:pt idx="35">
                  <c:v>827.4</c:v>
                </c:pt>
                <c:pt idx="39">
                  <c:v>784.5</c:v>
                </c:pt>
                <c:pt idx="40">
                  <c:v>778.8</c:v>
                </c:pt>
                <c:pt idx="41">
                  <c:v>789</c:v>
                </c:pt>
                <c:pt idx="42">
                  <c:v>827.7</c:v>
                </c:pt>
                <c:pt idx="43">
                  <c:v>788.9</c:v>
                </c:pt>
                <c:pt idx="44">
                  <c:v>857.7</c:v>
                </c:pt>
                <c:pt idx="48">
                  <c:v>806.5</c:v>
                </c:pt>
                <c:pt idx="49">
                  <c:v>788</c:v>
                </c:pt>
                <c:pt idx="50">
                  <c:v>786.6</c:v>
                </c:pt>
                <c:pt idx="54">
                  <c:v>786.3</c:v>
                </c:pt>
                <c:pt idx="55">
                  <c:v>789.9</c:v>
                </c:pt>
                <c:pt idx="56">
                  <c:v>791</c:v>
                </c:pt>
                <c:pt idx="60">
                  <c:v>812</c:v>
                </c:pt>
                <c:pt idx="61">
                  <c:v>806</c:v>
                </c:pt>
                <c:pt idx="62">
                  <c:v>796.2</c:v>
                </c:pt>
                <c:pt idx="63">
                  <c:v>814.7</c:v>
                </c:pt>
                <c:pt idx="67">
                  <c:v>792</c:v>
                </c:pt>
                <c:pt idx="68">
                  <c:v>801.9</c:v>
                </c:pt>
                <c:pt idx="69">
                  <c:v>791.9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3A1-BD17-C6E5D1B8862F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All!$IG$6:$IG$79</c:f>
              <c:numCache>
                <c:formatCode>General</c:formatCode>
                <c:ptCount val="74"/>
                <c:pt idx="0">
                  <c:v>237.3</c:v>
                </c:pt>
                <c:pt idx="4">
                  <c:v>671.6</c:v>
                </c:pt>
                <c:pt idx="5">
                  <c:v>800.9</c:v>
                </c:pt>
                <c:pt idx="6">
                  <c:v>787.9</c:v>
                </c:pt>
                <c:pt idx="10">
                  <c:v>746.9</c:v>
                </c:pt>
                <c:pt idx="11">
                  <c:v>797.2</c:v>
                </c:pt>
                <c:pt idx="12">
                  <c:v>784.5</c:v>
                </c:pt>
                <c:pt idx="16">
                  <c:v>666.7</c:v>
                </c:pt>
                <c:pt idx="20">
                  <c:v>734.3</c:v>
                </c:pt>
                <c:pt idx="21">
                  <c:v>798</c:v>
                </c:pt>
                <c:pt idx="23">
                  <c:v>734.3</c:v>
                </c:pt>
                <c:pt idx="24">
                  <c:v>798</c:v>
                </c:pt>
                <c:pt idx="25">
                  <c:v>683.3</c:v>
                </c:pt>
                <c:pt idx="29">
                  <c:v>724.9</c:v>
                </c:pt>
                <c:pt idx="33">
                  <c:v>443.9</c:v>
                </c:pt>
                <c:pt idx="34">
                  <c:v>744.3</c:v>
                </c:pt>
                <c:pt idx="35">
                  <c:v>589.5</c:v>
                </c:pt>
                <c:pt idx="39">
                  <c:v>550.4</c:v>
                </c:pt>
                <c:pt idx="40">
                  <c:v>748.1</c:v>
                </c:pt>
                <c:pt idx="41">
                  <c:v>747.9</c:v>
                </c:pt>
                <c:pt idx="42">
                  <c:v>752.8</c:v>
                </c:pt>
                <c:pt idx="43">
                  <c:v>748.8</c:v>
                </c:pt>
                <c:pt idx="44">
                  <c:v>735.6</c:v>
                </c:pt>
                <c:pt idx="48">
                  <c:v>357.1</c:v>
                </c:pt>
                <c:pt idx="49">
                  <c:v>744.5</c:v>
                </c:pt>
                <c:pt idx="50">
                  <c:v>698.9</c:v>
                </c:pt>
                <c:pt idx="54">
                  <c:v>687.9</c:v>
                </c:pt>
                <c:pt idx="55">
                  <c:v>747.1</c:v>
                </c:pt>
                <c:pt idx="56">
                  <c:v>726.8</c:v>
                </c:pt>
                <c:pt idx="60">
                  <c:v>703.5</c:v>
                </c:pt>
                <c:pt idx="61">
                  <c:v>751.2</c:v>
                </c:pt>
                <c:pt idx="62">
                  <c:v>755.9</c:v>
                </c:pt>
                <c:pt idx="63">
                  <c:v>703.8</c:v>
                </c:pt>
                <c:pt idx="67">
                  <c:v>671.4</c:v>
                </c:pt>
                <c:pt idx="68">
                  <c:v>747.1</c:v>
                </c:pt>
                <c:pt idx="69">
                  <c:v>740.9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E-43A1-BD17-C6E5D1B8862F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All!$IH$6:$IH$79</c:f>
              <c:numCache>
                <c:formatCode>General</c:formatCode>
                <c:ptCount val="74"/>
                <c:pt idx="0">
                  <c:v>884.5</c:v>
                </c:pt>
                <c:pt idx="4">
                  <c:v>967.7</c:v>
                </c:pt>
                <c:pt idx="5">
                  <c:v>987.8</c:v>
                </c:pt>
                <c:pt idx="6">
                  <c:v>973.7</c:v>
                </c:pt>
                <c:pt idx="10">
                  <c:v>957.8</c:v>
                </c:pt>
                <c:pt idx="11">
                  <c:v>933.8</c:v>
                </c:pt>
                <c:pt idx="12">
                  <c:v>960.1</c:v>
                </c:pt>
                <c:pt idx="16">
                  <c:v>964</c:v>
                </c:pt>
                <c:pt idx="20">
                  <c:v>928.1</c:v>
                </c:pt>
                <c:pt idx="21">
                  <c:v>949.2</c:v>
                </c:pt>
                <c:pt idx="23">
                  <c:v>928.1</c:v>
                </c:pt>
                <c:pt idx="24">
                  <c:v>949.2</c:v>
                </c:pt>
                <c:pt idx="25">
                  <c:v>929</c:v>
                </c:pt>
                <c:pt idx="29">
                  <c:v>916</c:v>
                </c:pt>
                <c:pt idx="33">
                  <c:v>817.9</c:v>
                </c:pt>
                <c:pt idx="34">
                  <c:v>819.7</c:v>
                </c:pt>
                <c:pt idx="35">
                  <c:v>886.3</c:v>
                </c:pt>
                <c:pt idx="39">
                  <c:v>829.1</c:v>
                </c:pt>
                <c:pt idx="40">
                  <c:v>810.9</c:v>
                </c:pt>
                <c:pt idx="41">
                  <c:v>809.8</c:v>
                </c:pt>
                <c:pt idx="42">
                  <c:v>874</c:v>
                </c:pt>
                <c:pt idx="43">
                  <c:v>814.7</c:v>
                </c:pt>
                <c:pt idx="44">
                  <c:v>900</c:v>
                </c:pt>
                <c:pt idx="48">
                  <c:v>844.2</c:v>
                </c:pt>
                <c:pt idx="49">
                  <c:v>822.3</c:v>
                </c:pt>
                <c:pt idx="50">
                  <c:v>822</c:v>
                </c:pt>
                <c:pt idx="54">
                  <c:v>820.7</c:v>
                </c:pt>
                <c:pt idx="55">
                  <c:v>823.9</c:v>
                </c:pt>
                <c:pt idx="56">
                  <c:v>830.7</c:v>
                </c:pt>
                <c:pt idx="60">
                  <c:v>867.2</c:v>
                </c:pt>
                <c:pt idx="61">
                  <c:v>850</c:v>
                </c:pt>
                <c:pt idx="62">
                  <c:v>836.9</c:v>
                </c:pt>
                <c:pt idx="63">
                  <c:v>832.8</c:v>
                </c:pt>
                <c:pt idx="67">
                  <c:v>823.8</c:v>
                </c:pt>
                <c:pt idx="68">
                  <c:v>836.2</c:v>
                </c:pt>
                <c:pt idx="69">
                  <c:v>835.3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0E-43A1-BD17-C6E5D1B8862F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All!$II$6:$II$79</c:f>
              <c:numCache>
                <c:formatCode>General</c:formatCode>
                <c:ptCount val="74"/>
                <c:pt idx="0">
                  <c:v>252.5</c:v>
                </c:pt>
                <c:pt idx="4">
                  <c:v>701.4</c:v>
                </c:pt>
                <c:pt idx="5">
                  <c:v>831</c:v>
                </c:pt>
                <c:pt idx="6">
                  <c:v>818.8</c:v>
                </c:pt>
                <c:pt idx="10">
                  <c:v>779.4</c:v>
                </c:pt>
                <c:pt idx="11">
                  <c:v>826.8</c:v>
                </c:pt>
                <c:pt idx="12">
                  <c:v>816.7</c:v>
                </c:pt>
                <c:pt idx="16">
                  <c:v>696.6</c:v>
                </c:pt>
                <c:pt idx="20">
                  <c:v>764.9</c:v>
                </c:pt>
                <c:pt idx="21">
                  <c:v>822.6</c:v>
                </c:pt>
                <c:pt idx="23">
                  <c:v>764.9</c:v>
                </c:pt>
                <c:pt idx="24">
                  <c:v>822.6</c:v>
                </c:pt>
                <c:pt idx="25">
                  <c:v>710.8</c:v>
                </c:pt>
                <c:pt idx="29">
                  <c:v>754.5</c:v>
                </c:pt>
                <c:pt idx="33">
                  <c:v>465.4</c:v>
                </c:pt>
                <c:pt idx="34">
                  <c:v>771.8</c:v>
                </c:pt>
                <c:pt idx="35">
                  <c:v>613.29999999999995</c:v>
                </c:pt>
                <c:pt idx="39">
                  <c:v>575.20000000000005</c:v>
                </c:pt>
                <c:pt idx="40">
                  <c:v>776.5</c:v>
                </c:pt>
                <c:pt idx="41">
                  <c:v>776.7</c:v>
                </c:pt>
                <c:pt idx="42">
                  <c:v>779.6</c:v>
                </c:pt>
                <c:pt idx="43">
                  <c:v>776.5</c:v>
                </c:pt>
                <c:pt idx="44">
                  <c:v>765.7</c:v>
                </c:pt>
                <c:pt idx="48">
                  <c:v>374.1</c:v>
                </c:pt>
                <c:pt idx="49">
                  <c:v>772.2</c:v>
                </c:pt>
                <c:pt idx="50">
                  <c:v>729.3</c:v>
                </c:pt>
                <c:pt idx="54">
                  <c:v>717.7</c:v>
                </c:pt>
                <c:pt idx="55">
                  <c:v>776.3</c:v>
                </c:pt>
                <c:pt idx="56">
                  <c:v>756.3</c:v>
                </c:pt>
                <c:pt idx="60">
                  <c:v>734.4</c:v>
                </c:pt>
                <c:pt idx="61">
                  <c:v>781.5</c:v>
                </c:pt>
                <c:pt idx="62">
                  <c:v>784.6</c:v>
                </c:pt>
                <c:pt idx="63">
                  <c:v>734.6</c:v>
                </c:pt>
                <c:pt idx="67">
                  <c:v>699.8</c:v>
                </c:pt>
                <c:pt idx="68">
                  <c:v>776.4</c:v>
                </c:pt>
                <c:pt idx="69">
                  <c:v>771.1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0E-43A1-BD17-C6E5D1B88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3504"/>
        <c:axId val="436204336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All!$IN$6:$IN$79</c:f>
              <c:numCache>
                <c:formatCode>General</c:formatCode>
                <c:ptCount val="74"/>
                <c:pt idx="0">
                  <c:v>15.177</c:v>
                </c:pt>
                <c:pt idx="4">
                  <c:v>29.852</c:v>
                </c:pt>
                <c:pt idx="5">
                  <c:v>30.062000000000001</c:v>
                </c:pt>
                <c:pt idx="6">
                  <c:v>30.88</c:v>
                </c:pt>
                <c:pt idx="10">
                  <c:v>32.548000000000002</c:v>
                </c:pt>
                <c:pt idx="11">
                  <c:v>29.582000000000001</c:v>
                </c:pt>
                <c:pt idx="12">
                  <c:v>32.173000000000002</c:v>
                </c:pt>
                <c:pt idx="16">
                  <c:v>29.908999999999999</c:v>
                </c:pt>
                <c:pt idx="20">
                  <c:v>30.616</c:v>
                </c:pt>
                <c:pt idx="21">
                  <c:v>24.574999999999999</c:v>
                </c:pt>
                <c:pt idx="23">
                  <c:v>30.616</c:v>
                </c:pt>
                <c:pt idx="24">
                  <c:v>24.574999999999999</c:v>
                </c:pt>
                <c:pt idx="25">
                  <c:v>27.579000000000001</c:v>
                </c:pt>
                <c:pt idx="29">
                  <c:v>29.553000000000001</c:v>
                </c:pt>
                <c:pt idx="33">
                  <c:v>21.507000000000001</c:v>
                </c:pt>
                <c:pt idx="34">
                  <c:v>27.47</c:v>
                </c:pt>
                <c:pt idx="35">
                  <c:v>23.798999999999999</c:v>
                </c:pt>
                <c:pt idx="39">
                  <c:v>24.826000000000001</c:v>
                </c:pt>
                <c:pt idx="40">
                  <c:v>28.335000000000001</c:v>
                </c:pt>
                <c:pt idx="41">
                  <c:v>28.788</c:v>
                </c:pt>
                <c:pt idx="42">
                  <c:v>26.783000000000001</c:v>
                </c:pt>
                <c:pt idx="43">
                  <c:v>27.696999999999999</c:v>
                </c:pt>
                <c:pt idx="44">
                  <c:v>30.193000000000001</c:v>
                </c:pt>
                <c:pt idx="48">
                  <c:v>17.010999999999999</c:v>
                </c:pt>
                <c:pt idx="49">
                  <c:v>27.753</c:v>
                </c:pt>
                <c:pt idx="50">
                  <c:v>30.47</c:v>
                </c:pt>
                <c:pt idx="54">
                  <c:v>29.861000000000001</c:v>
                </c:pt>
                <c:pt idx="55">
                  <c:v>29.238</c:v>
                </c:pt>
                <c:pt idx="56">
                  <c:v>29.562000000000001</c:v>
                </c:pt>
                <c:pt idx="60">
                  <c:v>30.847999999999999</c:v>
                </c:pt>
                <c:pt idx="61">
                  <c:v>30.300999999999998</c:v>
                </c:pt>
                <c:pt idx="62">
                  <c:v>28.747</c:v>
                </c:pt>
                <c:pt idx="63">
                  <c:v>30.847999999999999</c:v>
                </c:pt>
                <c:pt idx="67">
                  <c:v>28.443999999999999</c:v>
                </c:pt>
                <c:pt idx="68">
                  <c:v>29.373999999999999</c:v>
                </c:pt>
                <c:pt idx="69">
                  <c:v>30.231000000000002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0E-43A1-BD17-C6E5D1B88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36112"/>
        <c:axId val="375150256"/>
      </c:scatterChart>
      <c:valAx>
        <c:axId val="43620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4336"/>
        <c:crosses val="autoZero"/>
        <c:crossBetween val="midCat"/>
      </c:valAx>
      <c:valAx>
        <c:axId val="43620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3504"/>
        <c:crosses val="autoZero"/>
        <c:crossBetween val="midCat"/>
      </c:valAx>
      <c:valAx>
        <c:axId val="375150256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36112"/>
        <c:crosses val="max"/>
        <c:crossBetween val="midCat"/>
      </c:valAx>
      <c:valAx>
        <c:axId val="375136112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025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Catch tank level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FIA_xOilLevel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All!$IP$6:$IP$79</c:f>
              <c:numCache>
                <c:formatCode>General</c:formatCode>
                <c:ptCount val="74"/>
                <c:pt idx="0">
                  <c:v>11</c:v>
                </c:pt>
                <c:pt idx="4">
                  <c:v>10.210000000000001</c:v>
                </c:pt>
                <c:pt idx="5">
                  <c:v>13.13</c:v>
                </c:pt>
                <c:pt idx="6">
                  <c:v>14.62</c:v>
                </c:pt>
                <c:pt idx="10">
                  <c:v>15.09</c:v>
                </c:pt>
                <c:pt idx="11">
                  <c:v>14.84</c:v>
                </c:pt>
                <c:pt idx="12">
                  <c:v>15.01</c:v>
                </c:pt>
                <c:pt idx="16">
                  <c:v>14.47</c:v>
                </c:pt>
                <c:pt idx="20">
                  <c:v>14.54</c:v>
                </c:pt>
                <c:pt idx="21">
                  <c:v>14.52</c:v>
                </c:pt>
                <c:pt idx="23">
                  <c:v>14.54</c:v>
                </c:pt>
                <c:pt idx="24">
                  <c:v>14.52</c:v>
                </c:pt>
                <c:pt idx="25">
                  <c:v>14.1</c:v>
                </c:pt>
                <c:pt idx="29">
                  <c:v>13.76</c:v>
                </c:pt>
                <c:pt idx="33">
                  <c:v>12.13</c:v>
                </c:pt>
                <c:pt idx="34">
                  <c:v>12.54</c:v>
                </c:pt>
                <c:pt idx="35">
                  <c:v>13.29</c:v>
                </c:pt>
                <c:pt idx="39">
                  <c:v>13.24</c:v>
                </c:pt>
                <c:pt idx="40">
                  <c:v>12.8</c:v>
                </c:pt>
                <c:pt idx="41">
                  <c:v>13.06</c:v>
                </c:pt>
                <c:pt idx="42">
                  <c:v>13.17</c:v>
                </c:pt>
                <c:pt idx="43">
                  <c:v>12.94</c:v>
                </c:pt>
                <c:pt idx="44">
                  <c:v>13.03</c:v>
                </c:pt>
                <c:pt idx="48">
                  <c:v>12.45</c:v>
                </c:pt>
                <c:pt idx="49">
                  <c:v>11.86</c:v>
                </c:pt>
                <c:pt idx="50">
                  <c:v>12.32</c:v>
                </c:pt>
                <c:pt idx="54">
                  <c:v>12.99</c:v>
                </c:pt>
                <c:pt idx="55">
                  <c:v>12.79</c:v>
                </c:pt>
                <c:pt idx="56">
                  <c:v>12.86</c:v>
                </c:pt>
                <c:pt idx="60">
                  <c:v>12.95</c:v>
                </c:pt>
                <c:pt idx="61">
                  <c:v>12.59</c:v>
                </c:pt>
                <c:pt idx="62">
                  <c:v>12.57</c:v>
                </c:pt>
                <c:pt idx="63">
                  <c:v>12.59</c:v>
                </c:pt>
                <c:pt idx="67">
                  <c:v>12.58</c:v>
                </c:pt>
                <c:pt idx="68">
                  <c:v>12.35</c:v>
                </c:pt>
                <c:pt idx="69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88-4EC1-9467-C2F5C1201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9344"/>
        <c:axId val="436210160"/>
      </c:scatterChart>
      <c:valAx>
        <c:axId val="43619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10160"/>
        <c:crosses val="autoZero"/>
        <c:crossBetween val="midCat"/>
      </c:valAx>
      <c:valAx>
        <c:axId val="43621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All!$CG$6:$CG$79</c:f>
              <c:numCache>
                <c:formatCode>General</c:formatCode>
                <c:ptCount val="74"/>
                <c:pt idx="0">
                  <c:v>13.27</c:v>
                </c:pt>
                <c:pt idx="4">
                  <c:v>13.680999999999999</c:v>
                </c:pt>
                <c:pt idx="5">
                  <c:v>13.845000000000001</c:v>
                </c:pt>
                <c:pt idx="6">
                  <c:v>13.852</c:v>
                </c:pt>
                <c:pt idx="10">
                  <c:v>13.72</c:v>
                </c:pt>
                <c:pt idx="11">
                  <c:v>13.869</c:v>
                </c:pt>
                <c:pt idx="12">
                  <c:v>13.872</c:v>
                </c:pt>
                <c:pt idx="16">
                  <c:v>13.728</c:v>
                </c:pt>
                <c:pt idx="20">
                  <c:v>13.702999999999999</c:v>
                </c:pt>
                <c:pt idx="21">
                  <c:v>13.881</c:v>
                </c:pt>
                <c:pt idx="23">
                  <c:v>13.702999999999999</c:v>
                </c:pt>
                <c:pt idx="24">
                  <c:v>13.881</c:v>
                </c:pt>
                <c:pt idx="25">
                  <c:v>13.709</c:v>
                </c:pt>
                <c:pt idx="29">
                  <c:v>13.692</c:v>
                </c:pt>
                <c:pt idx="33">
                  <c:v>13.079000000000001</c:v>
                </c:pt>
                <c:pt idx="34">
                  <c:v>13.648</c:v>
                </c:pt>
                <c:pt idx="35">
                  <c:v>13.76</c:v>
                </c:pt>
                <c:pt idx="39">
                  <c:v>13.138999999999999</c:v>
                </c:pt>
                <c:pt idx="40">
                  <c:v>13.643000000000001</c:v>
                </c:pt>
                <c:pt idx="41">
                  <c:v>13.646000000000001</c:v>
                </c:pt>
                <c:pt idx="42">
                  <c:v>13.66</c:v>
                </c:pt>
                <c:pt idx="43">
                  <c:v>13.654999999999999</c:v>
                </c:pt>
                <c:pt idx="44">
                  <c:v>13.742000000000001</c:v>
                </c:pt>
                <c:pt idx="48">
                  <c:v>12.930999999999999</c:v>
                </c:pt>
                <c:pt idx="49">
                  <c:v>13.254</c:v>
                </c:pt>
                <c:pt idx="50">
                  <c:v>13.305</c:v>
                </c:pt>
                <c:pt idx="54">
                  <c:v>13.475</c:v>
                </c:pt>
                <c:pt idx="55">
                  <c:v>13.672000000000001</c:v>
                </c:pt>
                <c:pt idx="56">
                  <c:v>13.695</c:v>
                </c:pt>
                <c:pt idx="60">
                  <c:v>13.583</c:v>
                </c:pt>
                <c:pt idx="61">
                  <c:v>13.667999999999999</c:v>
                </c:pt>
                <c:pt idx="62">
                  <c:v>13.663</c:v>
                </c:pt>
                <c:pt idx="63">
                  <c:v>13.586</c:v>
                </c:pt>
                <c:pt idx="67">
                  <c:v>13.446</c:v>
                </c:pt>
                <c:pt idx="68">
                  <c:v>13.67</c:v>
                </c:pt>
                <c:pt idx="69">
                  <c:v>13.696999999999999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6-45D3-A2C0-0ACA8690658B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All!$CH$6:$CH$79</c:f>
              <c:numCache>
                <c:formatCode>General</c:formatCode>
                <c:ptCount val="74"/>
                <c:pt idx="0">
                  <c:v>9.7940000000000005</c:v>
                </c:pt>
                <c:pt idx="4">
                  <c:v>9.8000000000000007</c:v>
                </c:pt>
                <c:pt idx="5">
                  <c:v>13.692</c:v>
                </c:pt>
                <c:pt idx="6">
                  <c:v>13.445</c:v>
                </c:pt>
                <c:pt idx="10">
                  <c:v>9.7929999999999993</c:v>
                </c:pt>
                <c:pt idx="11">
                  <c:v>13.731999999999999</c:v>
                </c:pt>
                <c:pt idx="12">
                  <c:v>13.365</c:v>
                </c:pt>
                <c:pt idx="16">
                  <c:v>9.9079999999999995</c:v>
                </c:pt>
                <c:pt idx="20">
                  <c:v>9.8249999999999993</c:v>
                </c:pt>
                <c:pt idx="21">
                  <c:v>10.654</c:v>
                </c:pt>
                <c:pt idx="23">
                  <c:v>9.8249999999999993</c:v>
                </c:pt>
                <c:pt idx="24">
                  <c:v>10.654</c:v>
                </c:pt>
                <c:pt idx="25">
                  <c:v>9.9890000000000008</c:v>
                </c:pt>
                <c:pt idx="29">
                  <c:v>9.9610000000000003</c:v>
                </c:pt>
                <c:pt idx="33">
                  <c:v>9.8650000000000002</c:v>
                </c:pt>
                <c:pt idx="34">
                  <c:v>13.324</c:v>
                </c:pt>
                <c:pt idx="35">
                  <c:v>10.577999999999999</c:v>
                </c:pt>
                <c:pt idx="39">
                  <c:v>9.798</c:v>
                </c:pt>
                <c:pt idx="40">
                  <c:v>13.391999999999999</c:v>
                </c:pt>
                <c:pt idx="41">
                  <c:v>13.425000000000001</c:v>
                </c:pt>
                <c:pt idx="42">
                  <c:v>13.452</c:v>
                </c:pt>
                <c:pt idx="43">
                  <c:v>13.416</c:v>
                </c:pt>
                <c:pt idx="44">
                  <c:v>10.614000000000001</c:v>
                </c:pt>
                <c:pt idx="48">
                  <c:v>9.6829999999999998</c:v>
                </c:pt>
                <c:pt idx="49">
                  <c:v>12.984999999999999</c:v>
                </c:pt>
                <c:pt idx="50">
                  <c:v>12.891</c:v>
                </c:pt>
                <c:pt idx="54">
                  <c:v>10.042</c:v>
                </c:pt>
                <c:pt idx="55">
                  <c:v>13.507999999999999</c:v>
                </c:pt>
                <c:pt idx="56">
                  <c:v>13.254</c:v>
                </c:pt>
                <c:pt idx="60">
                  <c:v>10.134</c:v>
                </c:pt>
                <c:pt idx="61">
                  <c:v>13.528</c:v>
                </c:pt>
                <c:pt idx="62">
                  <c:v>13.494</c:v>
                </c:pt>
                <c:pt idx="63">
                  <c:v>12.887</c:v>
                </c:pt>
                <c:pt idx="67">
                  <c:v>10.029999999999999</c:v>
                </c:pt>
                <c:pt idx="68">
                  <c:v>13.513</c:v>
                </c:pt>
                <c:pt idx="69">
                  <c:v>13.465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76-45D3-A2C0-0ACA86906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6848"/>
        <c:axId val="436202672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All!$GK$6:$GK$79</c:f>
              <c:numCache>
                <c:formatCode>General</c:formatCode>
                <c:ptCount val="74"/>
                <c:pt idx="0">
                  <c:v>79.5</c:v>
                </c:pt>
                <c:pt idx="4">
                  <c:v>97</c:v>
                </c:pt>
                <c:pt idx="5">
                  <c:v>99.5</c:v>
                </c:pt>
                <c:pt idx="6">
                  <c:v>99.5</c:v>
                </c:pt>
                <c:pt idx="10">
                  <c:v>97</c:v>
                </c:pt>
                <c:pt idx="11">
                  <c:v>99.5</c:v>
                </c:pt>
                <c:pt idx="12">
                  <c:v>99.5</c:v>
                </c:pt>
                <c:pt idx="16">
                  <c:v>96.5</c:v>
                </c:pt>
                <c:pt idx="20">
                  <c:v>95.5</c:v>
                </c:pt>
                <c:pt idx="21">
                  <c:v>99.5</c:v>
                </c:pt>
                <c:pt idx="23">
                  <c:v>95.5</c:v>
                </c:pt>
                <c:pt idx="24">
                  <c:v>99.5</c:v>
                </c:pt>
                <c:pt idx="25">
                  <c:v>93</c:v>
                </c:pt>
                <c:pt idx="29">
                  <c:v>93</c:v>
                </c:pt>
                <c:pt idx="33">
                  <c:v>86</c:v>
                </c:pt>
                <c:pt idx="34">
                  <c:v>99</c:v>
                </c:pt>
                <c:pt idx="35">
                  <c:v>99.5</c:v>
                </c:pt>
                <c:pt idx="39">
                  <c:v>88</c:v>
                </c:pt>
                <c:pt idx="40">
                  <c:v>99.5</c:v>
                </c:pt>
                <c:pt idx="41">
                  <c:v>99.5</c:v>
                </c:pt>
                <c:pt idx="42">
                  <c:v>99.5</c:v>
                </c:pt>
                <c:pt idx="43">
                  <c:v>99.5</c:v>
                </c:pt>
                <c:pt idx="44">
                  <c:v>99.5</c:v>
                </c:pt>
                <c:pt idx="48">
                  <c:v>53.5</c:v>
                </c:pt>
                <c:pt idx="49">
                  <c:v>67</c:v>
                </c:pt>
                <c:pt idx="50">
                  <c:v>79</c:v>
                </c:pt>
                <c:pt idx="54">
                  <c:v>91.5</c:v>
                </c:pt>
                <c:pt idx="55">
                  <c:v>99.5</c:v>
                </c:pt>
                <c:pt idx="56">
                  <c:v>99.5</c:v>
                </c:pt>
                <c:pt idx="60">
                  <c:v>98</c:v>
                </c:pt>
                <c:pt idx="61">
                  <c:v>99.5</c:v>
                </c:pt>
                <c:pt idx="62">
                  <c:v>99.5</c:v>
                </c:pt>
                <c:pt idx="63">
                  <c:v>97.5</c:v>
                </c:pt>
                <c:pt idx="67">
                  <c:v>95</c:v>
                </c:pt>
                <c:pt idx="68">
                  <c:v>99.5</c:v>
                </c:pt>
                <c:pt idx="69">
                  <c:v>99.5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76-45D3-A2C0-0ACA8690658B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All!$GL$6:$GL$79</c:f>
              <c:numCache>
                <c:formatCode>General</c:formatCode>
                <c:ptCount val="74"/>
                <c:pt idx="0">
                  <c:v>91.9</c:v>
                </c:pt>
                <c:pt idx="4">
                  <c:v>88.1</c:v>
                </c:pt>
                <c:pt idx="5">
                  <c:v>90.5</c:v>
                </c:pt>
                <c:pt idx="6">
                  <c:v>91.1</c:v>
                </c:pt>
                <c:pt idx="10">
                  <c:v>80</c:v>
                </c:pt>
                <c:pt idx="11">
                  <c:v>76.599999999999994</c:v>
                </c:pt>
                <c:pt idx="12">
                  <c:v>76.3</c:v>
                </c:pt>
                <c:pt idx="16">
                  <c:v>79.5</c:v>
                </c:pt>
                <c:pt idx="20">
                  <c:v>83.1</c:v>
                </c:pt>
                <c:pt idx="21">
                  <c:v>76.8</c:v>
                </c:pt>
                <c:pt idx="23">
                  <c:v>83.1</c:v>
                </c:pt>
                <c:pt idx="24">
                  <c:v>76.8</c:v>
                </c:pt>
                <c:pt idx="25">
                  <c:v>79.3</c:v>
                </c:pt>
                <c:pt idx="29">
                  <c:v>77.3</c:v>
                </c:pt>
                <c:pt idx="33">
                  <c:v>112</c:v>
                </c:pt>
                <c:pt idx="34">
                  <c:v>112.1</c:v>
                </c:pt>
                <c:pt idx="35">
                  <c:v>103.8</c:v>
                </c:pt>
                <c:pt idx="39">
                  <c:v>111.2</c:v>
                </c:pt>
                <c:pt idx="40">
                  <c:v>112.2</c:v>
                </c:pt>
                <c:pt idx="41">
                  <c:v>112.7</c:v>
                </c:pt>
                <c:pt idx="42">
                  <c:v>115.8</c:v>
                </c:pt>
                <c:pt idx="43">
                  <c:v>109.8</c:v>
                </c:pt>
                <c:pt idx="44">
                  <c:v>106</c:v>
                </c:pt>
                <c:pt idx="48">
                  <c:v>112.7</c:v>
                </c:pt>
                <c:pt idx="49">
                  <c:v>122.8</c:v>
                </c:pt>
                <c:pt idx="50">
                  <c:v>111.1</c:v>
                </c:pt>
                <c:pt idx="54">
                  <c:v>112.4</c:v>
                </c:pt>
                <c:pt idx="55">
                  <c:v>111.1</c:v>
                </c:pt>
                <c:pt idx="56">
                  <c:v>109.5</c:v>
                </c:pt>
                <c:pt idx="60">
                  <c:v>112.9</c:v>
                </c:pt>
                <c:pt idx="61">
                  <c:v>114</c:v>
                </c:pt>
                <c:pt idx="62">
                  <c:v>111.8</c:v>
                </c:pt>
                <c:pt idx="63">
                  <c:v>113.9</c:v>
                </c:pt>
                <c:pt idx="67">
                  <c:v>115</c:v>
                </c:pt>
                <c:pt idx="68">
                  <c:v>109.4</c:v>
                </c:pt>
                <c:pt idx="69">
                  <c:v>110.3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76-45D3-A2C0-0ACA8690658B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76-45D3-A2C0-0ACA86906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5680"/>
        <c:axId val="375137360"/>
      </c:scatterChart>
      <c:valAx>
        <c:axId val="43619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2672"/>
        <c:crosses val="autoZero"/>
        <c:crossBetween val="midCat"/>
      </c:valAx>
      <c:valAx>
        <c:axId val="436202672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6848"/>
        <c:crosses val="autoZero"/>
        <c:crossBetween val="midCat"/>
      </c:valAx>
      <c:valAx>
        <c:axId val="375137360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5680"/>
        <c:crosses val="max"/>
        <c:crossBetween val="midCat"/>
      </c:valAx>
      <c:valAx>
        <c:axId val="375145680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3736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All!$GN$6:$GN$79</c:f>
              <c:numCache>
                <c:formatCode>General</c:formatCode>
                <c:ptCount val="74"/>
                <c:pt idx="0">
                  <c:v>21.251999999999999</c:v>
                </c:pt>
                <c:pt idx="4">
                  <c:v>20.609000000000002</c:v>
                </c:pt>
                <c:pt idx="5">
                  <c:v>22.244</c:v>
                </c:pt>
                <c:pt idx="6">
                  <c:v>21.088000000000001</c:v>
                </c:pt>
                <c:pt idx="10">
                  <c:v>21.311</c:v>
                </c:pt>
                <c:pt idx="11">
                  <c:v>21.576000000000001</c:v>
                </c:pt>
                <c:pt idx="12">
                  <c:v>20.884</c:v>
                </c:pt>
                <c:pt idx="16">
                  <c:v>23.811</c:v>
                </c:pt>
                <c:pt idx="20">
                  <c:v>22.449000000000002</c:v>
                </c:pt>
                <c:pt idx="21">
                  <c:v>21.786999999999999</c:v>
                </c:pt>
                <c:pt idx="23">
                  <c:v>22.449000000000002</c:v>
                </c:pt>
                <c:pt idx="24">
                  <c:v>21.786999999999999</c:v>
                </c:pt>
                <c:pt idx="25">
                  <c:v>22.818999999999999</c:v>
                </c:pt>
                <c:pt idx="29">
                  <c:v>22.878</c:v>
                </c:pt>
                <c:pt idx="33">
                  <c:v>22.387</c:v>
                </c:pt>
                <c:pt idx="34">
                  <c:v>21.94</c:v>
                </c:pt>
                <c:pt idx="35">
                  <c:v>23.579000000000001</c:v>
                </c:pt>
                <c:pt idx="39">
                  <c:v>23.573</c:v>
                </c:pt>
                <c:pt idx="40">
                  <c:v>22.957000000000001</c:v>
                </c:pt>
                <c:pt idx="41">
                  <c:v>24.183</c:v>
                </c:pt>
                <c:pt idx="42">
                  <c:v>24.013000000000002</c:v>
                </c:pt>
                <c:pt idx="43">
                  <c:v>22.939</c:v>
                </c:pt>
                <c:pt idx="44">
                  <c:v>23.536000000000001</c:v>
                </c:pt>
                <c:pt idx="48">
                  <c:v>20.61</c:v>
                </c:pt>
                <c:pt idx="49">
                  <c:v>22.074000000000002</c:v>
                </c:pt>
                <c:pt idx="50">
                  <c:v>22.1</c:v>
                </c:pt>
                <c:pt idx="54">
                  <c:v>23.132000000000001</c:v>
                </c:pt>
                <c:pt idx="55">
                  <c:v>21.914000000000001</c:v>
                </c:pt>
                <c:pt idx="56">
                  <c:v>23.219000000000001</c:v>
                </c:pt>
                <c:pt idx="60">
                  <c:v>23.838999999999999</c:v>
                </c:pt>
                <c:pt idx="61">
                  <c:v>21.469000000000001</c:v>
                </c:pt>
                <c:pt idx="62">
                  <c:v>21.43</c:v>
                </c:pt>
                <c:pt idx="63">
                  <c:v>24.024999999999999</c:v>
                </c:pt>
                <c:pt idx="67">
                  <c:v>21.088999999999999</c:v>
                </c:pt>
                <c:pt idx="68">
                  <c:v>22.332999999999998</c:v>
                </c:pt>
                <c:pt idx="69">
                  <c:v>22.794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7-4BEB-81CE-258440965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7248"/>
        <c:axId val="436209328"/>
      </c:scatterChart>
      <c:valAx>
        <c:axId val="4362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9328"/>
        <c:crosses val="autoZero"/>
        <c:crossBetween val="midCat"/>
      </c:valAx>
      <c:valAx>
        <c:axId val="4362093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All!$CT$6:$CT$79</c:f>
              <c:numCache>
                <c:formatCode>General</c:formatCode>
                <c:ptCount val="74"/>
                <c:pt idx="0">
                  <c:v>0.36599999999999999</c:v>
                </c:pt>
                <c:pt idx="4">
                  <c:v>0.253</c:v>
                </c:pt>
                <c:pt idx="5">
                  <c:v>0.377</c:v>
                </c:pt>
                <c:pt idx="6">
                  <c:v>0.36299999999999999</c:v>
                </c:pt>
                <c:pt idx="10">
                  <c:v>0.36</c:v>
                </c:pt>
                <c:pt idx="11">
                  <c:v>0.40100000000000002</c:v>
                </c:pt>
                <c:pt idx="12">
                  <c:v>0.33</c:v>
                </c:pt>
                <c:pt idx="16">
                  <c:v>0.53300000000000003</c:v>
                </c:pt>
                <c:pt idx="20">
                  <c:v>0.36499999999999999</c:v>
                </c:pt>
                <c:pt idx="21">
                  <c:v>0.311</c:v>
                </c:pt>
                <c:pt idx="23">
                  <c:v>0.36499999999999999</c:v>
                </c:pt>
                <c:pt idx="24">
                  <c:v>0.311</c:v>
                </c:pt>
                <c:pt idx="25">
                  <c:v>0.38900000000000001</c:v>
                </c:pt>
                <c:pt idx="29">
                  <c:v>0.33900000000000002</c:v>
                </c:pt>
                <c:pt idx="33">
                  <c:v>0.57599999999999996</c:v>
                </c:pt>
                <c:pt idx="34">
                  <c:v>0.35</c:v>
                </c:pt>
                <c:pt idx="35">
                  <c:v>0.15</c:v>
                </c:pt>
                <c:pt idx="39">
                  <c:v>0.41899999999999998</c:v>
                </c:pt>
                <c:pt idx="40">
                  <c:v>0.42599999999999999</c:v>
                </c:pt>
                <c:pt idx="41">
                  <c:v>0.49399999999999999</c:v>
                </c:pt>
                <c:pt idx="42">
                  <c:v>0.47199999999999998</c:v>
                </c:pt>
                <c:pt idx="43">
                  <c:v>0.47699999999999998</c:v>
                </c:pt>
                <c:pt idx="44">
                  <c:v>0.54100000000000004</c:v>
                </c:pt>
                <c:pt idx="48">
                  <c:v>0.247</c:v>
                </c:pt>
                <c:pt idx="49">
                  <c:v>0.41399999999999998</c:v>
                </c:pt>
                <c:pt idx="50">
                  <c:v>0.41299999999999998</c:v>
                </c:pt>
                <c:pt idx="54">
                  <c:v>0.38200000000000001</c:v>
                </c:pt>
                <c:pt idx="55">
                  <c:v>0.32600000000000001</c:v>
                </c:pt>
                <c:pt idx="56">
                  <c:v>0.315</c:v>
                </c:pt>
                <c:pt idx="60">
                  <c:v>0.46700000000000003</c:v>
                </c:pt>
                <c:pt idx="61">
                  <c:v>0.27400000000000002</c:v>
                </c:pt>
                <c:pt idx="62">
                  <c:v>0.28999999999999998</c:v>
                </c:pt>
                <c:pt idx="63">
                  <c:v>0.34200000000000003</c:v>
                </c:pt>
                <c:pt idx="67">
                  <c:v>0.24</c:v>
                </c:pt>
                <c:pt idx="68">
                  <c:v>0.48099999999999998</c:v>
                </c:pt>
                <c:pt idx="69">
                  <c:v>0.318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1-4FE9-8323-445A21A6D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2256"/>
        <c:axId val="436206416"/>
      </c:scatterChart>
      <c:valAx>
        <c:axId val="43620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6416"/>
        <c:crosses val="autoZero"/>
        <c:crossBetween val="midCat"/>
      </c:valAx>
      <c:valAx>
        <c:axId val="43620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All!$ER$6:$ER$79</c:f>
              <c:numCache>
                <c:formatCode>General</c:formatCode>
                <c:ptCount val="74"/>
                <c:pt idx="0">
                  <c:v>62.262</c:v>
                </c:pt>
                <c:pt idx="4">
                  <c:v>106.646</c:v>
                </c:pt>
                <c:pt idx="5">
                  <c:v>91.754000000000005</c:v>
                </c:pt>
                <c:pt idx="6">
                  <c:v>100.22199999999999</c:v>
                </c:pt>
                <c:pt idx="10">
                  <c:v>107.81399999999999</c:v>
                </c:pt>
                <c:pt idx="11">
                  <c:v>96.718000000000004</c:v>
                </c:pt>
                <c:pt idx="12">
                  <c:v>96.718000000000004</c:v>
                </c:pt>
                <c:pt idx="16">
                  <c:v>91.462000000000003</c:v>
                </c:pt>
                <c:pt idx="20">
                  <c:v>98.177999999999997</c:v>
                </c:pt>
                <c:pt idx="21">
                  <c:v>89.126000000000005</c:v>
                </c:pt>
                <c:pt idx="23">
                  <c:v>98.177999999999997</c:v>
                </c:pt>
                <c:pt idx="24">
                  <c:v>89.126000000000005</c:v>
                </c:pt>
                <c:pt idx="25">
                  <c:v>112.194</c:v>
                </c:pt>
                <c:pt idx="29">
                  <c:v>118.32599999999999</c:v>
                </c:pt>
                <c:pt idx="33">
                  <c:v>78.614000000000004</c:v>
                </c:pt>
                <c:pt idx="34">
                  <c:v>101.682</c:v>
                </c:pt>
                <c:pt idx="35">
                  <c:v>59.05</c:v>
                </c:pt>
                <c:pt idx="39">
                  <c:v>77.445999999999998</c:v>
                </c:pt>
                <c:pt idx="40">
                  <c:v>101.098</c:v>
                </c:pt>
                <c:pt idx="41">
                  <c:v>104.018</c:v>
                </c:pt>
                <c:pt idx="42">
                  <c:v>106.354</c:v>
                </c:pt>
                <c:pt idx="43">
                  <c:v>110.15</c:v>
                </c:pt>
                <c:pt idx="44">
                  <c:v>66.933999999999997</c:v>
                </c:pt>
                <c:pt idx="48">
                  <c:v>82.41</c:v>
                </c:pt>
                <c:pt idx="49">
                  <c:v>104.018</c:v>
                </c:pt>
                <c:pt idx="50">
                  <c:v>109.858</c:v>
                </c:pt>
                <c:pt idx="54">
                  <c:v>109.858</c:v>
                </c:pt>
                <c:pt idx="55">
                  <c:v>103.142</c:v>
                </c:pt>
                <c:pt idx="56">
                  <c:v>103.726</c:v>
                </c:pt>
                <c:pt idx="60">
                  <c:v>102.85</c:v>
                </c:pt>
                <c:pt idx="61">
                  <c:v>109.858</c:v>
                </c:pt>
                <c:pt idx="62">
                  <c:v>109.274</c:v>
                </c:pt>
                <c:pt idx="63">
                  <c:v>113.07</c:v>
                </c:pt>
                <c:pt idx="67">
                  <c:v>107.81399999999999</c:v>
                </c:pt>
                <c:pt idx="68">
                  <c:v>121.83</c:v>
                </c:pt>
                <c:pt idx="69">
                  <c:v>99.054000000000002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B-4A5D-B4AB-7E944B7CE945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All!$EQ$6:$EQ$79</c:f>
              <c:numCache>
                <c:formatCode>General</c:formatCode>
                <c:ptCount val="74"/>
                <c:pt idx="0">
                  <c:v>-0.155</c:v>
                </c:pt>
                <c:pt idx="4">
                  <c:v>-1.0629999999999999</c:v>
                </c:pt>
                <c:pt idx="5">
                  <c:v>-2.7280000000000002</c:v>
                </c:pt>
                <c:pt idx="6">
                  <c:v>-2.431</c:v>
                </c:pt>
                <c:pt idx="10">
                  <c:v>-1.266</c:v>
                </c:pt>
                <c:pt idx="11">
                  <c:v>-3.22</c:v>
                </c:pt>
                <c:pt idx="12">
                  <c:v>-2.202</c:v>
                </c:pt>
                <c:pt idx="16">
                  <c:v>-1.3049999999999999</c:v>
                </c:pt>
                <c:pt idx="20">
                  <c:v>-1.327</c:v>
                </c:pt>
                <c:pt idx="21">
                  <c:v>-2.5680000000000001</c:v>
                </c:pt>
                <c:pt idx="23">
                  <c:v>-1.327</c:v>
                </c:pt>
                <c:pt idx="24">
                  <c:v>-2.5680000000000001</c:v>
                </c:pt>
                <c:pt idx="25">
                  <c:v>-1.839</c:v>
                </c:pt>
                <c:pt idx="29">
                  <c:v>-2.2130000000000001</c:v>
                </c:pt>
                <c:pt idx="33">
                  <c:v>-1.0169999999999999</c:v>
                </c:pt>
                <c:pt idx="34">
                  <c:v>-2.7429999999999999</c:v>
                </c:pt>
                <c:pt idx="35">
                  <c:v>-0.311</c:v>
                </c:pt>
                <c:pt idx="39">
                  <c:v>-0.874</c:v>
                </c:pt>
                <c:pt idx="40">
                  <c:v>-2.4470000000000001</c:v>
                </c:pt>
                <c:pt idx="41">
                  <c:v>-2.355</c:v>
                </c:pt>
                <c:pt idx="42">
                  <c:v>-2.012</c:v>
                </c:pt>
                <c:pt idx="43">
                  <c:v>-2.5640000000000001</c:v>
                </c:pt>
                <c:pt idx="44">
                  <c:v>-0.91600000000000004</c:v>
                </c:pt>
                <c:pt idx="48">
                  <c:v>-0.53400000000000003</c:v>
                </c:pt>
                <c:pt idx="49">
                  <c:v>-2.806</c:v>
                </c:pt>
                <c:pt idx="50">
                  <c:v>-2.1309999999999998</c:v>
                </c:pt>
                <c:pt idx="54">
                  <c:v>-0.81100000000000005</c:v>
                </c:pt>
                <c:pt idx="55">
                  <c:v>-1.893</c:v>
                </c:pt>
                <c:pt idx="56">
                  <c:v>-1.76</c:v>
                </c:pt>
                <c:pt idx="60">
                  <c:v>-1.149</c:v>
                </c:pt>
                <c:pt idx="61">
                  <c:v>-2.581</c:v>
                </c:pt>
                <c:pt idx="62">
                  <c:v>-2.7080000000000002</c:v>
                </c:pt>
                <c:pt idx="63">
                  <c:v>-1.774</c:v>
                </c:pt>
                <c:pt idx="67">
                  <c:v>-1.605</c:v>
                </c:pt>
                <c:pt idx="68">
                  <c:v>-2.1779999999999999</c:v>
                </c:pt>
                <c:pt idx="69">
                  <c:v>-2.4369999999999998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B-4A5D-B4AB-7E944B7CE945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All!$EP$6:$EP$79</c:f>
              <c:numCache>
                <c:formatCode>General</c:formatCode>
                <c:ptCount val="74"/>
                <c:pt idx="0">
                  <c:v>-67.97</c:v>
                </c:pt>
                <c:pt idx="4">
                  <c:v>-109.142</c:v>
                </c:pt>
                <c:pt idx="5">
                  <c:v>-108.85</c:v>
                </c:pt>
                <c:pt idx="6">
                  <c:v>-104.178</c:v>
                </c:pt>
                <c:pt idx="10">
                  <c:v>-100.96599999999999</c:v>
                </c:pt>
                <c:pt idx="11">
                  <c:v>-118.77800000000001</c:v>
                </c:pt>
                <c:pt idx="12">
                  <c:v>-118.486</c:v>
                </c:pt>
                <c:pt idx="16">
                  <c:v>-81.11</c:v>
                </c:pt>
                <c:pt idx="20">
                  <c:v>-105.63800000000001</c:v>
                </c:pt>
                <c:pt idx="21">
                  <c:v>-111.77</c:v>
                </c:pt>
                <c:pt idx="23">
                  <c:v>-105.63800000000001</c:v>
                </c:pt>
                <c:pt idx="24">
                  <c:v>-111.77</c:v>
                </c:pt>
                <c:pt idx="25">
                  <c:v>-107.974</c:v>
                </c:pt>
                <c:pt idx="29">
                  <c:v>-105.054</c:v>
                </c:pt>
                <c:pt idx="33">
                  <c:v>-97.754000000000005</c:v>
                </c:pt>
                <c:pt idx="34">
                  <c:v>-117.61</c:v>
                </c:pt>
                <c:pt idx="35">
                  <c:v>-108.85</c:v>
                </c:pt>
                <c:pt idx="39">
                  <c:v>-84.322000000000003</c:v>
                </c:pt>
                <c:pt idx="40">
                  <c:v>-112.354</c:v>
                </c:pt>
                <c:pt idx="41">
                  <c:v>-117.026</c:v>
                </c:pt>
                <c:pt idx="42">
                  <c:v>-110.31</c:v>
                </c:pt>
                <c:pt idx="43">
                  <c:v>-119.07</c:v>
                </c:pt>
                <c:pt idx="44">
                  <c:v>-99.213999999999999</c:v>
                </c:pt>
                <c:pt idx="48">
                  <c:v>-85.197999999999993</c:v>
                </c:pt>
                <c:pt idx="49">
                  <c:v>-106.514</c:v>
                </c:pt>
                <c:pt idx="50">
                  <c:v>-107.098</c:v>
                </c:pt>
                <c:pt idx="54">
                  <c:v>-98.921999999999997</c:v>
                </c:pt>
                <c:pt idx="55">
                  <c:v>-110.31</c:v>
                </c:pt>
                <c:pt idx="56">
                  <c:v>-105.346</c:v>
                </c:pt>
                <c:pt idx="60">
                  <c:v>-103.59399999999999</c:v>
                </c:pt>
                <c:pt idx="61">
                  <c:v>-105.346</c:v>
                </c:pt>
                <c:pt idx="62">
                  <c:v>-107.974</c:v>
                </c:pt>
                <c:pt idx="63">
                  <c:v>-108.26600000000001</c:v>
                </c:pt>
                <c:pt idx="67">
                  <c:v>-105.054</c:v>
                </c:pt>
                <c:pt idx="68">
                  <c:v>-107.974</c:v>
                </c:pt>
                <c:pt idx="69">
                  <c:v>-107.974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DB-4A5D-B4AB-7E944B7CE945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All!$GO$6:$GO$79</c:f>
              <c:numCache>
                <c:formatCode>General</c:formatCode>
                <c:ptCount val="74"/>
                <c:pt idx="0">
                  <c:v>67.97</c:v>
                </c:pt>
                <c:pt idx="4">
                  <c:v>109.142</c:v>
                </c:pt>
                <c:pt idx="5">
                  <c:v>108.85</c:v>
                </c:pt>
                <c:pt idx="6">
                  <c:v>104.178</c:v>
                </c:pt>
                <c:pt idx="10">
                  <c:v>107.81399999999999</c:v>
                </c:pt>
                <c:pt idx="11">
                  <c:v>118.77800000000001</c:v>
                </c:pt>
                <c:pt idx="12">
                  <c:v>118.486</c:v>
                </c:pt>
                <c:pt idx="16">
                  <c:v>91.462000000000003</c:v>
                </c:pt>
                <c:pt idx="20">
                  <c:v>105.63800000000001</c:v>
                </c:pt>
                <c:pt idx="21">
                  <c:v>111.77</c:v>
                </c:pt>
                <c:pt idx="23">
                  <c:v>105.63800000000001</c:v>
                </c:pt>
                <c:pt idx="24">
                  <c:v>111.77</c:v>
                </c:pt>
                <c:pt idx="25">
                  <c:v>112.194</c:v>
                </c:pt>
                <c:pt idx="29">
                  <c:v>118.32599999999999</c:v>
                </c:pt>
                <c:pt idx="33">
                  <c:v>97.754000000000005</c:v>
                </c:pt>
                <c:pt idx="34">
                  <c:v>117.61</c:v>
                </c:pt>
                <c:pt idx="35">
                  <c:v>108.85</c:v>
                </c:pt>
                <c:pt idx="39">
                  <c:v>84.322000000000003</c:v>
                </c:pt>
                <c:pt idx="40">
                  <c:v>112.354</c:v>
                </c:pt>
                <c:pt idx="41">
                  <c:v>117.026</c:v>
                </c:pt>
                <c:pt idx="42">
                  <c:v>110.31</c:v>
                </c:pt>
                <c:pt idx="43">
                  <c:v>119.07</c:v>
                </c:pt>
                <c:pt idx="44">
                  <c:v>99.213999999999999</c:v>
                </c:pt>
                <c:pt idx="48">
                  <c:v>85.197999999999993</c:v>
                </c:pt>
                <c:pt idx="49">
                  <c:v>106.514</c:v>
                </c:pt>
                <c:pt idx="50">
                  <c:v>109.858</c:v>
                </c:pt>
                <c:pt idx="54">
                  <c:v>109.858</c:v>
                </c:pt>
                <c:pt idx="55">
                  <c:v>110.31</c:v>
                </c:pt>
                <c:pt idx="56">
                  <c:v>105.346</c:v>
                </c:pt>
                <c:pt idx="60">
                  <c:v>103.59399999999999</c:v>
                </c:pt>
                <c:pt idx="61">
                  <c:v>109.858</c:v>
                </c:pt>
                <c:pt idx="62">
                  <c:v>109.274</c:v>
                </c:pt>
                <c:pt idx="63">
                  <c:v>113.07</c:v>
                </c:pt>
                <c:pt idx="67">
                  <c:v>107.81399999999999</c:v>
                </c:pt>
                <c:pt idx="68">
                  <c:v>121.83</c:v>
                </c:pt>
                <c:pt idx="69">
                  <c:v>107.974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DB-4A5D-B4AB-7E944B7CE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88528"/>
        <c:axId val="436191856"/>
      </c:scatterChart>
      <c:valAx>
        <c:axId val="43618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1856"/>
        <c:crosses val="autoZero"/>
        <c:crossBetween val="midCat"/>
      </c:valAx>
      <c:valAx>
        <c:axId val="4361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8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All!$GQ$6:$GQ$79</c:f>
              <c:numCache>
                <c:formatCode>General</c:formatCode>
                <c:ptCount val="74"/>
                <c:pt idx="0">
                  <c:v>6.077</c:v>
                </c:pt>
                <c:pt idx="4">
                  <c:v>4.0119999999999996</c:v>
                </c:pt>
                <c:pt idx="5">
                  <c:v>1.8879999999999999</c:v>
                </c:pt>
                <c:pt idx="6">
                  <c:v>1.8879999999999999</c:v>
                </c:pt>
                <c:pt idx="10">
                  <c:v>4.13</c:v>
                </c:pt>
                <c:pt idx="11">
                  <c:v>1.8879999999999999</c:v>
                </c:pt>
                <c:pt idx="12">
                  <c:v>1.8879999999999999</c:v>
                </c:pt>
                <c:pt idx="16">
                  <c:v>4.72</c:v>
                </c:pt>
                <c:pt idx="20">
                  <c:v>4.5430000000000001</c:v>
                </c:pt>
                <c:pt idx="21">
                  <c:v>4.13</c:v>
                </c:pt>
                <c:pt idx="23">
                  <c:v>4.5430000000000001</c:v>
                </c:pt>
                <c:pt idx="24">
                  <c:v>4.13</c:v>
                </c:pt>
                <c:pt idx="25">
                  <c:v>5.133</c:v>
                </c:pt>
                <c:pt idx="29">
                  <c:v>3.9529999999999998</c:v>
                </c:pt>
                <c:pt idx="33">
                  <c:v>5.782</c:v>
                </c:pt>
                <c:pt idx="34">
                  <c:v>1.829</c:v>
                </c:pt>
                <c:pt idx="35">
                  <c:v>4.9560000000000004</c:v>
                </c:pt>
                <c:pt idx="39">
                  <c:v>3.9529999999999998</c:v>
                </c:pt>
                <c:pt idx="40">
                  <c:v>1.829</c:v>
                </c:pt>
                <c:pt idx="41">
                  <c:v>1.829</c:v>
                </c:pt>
                <c:pt idx="42">
                  <c:v>1.829</c:v>
                </c:pt>
                <c:pt idx="43">
                  <c:v>1.829</c:v>
                </c:pt>
                <c:pt idx="44">
                  <c:v>4.6020000000000003</c:v>
                </c:pt>
                <c:pt idx="48">
                  <c:v>5.1920000000000002</c:v>
                </c:pt>
                <c:pt idx="49">
                  <c:v>1.7110000000000001</c:v>
                </c:pt>
                <c:pt idx="50">
                  <c:v>5.9</c:v>
                </c:pt>
                <c:pt idx="54">
                  <c:v>3.7170000000000001</c:v>
                </c:pt>
                <c:pt idx="55">
                  <c:v>1.829</c:v>
                </c:pt>
                <c:pt idx="56">
                  <c:v>5.1920000000000002</c:v>
                </c:pt>
                <c:pt idx="60">
                  <c:v>4.3659999999999997</c:v>
                </c:pt>
                <c:pt idx="61">
                  <c:v>1.829</c:v>
                </c:pt>
                <c:pt idx="62">
                  <c:v>1.8879999999999999</c:v>
                </c:pt>
                <c:pt idx="63">
                  <c:v>5.2510000000000003</c:v>
                </c:pt>
                <c:pt idx="67">
                  <c:v>3.7759999999999998</c:v>
                </c:pt>
                <c:pt idx="68">
                  <c:v>1.829</c:v>
                </c:pt>
                <c:pt idx="69">
                  <c:v>1.829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5-49E3-A12F-008C45D34D79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All!$ES$6:$ES$79</c:f>
              <c:numCache>
                <c:formatCode>General</c:formatCode>
                <c:ptCount val="74"/>
                <c:pt idx="0">
                  <c:v>0.39</c:v>
                </c:pt>
                <c:pt idx="4">
                  <c:v>1.4690000000000001</c:v>
                </c:pt>
                <c:pt idx="5">
                  <c:v>1.571</c:v>
                </c:pt>
                <c:pt idx="6">
                  <c:v>1.5249999999999999</c:v>
                </c:pt>
                <c:pt idx="10">
                  <c:v>1.389</c:v>
                </c:pt>
                <c:pt idx="11">
                  <c:v>1.484</c:v>
                </c:pt>
                <c:pt idx="12">
                  <c:v>1.4810000000000001</c:v>
                </c:pt>
                <c:pt idx="16">
                  <c:v>1.373</c:v>
                </c:pt>
                <c:pt idx="20">
                  <c:v>1.335</c:v>
                </c:pt>
                <c:pt idx="21">
                  <c:v>1.421</c:v>
                </c:pt>
                <c:pt idx="23">
                  <c:v>1.335</c:v>
                </c:pt>
                <c:pt idx="24">
                  <c:v>1.421</c:v>
                </c:pt>
                <c:pt idx="25">
                  <c:v>1.3109999999999999</c:v>
                </c:pt>
                <c:pt idx="29">
                  <c:v>1.2669999999999999</c:v>
                </c:pt>
                <c:pt idx="33">
                  <c:v>0.89100000000000001</c:v>
                </c:pt>
                <c:pt idx="34">
                  <c:v>1.294</c:v>
                </c:pt>
                <c:pt idx="35">
                  <c:v>1.538</c:v>
                </c:pt>
                <c:pt idx="39">
                  <c:v>0.67900000000000005</c:v>
                </c:pt>
                <c:pt idx="40">
                  <c:v>1.3069999999999999</c:v>
                </c:pt>
                <c:pt idx="41">
                  <c:v>1.2829999999999999</c:v>
                </c:pt>
                <c:pt idx="42">
                  <c:v>1.238</c:v>
                </c:pt>
                <c:pt idx="43">
                  <c:v>0.999</c:v>
                </c:pt>
                <c:pt idx="44">
                  <c:v>0.624</c:v>
                </c:pt>
                <c:pt idx="48">
                  <c:v>0.77400000000000002</c:v>
                </c:pt>
                <c:pt idx="49">
                  <c:v>1.276</c:v>
                </c:pt>
                <c:pt idx="50">
                  <c:v>1.2490000000000001</c:v>
                </c:pt>
                <c:pt idx="54">
                  <c:v>1.286</c:v>
                </c:pt>
                <c:pt idx="55">
                  <c:v>1.339</c:v>
                </c:pt>
                <c:pt idx="56">
                  <c:v>1.325</c:v>
                </c:pt>
                <c:pt idx="60">
                  <c:v>1.264</c:v>
                </c:pt>
                <c:pt idx="61">
                  <c:v>1.349</c:v>
                </c:pt>
                <c:pt idx="62">
                  <c:v>1.3109999999999999</c:v>
                </c:pt>
                <c:pt idx="63">
                  <c:v>1.2649999999999999</c:v>
                </c:pt>
                <c:pt idx="67">
                  <c:v>1.212</c:v>
                </c:pt>
                <c:pt idx="68">
                  <c:v>1.272</c:v>
                </c:pt>
                <c:pt idx="69">
                  <c:v>1.1950000000000001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35-49E3-A12F-008C45D34D79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0.94399999999999995</c:v>
                </c:pt>
                <c:pt idx="6">
                  <c:v>0</c:v>
                </c:pt>
                <c:pt idx="10">
                  <c:v>0</c:v>
                </c:pt>
                <c:pt idx="11">
                  <c:v>0.53100000000000003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0.29499999999999998</c:v>
                </c:pt>
                <c:pt idx="35">
                  <c:v>0</c:v>
                </c:pt>
                <c:pt idx="39">
                  <c:v>0</c:v>
                </c:pt>
                <c:pt idx="40">
                  <c:v>0.29499999999999998</c:v>
                </c:pt>
                <c:pt idx="41">
                  <c:v>0.29499999999999998</c:v>
                </c:pt>
                <c:pt idx="42">
                  <c:v>0.29499999999999998</c:v>
                </c:pt>
                <c:pt idx="43">
                  <c:v>0.23599999999999999</c:v>
                </c:pt>
                <c:pt idx="44">
                  <c:v>0</c:v>
                </c:pt>
                <c:pt idx="48">
                  <c:v>0</c:v>
                </c:pt>
                <c:pt idx="49">
                  <c:v>0.35399999999999998</c:v>
                </c:pt>
                <c:pt idx="50">
                  <c:v>0</c:v>
                </c:pt>
                <c:pt idx="54">
                  <c:v>0</c:v>
                </c:pt>
                <c:pt idx="55">
                  <c:v>0.35399999999999998</c:v>
                </c:pt>
                <c:pt idx="56">
                  <c:v>0</c:v>
                </c:pt>
                <c:pt idx="60">
                  <c:v>0</c:v>
                </c:pt>
                <c:pt idx="61">
                  <c:v>0.35399999999999998</c:v>
                </c:pt>
                <c:pt idx="62">
                  <c:v>0.29499999999999998</c:v>
                </c:pt>
                <c:pt idx="63">
                  <c:v>0</c:v>
                </c:pt>
                <c:pt idx="67">
                  <c:v>0</c:v>
                </c:pt>
                <c:pt idx="68">
                  <c:v>0.29499999999999998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35-49E3-A12F-008C45D34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60656"/>
        <c:axId val="436172720"/>
      </c:scatterChart>
      <c:valAx>
        <c:axId val="43616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2720"/>
        <c:crosses val="autoZero"/>
        <c:crossBetween val="midCat"/>
      </c:valAx>
      <c:valAx>
        <c:axId val="43617272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All!$GS$6:$GS$79</c:f>
              <c:numCache>
                <c:formatCode>General</c:formatCode>
                <c:ptCount val="74"/>
                <c:pt idx="0">
                  <c:v>5.5460000000000003</c:v>
                </c:pt>
                <c:pt idx="4">
                  <c:v>4.13</c:v>
                </c:pt>
                <c:pt idx="5">
                  <c:v>2.0059999999999998</c:v>
                </c:pt>
                <c:pt idx="6">
                  <c:v>2.0649999999999999</c:v>
                </c:pt>
                <c:pt idx="10">
                  <c:v>3.7759999999999998</c:v>
                </c:pt>
                <c:pt idx="11">
                  <c:v>2.0649999999999999</c:v>
                </c:pt>
                <c:pt idx="12">
                  <c:v>2.0059999999999998</c:v>
                </c:pt>
                <c:pt idx="16">
                  <c:v>4.8380000000000001</c:v>
                </c:pt>
                <c:pt idx="20">
                  <c:v>3.7759999999999998</c:v>
                </c:pt>
                <c:pt idx="21">
                  <c:v>4.1890000000000001</c:v>
                </c:pt>
                <c:pt idx="23">
                  <c:v>3.7759999999999998</c:v>
                </c:pt>
                <c:pt idx="24">
                  <c:v>4.1890000000000001</c:v>
                </c:pt>
                <c:pt idx="25">
                  <c:v>4.7789999999999999</c:v>
                </c:pt>
                <c:pt idx="29">
                  <c:v>3.7759999999999998</c:v>
                </c:pt>
                <c:pt idx="33">
                  <c:v>5.4870000000000001</c:v>
                </c:pt>
                <c:pt idx="34">
                  <c:v>1.8879999999999999</c:v>
                </c:pt>
                <c:pt idx="35">
                  <c:v>5.9</c:v>
                </c:pt>
                <c:pt idx="39">
                  <c:v>4.0709999999999997</c:v>
                </c:pt>
                <c:pt idx="40">
                  <c:v>1.8879999999999999</c:v>
                </c:pt>
                <c:pt idx="41">
                  <c:v>1.8879999999999999</c:v>
                </c:pt>
                <c:pt idx="42">
                  <c:v>1.8879999999999999</c:v>
                </c:pt>
                <c:pt idx="43">
                  <c:v>1.8879999999999999</c:v>
                </c:pt>
                <c:pt idx="44">
                  <c:v>5.1920000000000002</c:v>
                </c:pt>
                <c:pt idx="48">
                  <c:v>4.8970000000000002</c:v>
                </c:pt>
                <c:pt idx="49">
                  <c:v>1.829</c:v>
                </c:pt>
                <c:pt idx="50">
                  <c:v>5.8410000000000002</c:v>
                </c:pt>
                <c:pt idx="54">
                  <c:v>3.6579999999999999</c:v>
                </c:pt>
                <c:pt idx="55">
                  <c:v>1.8879999999999999</c:v>
                </c:pt>
                <c:pt idx="56">
                  <c:v>4.6609999999999996</c:v>
                </c:pt>
                <c:pt idx="60">
                  <c:v>4.72</c:v>
                </c:pt>
                <c:pt idx="61">
                  <c:v>1.8879999999999999</c:v>
                </c:pt>
                <c:pt idx="62">
                  <c:v>1.9470000000000001</c:v>
                </c:pt>
                <c:pt idx="63">
                  <c:v>6.0179999999999998</c:v>
                </c:pt>
                <c:pt idx="67">
                  <c:v>4.0119999999999996</c:v>
                </c:pt>
                <c:pt idx="68">
                  <c:v>1.8879999999999999</c:v>
                </c:pt>
                <c:pt idx="69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DF-4787-BADE-4268F105E017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All!$ET$6:$ET$79</c:f>
              <c:numCache>
                <c:formatCode>General</c:formatCode>
                <c:ptCount val="74"/>
                <c:pt idx="0">
                  <c:v>0.41099999999999998</c:v>
                </c:pt>
                <c:pt idx="4">
                  <c:v>1.504</c:v>
                </c:pt>
                <c:pt idx="5">
                  <c:v>1.645</c:v>
                </c:pt>
                <c:pt idx="6">
                  <c:v>1.633</c:v>
                </c:pt>
                <c:pt idx="10">
                  <c:v>1.496</c:v>
                </c:pt>
                <c:pt idx="11">
                  <c:v>1.651</c:v>
                </c:pt>
                <c:pt idx="12">
                  <c:v>1.6259999999999999</c:v>
                </c:pt>
                <c:pt idx="16">
                  <c:v>1.4970000000000001</c:v>
                </c:pt>
                <c:pt idx="20">
                  <c:v>1.48</c:v>
                </c:pt>
                <c:pt idx="21">
                  <c:v>1.5860000000000001</c:v>
                </c:pt>
                <c:pt idx="23">
                  <c:v>1.48</c:v>
                </c:pt>
                <c:pt idx="24">
                  <c:v>1.5860000000000001</c:v>
                </c:pt>
                <c:pt idx="25">
                  <c:v>1.4279999999999999</c:v>
                </c:pt>
                <c:pt idx="29">
                  <c:v>1.35</c:v>
                </c:pt>
                <c:pt idx="33">
                  <c:v>0.97399999999999998</c:v>
                </c:pt>
                <c:pt idx="34">
                  <c:v>1.4330000000000001</c:v>
                </c:pt>
                <c:pt idx="35">
                  <c:v>1.61</c:v>
                </c:pt>
                <c:pt idx="39">
                  <c:v>0.76200000000000001</c:v>
                </c:pt>
                <c:pt idx="40">
                  <c:v>1.462</c:v>
                </c:pt>
                <c:pt idx="41">
                  <c:v>1.385</c:v>
                </c:pt>
                <c:pt idx="42">
                  <c:v>1.2909999999999999</c:v>
                </c:pt>
                <c:pt idx="43">
                  <c:v>0.94899999999999995</c:v>
                </c:pt>
                <c:pt idx="44">
                  <c:v>0.49399999999999999</c:v>
                </c:pt>
                <c:pt idx="48">
                  <c:v>0.85299999999999998</c:v>
                </c:pt>
                <c:pt idx="49">
                  <c:v>1.4410000000000001</c:v>
                </c:pt>
                <c:pt idx="50">
                  <c:v>1.3759999999999999</c:v>
                </c:pt>
                <c:pt idx="54">
                  <c:v>1.427</c:v>
                </c:pt>
                <c:pt idx="55">
                  <c:v>1.5129999999999999</c:v>
                </c:pt>
                <c:pt idx="56">
                  <c:v>1.4590000000000001</c:v>
                </c:pt>
                <c:pt idx="60">
                  <c:v>1.403</c:v>
                </c:pt>
                <c:pt idx="61">
                  <c:v>1.518</c:v>
                </c:pt>
                <c:pt idx="62">
                  <c:v>1.4610000000000001</c:v>
                </c:pt>
                <c:pt idx="63">
                  <c:v>1.3560000000000001</c:v>
                </c:pt>
                <c:pt idx="67">
                  <c:v>1.327</c:v>
                </c:pt>
                <c:pt idx="68">
                  <c:v>1.377</c:v>
                </c:pt>
                <c:pt idx="69">
                  <c:v>1.294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DF-4787-BADE-4268F105E017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1.298</c:v>
                </c:pt>
                <c:pt idx="6">
                  <c:v>0</c:v>
                </c:pt>
                <c:pt idx="10">
                  <c:v>0</c:v>
                </c:pt>
                <c:pt idx="11">
                  <c:v>1.0620000000000001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0.53100000000000003</c:v>
                </c:pt>
                <c:pt idx="35">
                  <c:v>0</c:v>
                </c:pt>
                <c:pt idx="39">
                  <c:v>0</c:v>
                </c:pt>
                <c:pt idx="40">
                  <c:v>0.53100000000000003</c:v>
                </c:pt>
                <c:pt idx="41">
                  <c:v>0.53100000000000003</c:v>
                </c:pt>
                <c:pt idx="42">
                  <c:v>0.53100000000000003</c:v>
                </c:pt>
                <c:pt idx="43">
                  <c:v>0.29499999999999998</c:v>
                </c:pt>
                <c:pt idx="44">
                  <c:v>0</c:v>
                </c:pt>
                <c:pt idx="48">
                  <c:v>0</c:v>
                </c:pt>
                <c:pt idx="49">
                  <c:v>0.53100000000000003</c:v>
                </c:pt>
                <c:pt idx="50">
                  <c:v>0</c:v>
                </c:pt>
                <c:pt idx="54">
                  <c:v>0</c:v>
                </c:pt>
                <c:pt idx="55">
                  <c:v>0.59</c:v>
                </c:pt>
                <c:pt idx="56">
                  <c:v>0</c:v>
                </c:pt>
                <c:pt idx="60">
                  <c:v>0</c:v>
                </c:pt>
                <c:pt idx="61">
                  <c:v>0.64900000000000002</c:v>
                </c:pt>
                <c:pt idx="62">
                  <c:v>0.53100000000000003</c:v>
                </c:pt>
                <c:pt idx="63">
                  <c:v>0</c:v>
                </c:pt>
                <c:pt idx="67">
                  <c:v>0</c:v>
                </c:pt>
                <c:pt idx="68">
                  <c:v>0.41299999999999998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DF-4787-BADE-4268F105E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85200"/>
        <c:axId val="436205584"/>
      </c:scatterChart>
      <c:valAx>
        <c:axId val="43618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5584"/>
        <c:crosses val="autoZero"/>
        <c:crossBetween val="midCat"/>
      </c:valAx>
      <c:valAx>
        <c:axId val="436205584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All!$GU$6:$GU$79</c:f>
              <c:numCache>
                <c:formatCode>General</c:formatCode>
                <c:ptCount val="74"/>
                <c:pt idx="0">
                  <c:v>5.782</c:v>
                </c:pt>
                <c:pt idx="4">
                  <c:v>3.54</c:v>
                </c:pt>
                <c:pt idx="5">
                  <c:v>1.8879999999999999</c:v>
                </c:pt>
                <c:pt idx="6">
                  <c:v>1.8879999999999999</c:v>
                </c:pt>
                <c:pt idx="10">
                  <c:v>4.6020000000000003</c:v>
                </c:pt>
                <c:pt idx="11">
                  <c:v>1.8879999999999999</c:v>
                </c:pt>
                <c:pt idx="12">
                  <c:v>1.8879999999999999</c:v>
                </c:pt>
                <c:pt idx="16">
                  <c:v>4.9560000000000004</c:v>
                </c:pt>
                <c:pt idx="20">
                  <c:v>3.9529999999999998</c:v>
                </c:pt>
                <c:pt idx="21">
                  <c:v>4.13</c:v>
                </c:pt>
                <c:pt idx="23">
                  <c:v>3.9529999999999998</c:v>
                </c:pt>
                <c:pt idx="24">
                  <c:v>4.13</c:v>
                </c:pt>
                <c:pt idx="25">
                  <c:v>4.6020000000000003</c:v>
                </c:pt>
                <c:pt idx="29">
                  <c:v>4.5430000000000001</c:v>
                </c:pt>
                <c:pt idx="33">
                  <c:v>4.7789999999999999</c:v>
                </c:pt>
                <c:pt idx="34">
                  <c:v>1.829</c:v>
                </c:pt>
                <c:pt idx="35">
                  <c:v>5.6639999999999997</c:v>
                </c:pt>
                <c:pt idx="39">
                  <c:v>4.13</c:v>
                </c:pt>
                <c:pt idx="40">
                  <c:v>1.829</c:v>
                </c:pt>
                <c:pt idx="41">
                  <c:v>1.829</c:v>
                </c:pt>
                <c:pt idx="42">
                  <c:v>1.829</c:v>
                </c:pt>
                <c:pt idx="43">
                  <c:v>1.7110000000000001</c:v>
                </c:pt>
                <c:pt idx="44">
                  <c:v>5.3689999999999998</c:v>
                </c:pt>
                <c:pt idx="48">
                  <c:v>4.3659999999999997</c:v>
                </c:pt>
                <c:pt idx="49">
                  <c:v>1.7110000000000001</c:v>
                </c:pt>
                <c:pt idx="50">
                  <c:v>5.1920000000000002</c:v>
                </c:pt>
                <c:pt idx="54">
                  <c:v>3.835</c:v>
                </c:pt>
                <c:pt idx="55">
                  <c:v>1.829</c:v>
                </c:pt>
                <c:pt idx="56">
                  <c:v>6.0179999999999998</c:v>
                </c:pt>
                <c:pt idx="60">
                  <c:v>4.3070000000000004</c:v>
                </c:pt>
                <c:pt idx="61">
                  <c:v>1.829</c:v>
                </c:pt>
                <c:pt idx="62">
                  <c:v>1.829</c:v>
                </c:pt>
                <c:pt idx="63">
                  <c:v>5.2510000000000003</c:v>
                </c:pt>
                <c:pt idx="67">
                  <c:v>3.8940000000000001</c:v>
                </c:pt>
                <c:pt idx="68">
                  <c:v>1.829</c:v>
                </c:pt>
                <c:pt idx="69">
                  <c:v>1.829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8-44DC-B2E2-EA5F6C156FD8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All!$EU$6:$EU$79</c:f>
              <c:numCache>
                <c:formatCode>General</c:formatCode>
                <c:ptCount val="74"/>
                <c:pt idx="0">
                  <c:v>0.378</c:v>
                </c:pt>
                <c:pt idx="4">
                  <c:v>1.4239999999999999</c:v>
                </c:pt>
                <c:pt idx="5">
                  <c:v>1.512</c:v>
                </c:pt>
                <c:pt idx="6">
                  <c:v>1.4810000000000001</c:v>
                </c:pt>
                <c:pt idx="10">
                  <c:v>1.341</c:v>
                </c:pt>
                <c:pt idx="11">
                  <c:v>1.4370000000000001</c:v>
                </c:pt>
                <c:pt idx="12">
                  <c:v>1.4510000000000001</c:v>
                </c:pt>
                <c:pt idx="16">
                  <c:v>1.349</c:v>
                </c:pt>
                <c:pt idx="20">
                  <c:v>1.3109999999999999</c:v>
                </c:pt>
                <c:pt idx="21">
                  <c:v>1.415</c:v>
                </c:pt>
                <c:pt idx="23">
                  <c:v>1.3109999999999999</c:v>
                </c:pt>
                <c:pt idx="24">
                  <c:v>1.415</c:v>
                </c:pt>
                <c:pt idx="25">
                  <c:v>1.3029999999999999</c:v>
                </c:pt>
                <c:pt idx="29">
                  <c:v>1.206</c:v>
                </c:pt>
                <c:pt idx="33">
                  <c:v>0.86399999999999999</c:v>
                </c:pt>
                <c:pt idx="34">
                  <c:v>1.2509999999999999</c:v>
                </c:pt>
                <c:pt idx="35">
                  <c:v>1.5169999999999999</c:v>
                </c:pt>
                <c:pt idx="39">
                  <c:v>0.67100000000000004</c:v>
                </c:pt>
                <c:pt idx="40">
                  <c:v>1.274</c:v>
                </c:pt>
                <c:pt idx="41">
                  <c:v>1.198</c:v>
                </c:pt>
                <c:pt idx="42">
                  <c:v>1.0920000000000001</c:v>
                </c:pt>
                <c:pt idx="43">
                  <c:v>0.76400000000000001</c:v>
                </c:pt>
                <c:pt idx="44">
                  <c:v>0.48299999999999998</c:v>
                </c:pt>
                <c:pt idx="48">
                  <c:v>0.75800000000000001</c:v>
                </c:pt>
                <c:pt idx="49">
                  <c:v>1.27</c:v>
                </c:pt>
                <c:pt idx="50">
                  <c:v>1.254</c:v>
                </c:pt>
                <c:pt idx="54">
                  <c:v>1.262</c:v>
                </c:pt>
                <c:pt idx="55">
                  <c:v>1.3049999999999999</c:v>
                </c:pt>
                <c:pt idx="56">
                  <c:v>1.2989999999999999</c:v>
                </c:pt>
                <c:pt idx="60">
                  <c:v>1.248</c:v>
                </c:pt>
                <c:pt idx="61">
                  <c:v>1.3360000000000001</c:v>
                </c:pt>
                <c:pt idx="62">
                  <c:v>1.278</c:v>
                </c:pt>
                <c:pt idx="63">
                  <c:v>1.2210000000000001</c:v>
                </c:pt>
                <c:pt idx="67">
                  <c:v>1.173</c:v>
                </c:pt>
                <c:pt idx="68">
                  <c:v>1.2</c:v>
                </c:pt>
                <c:pt idx="69">
                  <c:v>1.0980000000000001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A8-44DC-B2E2-EA5F6C156FD8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0.70799999999999996</c:v>
                </c:pt>
                <c:pt idx="6">
                  <c:v>0</c:v>
                </c:pt>
                <c:pt idx="10">
                  <c:v>0</c:v>
                </c:pt>
                <c:pt idx="11">
                  <c:v>0.59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0.47199999999999998</c:v>
                </c:pt>
                <c:pt idx="35">
                  <c:v>0</c:v>
                </c:pt>
                <c:pt idx="39">
                  <c:v>0</c:v>
                </c:pt>
                <c:pt idx="40">
                  <c:v>0.47199999999999998</c:v>
                </c:pt>
                <c:pt idx="41">
                  <c:v>0.41299999999999998</c:v>
                </c:pt>
                <c:pt idx="42">
                  <c:v>0.35399999999999998</c:v>
                </c:pt>
                <c:pt idx="43">
                  <c:v>0.23599999999999999</c:v>
                </c:pt>
                <c:pt idx="44">
                  <c:v>0</c:v>
                </c:pt>
                <c:pt idx="48">
                  <c:v>0</c:v>
                </c:pt>
                <c:pt idx="49">
                  <c:v>0.53100000000000003</c:v>
                </c:pt>
                <c:pt idx="50">
                  <c:v>0</c:v>
                </c:pt>
                <c:pt idx="54">
                  <c:v>0</c:v>
                </c:pt>
                <c:pt idx="55">
                  <c:v>0.53100000000000003</c:v>
                </c:pt>
                <c:pt idx="56">
                  <c:v>0</c:v>
                </c:pt>
                <c:pt idx="60">
                  <c:v>0</c:v>
                </c:pt>
                <c:pt idx="61">
                  <c:v>0.53100000000000003</c:v>
                </c:pt>
                <c:pt idx="62">
                  <c:v>0.47199999999999998</c:v>
                </c:pt>
                <c:pt idx="63">
                  <c:v>0</c:v>
                </c:pt>
                <c:pt idx="67">
                  <c:v>0</c:v>
                </c:pt>
                <c:pt idx="68">
                  <c:v>0.41299999999999998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A8-44DC-B2E2-EA5F6C156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70224"/>
        <c:axId val="436181040"/>
      </c:scatterChart>
      <c:valAx>
        <c:axId val="43617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1040"/>
        <c:crosses val="autoZero"/>
        <c:crossBetween val="midCat"/>
      </c:valAx>
      <c:valAx>
        <c:axId val="43618104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12.544</c:v>
                </c:pt>
                <c:pt idx="6">
                  <c:v>0</c:v>
                </c:pt>
                <c:pt idx="10">
                  <c:v>0</c:v>
                </c:pt>
                <c:pt idx="11">
                  <c:v>13.132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12.641999999999999</c:v>
                </c:pt>
                <c:pt idx="35">
                  <c:v>0</c:v>
                </c:pt>
                <c:pt idx="39">
                  <c:v>0</c:v>
                </c:pt>
                <c:pt idx="40">
                  <c:v>12.446</c:v>
                </c:pt>
                <c:pt idx="41">
                  <c:v>12.74</c:v>
                </c:pt>
                <c:pt idx="42">
                  <c:v>12.936</c:v>
                </c:pt>
                <c:pt idx="43">
                  <c:v>8.2319999999999993</c:v>
                </c:pt>
                <c:pt idx="44">
                  <c:v>0</c:v>
                </c:pt>
                <c:pt idx="48">
                  <c:v>0</c:v>
                </c:pt>
                <c:pt idx="49">
                  <c:v>11.956</c:v>
                </c:pt>
                <c:pt idx="50">
                  <c:v>0</c:v>
                </c:pt>
                <c:pt idx="54">
                  <c:v>0</c:v>
                </c:pt>
                <c:pt idx="55">
                  <c:v>12.054</c:v>
                </c:pt>
                <c:pt idx="56">
                  <c:v>0</c:v>
                </c:pt>
                <c:pt idx="60">
                  <c:v>0</c:v>
                </c:pt>
                <c:pt idx="61">
                  <c:v>12.641999999999999</c:v>
                </c:pt>
                <c:pt idx="62">
                  <c:v>12.74</c:v>
                </c:pt>
                <c:pt idx="63">
                  <c:v>0</c:v>
                </c:pt>
                <c:pt idx="67">
                  <c:v>0</c:v>
                </c:pt>
                <c:pt idx="68">
                  <c:v>12.936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F-454E-928A-9200B6EB3DD0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All!$GW$6:$GW$79</c:f>
              <c:numCache>
                <c:formatCode>General</c:formatCode>
                <c:ptCount val="74"/>
                <c:pt idx="0">
                  <c:v>3.7090000000000001</c:v>
                </c:pt>
                <c:pt idx="4">
                  <c:v>12.845000000000001</c:v>
                </c:pt>
                <c:pt idx="5">
                  <c:v>13.928000000000001</c:v>
                </c:pt>
                <c:pt idx="6">
                  <c:v>13.818</c:v>
                </c:pt>
                <c:pt idx="10">
                  <c:v>12.773999999999999</c:v>
                </c:pt>
                <c:pt idx="11">
                  <c:v>14.138</c:v>
                </c:pt>
                <c:pt idx="12">
                  <c:v>14.065</c:v>
                </c:pt>
                <c:pt idx="16">
                  <c:v>12.904</c:v>
                </c:pt>
                <c:pt idx="20">
                  <c:v>12.882999999999999</c:v>
                </c:pt>
                <c:pt idx="21">
                  <c:v>13.978</c:v>
                </c:pt>
                <c:pt idx="23">
                  <c:v>12.882999999999999</c:v>
                </c:pt>
                <c:pt idx="24">
                  <c:v>13.978</c:v>
                </c:pt>
                <c:pt idx="25">
                  <c:v>12.946</c:v>
                </c:pt>
                <c:pt idx="29">
                  <c:v>12.898999999999999</c:v>
                </c:pt>
                <c:pt idx="33">
                  <c:v>8.9809999999999999</c:v>
                </c:pt>
                <c:pt idx="34">
                  <c:v>13.965</c:v>
                </c:pt>
                <c:pt idx="35">
                  <c:v>14.186</c:v>
                </c:pt>
                <c:pt idx="39">
                  <c:v>7.0149999999999997</c:v>
                </c:pt>
                <c:pt idx="40">
                  <c:v>14.054</c:v>
                </c:pt>
                <c:pt idx="41">
                  <c:v>13.971</c:v>
                </c:pt>
                <c:pt idx="42">
                  <c:v>14.042</c:v>
                </c:pt>
                <c:pt idx="43">
                  <c:v>13.968999999999999</c:v>
                </c:pt>
                <c:pt idx="44">
                  <c:v>13.959</c:v>
                </c:pt>
                <c:pt idx="48">
                  <c:v>7.085</c:v>
                </c:pt>
                <c:pt idx="49">
                  <c:v>13.672000000000001</c:v>
                </c:pt>
                <c:pt idx="50">
                  <c:v>11.565</c:v>
                </c:pt>
                <c:pt idx="54">
                  <c:v>12.835000000000001</c:v>
                </c:pt>
                <c:pt idx="55">
                  <c:v>14.012</c:v>
                </c:pt>
                <c:pt idx="56">
                  <c:v>13.515000000000001</c:v>
                </c:pt>
                <c:pt idx="60">
                  <c:v>12.247</c:v>
                </c:pt>
                <c:pt idx="61">
                  <c:v>14.048</c:v>
                </c:pt>
                <c:pt idx="62">
                  <c:v>14.11</c:v>
                </c:pt>
                <c:pt idx="63">
                  <c:v>11.581</c:v>
                </c:pt>
                <c:pt idx="67">
                  <c:v>12.792999999999999</c:v>
                </c:pt>
                <c:pt idx="68">
                  <c:v>14.042999999999999</c:v>
                </c:pt>
                <c:pt idx="69">
                  <c:v>13.984999999999999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F-454E-928A-9200B6EB3DD0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All!$GX$6:$GX$79</c:f>
              <c:numCache>
                <c:formatCode>General</c:formatCode>
                <c:ptCount val="74"/>
                <c:pt idx="0">
                  <c:v>24.99</c:v>
                </c:pt>
                <c:pt idx="4">
                  <c:v>19.893999999999998</c:v>
                </c:pt>
                <c:pt idx="5">
                  <c:v>15.778</c:v>
                </c:pt>
                <c:pt idx="6">
                  <c:v>14.994</c:v>
                </c:pt>
                <c:pt idx="10">
                  <c:v>20.384</c:v>
                </c:pt>
                <c:pt idx="11">
                  <c:v>16.66</c:v>
                </c:pt>
                <c:pt idx="12">
                  <c:v>16.66</c:v>
                </c:pt>
                <c:pt idx="16">
                  <c:v>24.99</c:v>
                </c:pt>
                <c:pt idx="20">
                  <c:v>18.423999999999999</c:v>
                </c:pt>
                <c:pt idx="21">
                  <c:v>22.736000000000001</c:v>
                </c:pt>
                <c:pt idx="23">
                  <c:v>18.423999999999999</c:v>
                </c:pt>
                <c:pt idx="24">
                  <c:v>22.736000000000001</c:v>
                </c:pt>
                <c:pt idx="25">
                  <c:v>19.404</c:v>
                </c:pt>
                <c:pt idx="29">
                  <c:v>20.58</c:v>
                </c:pt>
                <c:pt idx="33">
                  <c:v>24.01</c:v>
                </c:pt>
                <c:pt idx="34">
                  <c:v>16.366</c:v>
                </c:pt>
                <c:pt idx="35">
                  <c:v>24.99</c:v>
                </c:pt>
                <c:pt idx="39">
                  <c:v>20.776</c:v>
                </c:pt>
                <c:pt idx="40">
                  <c:v>16.071999999999999</c:v>
                </c:pt>
                <c:pt idx="41">
                  <c:v>16.268000000000001</c:v>
                </c:pt>
                <c:pt idx="42">
                  <c:v>15.875999999999999</c:v>
                </c:pt>
                <c:pt idx="43">
                  <c:v>16.071999999999999</c:v>
                </c:pt>
                <c:pt idx="44">
                  <c:v>24.99</c:v>
                </c:pt>
                <c:pt idx="48">
                  <c:v>24.99</c:v>
                </c:pt>
                <c:pt idx="49">
                  <c:v>15.875999999999999</c:v>
                </c:pt>
                <c:pt idx="50">
                  <c:v>16.366</c:v>
                </c:pt>
                <c:pt idx="54">
                  <c:v>18.718</c:v>
                </c:pt>
                <c:pt idx="55">
                  <c:v>15.778</c:v>
                </c:pt>
                <c:pt idx="56">
                  <c:v>16.071999999999999</c:v>
                </c:pt>
                <c:pt idx="60">
                  <c:v>18.718</c:v>
                </c:pt>
                <c:pt idx="61">
                  <c:v>16.66</c:v>
                </c:pt>
                <c:pt idx="62">
                  <c:v>16.268000000000001</c:v>
                </c:pt>
                <c:pt idx="63">
                  <c:v>16.170000000000002</c:v>
                </c:pt>
                <c:pt idx="67">
                  <c:v>20.384</c:v>
                </c:pt>
                <c:pt idx="68">
                  <c:v>16.071999999999999</c:v>
                </c:pt>
                <c:pt idx="69">
                  <c:v>15.974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F-454E-928A-9200B6EB3DD0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DF-454E-928A-9200B6EB3DD0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DF-454E-928A-9200B6EB3DD0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DF-454E-928A-9200B6EB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8912"/>
        <c:axId val="436188528"/>
      </c:scatterChart>
      <c:valAx>
        <c:axId val="43620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8528"/>
        <c:crosses val="autoZero"/>
        <c:crossBetween val="midCat"/>
      </c:valAx>
      <c:valAx>
        <c:axId val="436188528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20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All!$BS$6:$BS$79</c:f>
              <c:numCache>
                <c:formatCode>General</c:formatCode>
                <c:ptCount val="74"/>
                <c:pt idx="0">
                  <c:v>23.4</c:v>
                </c:pt>
                <c:pt idx="4">
                  <c:v>25.7</c:v>
                </c:pt>
                <c:pt idx="5">
                  <c:v>26.9</c:v>
                </c:pt>
                <c:pt idx="6">
                  <c:v>27.7</c:v>
                </c:pt>
                <c:pt idx="10">
                  <c:v>27.8</c:v>
                </c:pt>
                <c:pt idx="11">
                  <c:v>28</c:v>
                </c:pt>
                <c:pt idx="12">
                  <c:v>28.1</c:v>
                </c:pt>
                <c:pt idx="16">
                  <c:v>28</c:v>
                </c:pt>
                <c:pt idx="20">
                  <c:v>28.9</c:v>
                </c:pt>
                <c:pt idx="21">
                  <c:v>29</c:v>
                </c:pt>
                <c:pt idx="23">
                  <c:v>28.9</c:v>
                </c:pt>
                <c:pt idx="24">
                  <c:v>29</c:v>
                </c:pt>
                <c:pt idx="25">
                  <c:v>28.3</c:v>
                </c:pt>
                <c:pt idx="29">
                  <c:v>28.4</c:v>
                </c:pt>
                <c:pt idx="33">
                  <c:v>25.3</c:v>
                </c:pt>
                <c:pt idx="34">
                  <c:v>24.4</c:v>
                </c:pt>
                <c:pt idx="35">
                  <c:v>23.6</c:v>
                </c:pt>
                <c:pt idx="39">
                  <c:v>23.8</c:v>
                </c:pt>
                <c:pt idx="40">
                  <c:v>23.7</c:v>
                </c:pt>
                <c:pt idx="41">
                  <c:v>23.4</c:v>
                </c:pt>
                <c:pt idx="42">
                  <c:v>23</c:v>
                </c:pt>
                <c:pt idx="43">
                  <c:v>22.7</c:v>
                </c:pt>
                <c:pt idx="44">
                  <c:v>22</c:v>
                </c:pt>
                <c:pt idx="48">
                  <c:v>24.8</c:v>
                </c:pt>
                <c:pt idx="49">
                  <c:v>23.3</c:v>
                </c:pt>
                <c:pt idx="50">
                  <c:v>23.4</c:v>
                </c:pt>
                <c:pt idx="54">
                  <c:v>23.9</c:v>
                </c:pt>
                <c:pt idx="55">
                  <c:v>23.6</c:v>
                </c:pt>
                <c:pt idx="56">
                  <c:v>23.5</c:v>
                </c:pt>
                <c:pt idx="60">
                  <c:v>23.7</c:v>
                </c:pt>
                <c:pt idx="61">
                  <c:v>23.5</c:v>
                </c:pt>
                <c:pt idx="62">
                  <c:v>23.5</c:v>
                </c:pt>
                <c:pt idx="63">
                  <c:v>23.4</c:v>
                </c:pt>
                <c:pt idx="67">
                  <c:v>24</c:v>
                </c:pt>
                <c:pt idx="68">
                  <c:v>23.3</c:v>
                </c:pt>
                <c:pt idx="69">
                  <c:v>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38-4A72-8CE6-E84600C423A7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All!$FB$6:$FB$79</c:f>
              <c:numCache>
                <c:formatCode>General</c:formatCode>
                <c:ptCount val="74"/>
                <c:pt idx="0">
                  <c:v>5.45</c:v>
                </c:pt>
                <c:pt idx="4">
                  <c:v>9.0470000000000006</c:v>
                </c:pt>
                <c:pt idx="5">
                  <c:v>9.093</c:v>
                </c:pt>
                <c:pt idx="6">
                  <c:v>9.1760000000000002</c:v>
                </c:pt>
                <c:pt idx="10">
                  <c:v>8.4120000000000008</c:v>
                </c:pt>
                <c:pt idx="11">
                  <c:v>9.1359999999999992</c:v>
                </c:pt>
                <c:pt idx="12">
                  <c:v>9.19</c:v>
                </c:pt>
                <c:pt idx="16">
                  <c:v>8.2040000000000006</c:v>
                </c:pt>
                <c:pt idx="20">
                  <c:v>8.2089999999999996</c:v>
                </c:pt>
                <c:pt idx="21">
                  <c:v>9.1630000000000003</c:v>
                </c:pt>
                <c:pt idx="23">
                  <c:v>8.2089999999999996</c:v>
                </c:pt>
                <c:pt idx="24">
                  <c:v>9.1630000000000003</c:v>
                </c:pt>
                <c:pt idx="25">
                  <c:v>8.2680000000000007</c:v>
                </c:pt>
                <c:pt idx="29">
                  <c:v>8.2810000000000006</c:v>
                </c:pt>
                <c:pt idx="33">
                  <c:v>6.4580000000000002</c:v>
                </c:pt>
                <c:pt idx="34">
                  <c:v>8.8840000000000003</c:v>
                </c:pt>
                <c:pt idx="35">
                  <c:v>9.1980000000000004</c:v>
                </c:pt>
                <c:pt idx="39">
                  <c:v>4.3949999999999996</c:v>
                </c:pt>
                <c:pt idx="40">
                  <c:v>8.9719999999999995</c:v>
                </c:pt>
                <c:pt idx="41">
                  <c:v>9.1620000000000008</c:v>
                </c:pt>
                <c:pt idx="42">
                  <c:v>9.2050000000000001</c:v>
                </c:pt>
                <c:pt idx="43">
                  <c:v>9.2070000000000007</c:v>
                </c:pt>
                <c:pt idx="44">
                  <c:v>9.39</c:v>
                </c:pt>
                <c:pt idx="48">
                  <c:v>3.9319999999999999</c:v>
                </c:pt>
                <c:pt idx="49">
                  <c:v>8.44</c:v>
                </c:pt>
                <c:pt idx="50">
                  <c:v>8.6280000000000001</c:v>
                </c:pt>
                <c:pt idx="54">
                  <c:v>8.8360000000000003</c:v>
                </c:pt>
                <c:pt idx="55">
                  <c:v>8.9700000000000006</c:v>
                </c:pt>
                <c:pt idx="56">
                  <c:v>9.0510000000000002</c:v>
                </c:pt>
                <c:pt idx="60">
                  <c:v>8.7789999999999999</c:v>
                </c:pt>
                <c:pt idx="61">
                  <c:v>8.968</c:v>
                </c:pt>
                <c:pt idx="62">
                  <c:v>8.9779999999999998</c:v>
                </c:pt>
                <c:pt idx="63">
                  <c:v>8.9969999999999999</c:v>
                </c:pt>
                <c:pt idx="67">
                  <c:v>8.7769999999999992</c:v>
                </c:pt>
                <c:pt idx="68">
                  <c:v>8.9730000000000008</c:v>
                </c:pt>
                <c:pt idx="69">
                  <c:v>9.0419999999999998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38-4A72-8CE6-E84600C42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83952"/>
        <c:axId val="436170640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All!$EJ$6:$EJ$79</c:f>
              <c:numCache>
                <c:formatCode>General</c:formatCode>
                <c:ptCount val="74"/>
                <c:pt idx="0">
                  <c:v>2.8959999999999999</c:v>
                </c:pt>
                <c:pt idx="4">
                  <c:v>5.13</c:v>
                </c:pt>
                <c:pt idx="5">
                  <c:v>5.8840000000000003</c:v>
                </c:pt>
                <c:pt idx="6">
                  <c:v>6.6360000000000001</c:v>
                </c:pt>
                <c:pt idx="10">
                  <c:v>6.6150000000000002</c:v>
                </c:pt>
                <c:pt idx="11">
                  <c:v>7.0359999999999996</c:v>
                </c:pt>
                <c:pt idx="12">
                  <c:v>7.42</c:v>
                </c:pt>
                <c:pt idx="16">
                  <c:v>6.4539999999999997</c:v>
                </c:pt>
                <c:pt idx="20">
                  <c:v>6.4649999999999999</c:v>
                </c:pt>
                <c:pt idx="21">
                  <c:v>7.3390000000000004</c:v>
                </c:pt>
                <c:pt idx="23">
                  <c:v>6.4649999999999999</c:v>
                </c:pt>
                <c:pt idx="24">
                  <c:v>7.3390000000000004</c:v>
                </c:pt>
                <c:pt idx="25">
                  <c:v>6.8339999999999996</c:v>
                </c:pt>
                <c:pt idx="29">
                  <c:v>6.9870000000000001</c:v>
                </c:pt>
                <c:pt idx="33">
                  <c:v>5.5220000000000002</c:v>
                </c:pt>
                <c:pt idx="34">
                  <c:v>5.7939999999999996</c:v>
                </c:pt>
                <c:pt idx="35">
                  <c:v>6.67</c:v>
                </c:pt>
                <c:pt idx="39">
                  <c:v>4.766</c:v>
                </c:pt>
                <c:pt idx="40">
                  <c:v>6.0670000000000002</c:v>
                </c:pt>
                <c:pt idx="41">
                  <c:v>5.31</c:v>
                </c:pt>
                <c:pt idx="42">
                  <c:v>4.827</c:v>
                </c:pt>
                <c:pt idx="43">
                  <c:v>4.7969999999999997</c:v>
                </c:pt>
                <c:pt idx="44">
                  <c:v>4.9000000000000004</c:v>
                </c:pt>
                <c:pt idx="48">
                  <c:v>6.55</c:v>
                </c:pt>
                <c:pt idx="49">
                  <c:v>6.0119999999999996</c:v>
                </c:pt>
                <c:pt idx="50">
                  <c:v>6.1959999999999997</c:v>
                </c:pt>
                <c:pt idx="54">
                  <c:v>6.4690000000000003</c:v>
                </c:pt>
                <c:pt idx="55">
                  <c:v>6.53</c:v>
                </c:pt>
                <c:pt idx="56">
                  <c:v>6.3860000000000001</c:v>
                </c:pt>
                <c:pt idx="60">
                  <c:v>6.5259999999999998</c:v>
                </c:pt>
                <c:pt idx="61">
                  <c:v>6.4930000000000003</c:v>
                </c:pt>
                <c:pt idx="62">
                  <c:v>6.4969999999999999</c:v>
                </c:pt>
                <c:pt idx="63">
                  <c:v>6.7389999999999999</c:v>
                </c:pt>
                <c:pt idx="67">
                  <c:v>6.9850000000000003</c:v>
                </c:pt>
                <c:pt idx="68">
                  <c:v>6.5049999999999999</c:v>
                </c:pt>
                <c:pt idx="69">
                  <c:v>6.6310000000000002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38-4A72-8CE6-E84600C42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0688"/>
        <c:axId val="375149424"/>
      </c:scatterChart>
      <c:valAx>
        <c:axId val="43618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70640"/>
        <c:crosses val="autoZero"/>
        <c:crossBetween val="midCat"/>
      </c:valAx>
      <c:valAx>
        <c:axId val="436170640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3952"/>
        <c:crosses val="autoZero"/>
        <c:crossBetween val="midCat"/>
      </c:valAx>
      <c:valAx>
        <c:axId val="375149424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0688"/>
        <c:crosses val="max"/>
        <c:crossBetween val="midCat"/>
      </c:valAx>
      <c:valAx>
        <c:axId val="375140688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4942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All!$HB$6:$HB$79</c:f>
              <c:numCache>
                <c:formatCode>General</c:formatCode>
                <c:ptCount val="74"/>
                <c:pt idx="0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6">
                  <c:v>1</c:v>
                </c:pt>
                <c:pt idx="20">
                  <c:v>1</c:v>
                </c:pt>
                <c:pt idx="21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9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4-46D3-B684-31B120CAA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8512"/>
        <c:axId val="436185200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All!$HC$6:$HC$79</c:f>
              <c:numCache>
                <c:formatCode>General</c:formatCode>
                <c:ptCount val="74"/>
                <c:pt idx="0">
                  <c:v>17.434000000000001</c:v>
                </c:pt>
                <c:pt idx="4">
                  <c:v>24.934000000000001</c:v>
                </c:pt>
                <c:pt idx="5">
                  <c:v>23.606000000000002</c:v>
                </c:pt>
                <c:pt idx="6">
                  <c:v>24.215</c:v>
                </c:pt>
                <c:pt idx="10">
                  <c:v>25.643999999999998</c:v>
                </c:pt>
                <c:pt idx="11">
                  <c:v>23.89</c:v>
                </c:pt>
                <c:pt idx="12">
                  <c:v>24.068000000000001</c:v>
                </c:pt>
                <c:pt idx="16">
                  <c:v>25.536999999999999</c:v>
                </c:pt>
                <c:pt idx="20">
                  <c:v>27.497</c:v>
                </c:pt>
                <c:pt idx="21">
                  <c:v>23.79</c:v>
                </c:pt>
                <c:pt idx="23">
                  <c:v>27.497</c:v>
                </c:pt>
                <c:pt idx="24">
                  <c:v>23.79</c:v>
                </c:pt>
                <c:pt idx="25">
                  <c:v>29.384</c:v>
                </c:pt>
                <c:pt idx="29">
                  <c:v>30.065000000000001</c:v>
                </c:pt>
                <c:pt idx="33">
                  <c:v>36.072000000000003</c:v>
                </c:pt>
                <c:pt idx="34">
                  <c:v>37.801000000000002</c:v>
                </c:pt>
                <c:pt idx="35">
                  <c:v>35.356999999999999</c:v>
                </c:pt>
                <c:pt idx="39">
                  <c:v>33.908999999999999</c:v>
                </c:pt>
                <c:pt idx="40">
                  <c:v>38.314</c:v>
                </c:pt>
                <c:pt idx="41">
                  <c:v>37.896999999999998</c:v>
                </c:pt>
                <c:pt idx="42">
                  <c:v>37.262</c:v>
                </c:pt>
                <c:pt idx="43">
                  <c:v>37.338000000000001</c:v>
                </c:pt>
                <c:pt idx="44">
                  <c:v>35.252000000000002</c:v>
                </c:pt>
                <c:pt idx="48">
                  <c:v>31.678000000000001</c:v>
                </c:pt>
                <c:pt idx="49">
                  <c:v>56.475999999999999</c:v>
                </c:pt>
                <c:pt idx="50">
                  <c:v>50.625999999999998</c:v>
                </c:pt>
                <c:pt idx="54">
                  <c:v>45.277000000000001</c:v>
                </c:pt>
                <c:pt idx="55">
                  <c:v>37.325000000000003</c:v>
                </c:pt>
                <c:pt idx="56">
                  <c:v>34.715000000000003</c:v>
                </c:pt>
                <c:pt idx="60">
                  <c:v>35.201999999999998</c:v>
                </c:pt>
                <c:pt idx="61">
                  <c:v>36.843000000000004</c:v>
                </c:pt>
                <c:pt idx="62">
                  <c:v>36.963000000000001</c:v>
                </c:pt>
                <c:pt idx="63">
                  <c:v>32.253999999999998</c:v>
                </c:pt>
                <c:pt idx="67">
                  <c:v>39.734000000000002</c:v>
                </c:pt>
                <c:pt idx="68">
                  <c:v>37.057000000000002</c:v>
                </c:pt>
                <c:pt idx="69">
                  <c:v>35.786999999999999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A4-46D3-B684-31B120CAA177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All!$HD$6:$HD$79</c:f>
              <c:numCache>
                <c:formatCode>General</c:formatCode>
                <c:ptCount val="74"/>
                <c:pt idx="0">
                  <c:v>82</c:v>
                </c:pt>
                <c:pt idx="4">
                  <c:v>82</c:v>
                </c:pt>
                <c:pt idx="5">
                  <c:v>90</c:v>
                </c:pt>
                <c:pt idx="6">
                  <c:v>98</c:v>
                </c:pt>
                <c:pt idx="10">
                  <c:v>102</c:v>
                </c:pt>
                <c:pt idx="11">
                  <c:v>90</c:v>
                </c:pt>
                <c:pt idx="12">
                  <c:v>94</c:v>
                </c:pt>
                <c:pt idx="16">
                  <c:v>90</c:v>
                </c:pt>
                <c:pt idx="20">
                  <c:v>94</c:v>
                </c:pt>
                <c:pt idx="21">
                  <c:v>98</c:v>
                </c:pt>
                <c:pt idx="23">
                  <c:v>94</c:v>
                </c:pt>
                <c:pt idx="24">
                  <c:v>98</c:v>
                </c:pt>
                <c:pt idx="25">
                  <c:v>94</c:v>
                </c:pt>
                <c:pt idx="29">
                  <c:v>98</c:v>
                </c:pt>
                <c:pt idx="33">
                  <c:v>86</c:v>
                </c:pt>
                <c:pt idx="34">
                  <c:v>90</c:v>
                </c:pt>
                <c:pt idx="35">
                  <c:v>94</c:v>
                </c:pt>
                <c:pt idx="39">
                  <c:v>86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8">
                  <c:v>86</c:v>
                </c:pt>
                <c:pt idx="49">
                  <c:v>90</c:v>
                </c:pt>
                <c:pt idx="50">
                  <c:v>98</c:v>
                </c:pt>
                <c:pt idx="54">
                  <c:v>106</c:v>
                </c:pt>
                <c:pt idx="55">
                  <c:v>90</c:v>
                </c:pt>
                <c:pt idx="56">
                  <c:v>90</c:v>
                </c:pt>
                <c:pt idx="60">
                  <c:v>98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A4-46D3-B684-31B120CAA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3600"/>
        <c:axId val="375139440"/>
      </c:scatterChart>
      <c:valAx>
        <c:axId val="43619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85200"/>
        <c:crosses val="autoZero"/>
        <c:crossBetween val="midCat"/>
      </c:valAx>
      <c:valAx>
        <c:axId val="436185200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8512"/>
        <c:crosses val="autoZero"/>
        <c:crossBetween val="midCat"/>
      </c:valAx>
      <c:valAx>
        <c:axId val="375139440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3600"/>
        <c:crosses val="max"/>
        <c:crossBetween val="midCat"/>
      </c:valAx>
      <c:valAx>
        <c:axId val="375143600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3944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534-9A30-5EC447249FCD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534-9A30-5EC447249FCD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8A-4534-9A30-5EC447249FCD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A-4534-9A30-5EC447249FCD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8A-4534-9A30-5EC447249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60656"/>
        <c:axId val="436169392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All!$HG$6:$HG$79</c:f>
              <c:numCache>
                <c:formatCode>General</c:formatCode>
                <c:ptCount val="74"/>
                <c:pt idx="0">
                  <c:v>87</c:v>
                </c:pt>
                <c:pt idx="4">
                  <c:v>79.89</c:v>
                </c:pt>
                <c:pt idx="5">
                  <c:v>84.12</c:v>
                </c:pt>
                <c:pt idx="6">
                  <c:v>83.56</c:v>
                </c:pt>
                <c:pt idx="10">
                  <c:v>75.06</c:v>
                </c:pt>
                <c:pt idx="11">
                  <c:v>72.73</c:v>
                </c:pt>
                <c:pt idx="12">
                  <c:v>72.14</c:v>
                </c:pt>
                <c:pt idx="16">
                  <c:v>76.31</c:v>
                </c:pt>
                <c:pt idx="20">
                  <c:v>78.55</c:v>
                </c:pt>
                <c:pt idx="21">
                  <c:v>72.349999999999994</c:v>
                </c:pt>
                <c:pt idx="23">
                  <c:v>78.55</c:v>
                </c:pt>
                <c:pt idx="24">
                  <c:v>72.349999999999994</c:v>
                </c:pt>
                <c:pt idx="25">
                  <c:v>77.290000000000006</c:v>
                </c:pt>
                <c:pt idx="29">
                  <c:v>90.64</c:v>
                </c:pt>
                <c:pt idx="33">
                  <c:v>88.67</c:v>
                </c:pt>
                <c:pt idx="34">
                  <c:v>84.93</c:v>
                </c:pt>
                <c:pt idx="35">
                  <c:v>85.3</c:v>
                </c:pt>
                <c:pt idx="39">
                  <c:v>83.44</c:v>
                </c:pt>
                <c:pt idx="40">
                  <c:v>85.34</c:v>
                </c:pt>
                <c:pt idx="41">
                  <c:v>70.88</c:v>
                </c:pt>
                <c:pt idx="42">
                  <c:v>70.08</c:v>
                </c:pt>
                <c:pt idx="43">
                  <c:v>69.22</c:v>
                </c:pt>
                <c:pt idx="44">
                  <c:v>69.58</c:v>
                </c:pt>
                <c:pt idx="48">
                  <c:v>88.02</c:v>
                </c:pt>
                <c:pt idx="49">
                  <c:v>74.7</c:v>
                </c:pt>
                <c:pt idx="50">
                  <c:v>87.89</c:v>
                </c:pt>
                <c:pt idx="54">
                  <c:v>88.72</c:v>
                </c:pt>
                <c:pt idx="55">
                  <c:v>72.37</c:v>
                </c:pt>
                <c:pt idx="56">
                  <c:v>72.040000000000006</c:v>
                </c:pt>
                <c:pt idx="60">
                  <c:v>85.61</c:v>
                </c:pt>
                <c:pt idx="61">
                  <c:v>78.680000000000007</c:v>
                </c:pt>
                <c:pt idx="62">
                  <c:v>76.53</c:v>
                </c:pt>
                <c:pt idx="63">
                  <c:v>74.09</c:v>
                </c:pt>
                <c:pt idx="67">
                  <c:v>85.32</c:v>
                </c:pt>
                <c:pt idx="68">
                  <c:v>73.95</c:v>
                </c:pt>
                <c:pt idx="69">
                  <c:v>73.16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534-9A30-5EC447249FCD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All!$HH$6:$HH$79</c:f>
              <c:numCache>
                <c:formatCode>General</c:formatCode>
                <c:ptCount val="74"/>
                <c:pt idx="0">
                  <c:v>81.16</c:v>
                </c:pt>
                <c:pt idx="4">
                  <c:v>83.12</c:v>
                </c:pt>
                <c:pt idx="5">
                  <c:v>83.32</c:v>
                </c:pt>
                <c:pt idx="6">
                  <c:v>82.88</c:v>
                </c:pt>
                <c:pt idx="10">
                  <c:v>82.89</c:v>
                </c:pt>
                <c:pt idx="11">
                  <c:v>82.83</c:v>
                </c:pt>
                <c:pt idx="12">
                  <c:v>82.94</c:v>
                </c:pt>
                <c:pt idx="16">
                  <c:v>80.64</c:v>
                </c:pt>
                <c:pt idx="20">
                  <c:v>81.06</c:v>
                </c:pt>
                <c:pt idx="21">
                  <c:v>81.16</c:v>
                </c:pt>
                <c:pt idx="23">
                  <c:v>81.06</c:v>
                </c:pt>
                <c:pt idx="24">
                  <c:v>81.16</c:v>
                </c:pt>
                <c:pt idx="25">
                  <c:v>80.55</c:v>
                </c:pt>
                <c:pt idx="29">
                  <c:v>81.17</c:v>
                </c:pt>
                <c:pt idx="33">
                  <c:v>76.69</c:v>
                </c:pt>
                <c:pt idx="34">
                  <c:v>77.39</c:v>
                </c:pt>
                <c:pt idx="35">
                  <c:v>77.540000000000006</c:v>
                </c:pt>
                <c:pt idx="39">
                  <c:v>100</c:v>
                </c:pt>
                <c:pt idx="40">
                  <c:v>79.61</c:v>
                </c:pt>
                <c:pt idx="41">
                  <c:v>79.17</c:v>
                </c:pt>
                <c:pt idx="42">
                  <c:v>78.489999999999995</c:v>
                </c:pt>
                <c:pt idx="43">
                  <c:v>78.7</c:v>
                </c:pt>
                <c:pt idx="44">
                  <c:v>78.34</c:v>
                </c:pt>
                <c:pt idx="48">
                  <c:v>81.52</c:v>
                </c:pt>
                <c:pt idx="49">
                  <c:v>79.290000000000006</c:v>
                </c:pt>
                <c:pt idx="50">
                  <c:v>80.599999999999994</c:v>
                </c:pt>
                <c:pt idx="54">
                  <c:v>100</c:v>
                </c:pt>
                <c:pt idx="55">
                  <c:v>81.58</c:v>
                </c:pt>
                <c:pt idx="56">
                  <c:v>81.540000000000006</c:v>
                </c:pt>
                <c:pt idx="60">
                  <c:v>95.85</c:v>
                </c:pt>
                <c:pt idx="61">
                  <c:v>81.599999999999994</c:v>
                </c:pt>
                <c:pt idx="62">
                  <c:v>81.22</c:v>
                </c:pt>
                <c:pt idx="63">
                  <c:v>80.7</c:v>
                </c:pt>
                <c:pt idx="67">
                  <c:v>80.91</c:v>
                </c:pt>
                <c:pt idx="68">
                  <c:v>81.03</c:v>
                </c:pt>
                <c:pt idx="69">
                  <c:v>81.489999999999995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8A-4534-9A30-5EC447249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2352"/>
        <c:axId val="375153168"/>
      </c:scatterChart>
      <c:valAx>
        <c:axId val="43616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9392"/>
        <c:crosses val="autoZero"/>
        <c:crossBetween val="midCat"/>
      </c:valAx>
      <c:valAx>
        <c:axId val="436169392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0656"/>
        <c:crosses val="autoZero"/>
        <c:crossBetween val="midCat"/>
      </c:valAx>
      <c:valAx>
        <c:axId val="375153168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2352"/>
        <c:crosses val="max"/>
        <c:crossBetween val="midCat"/>
      </c:valAx>
      <c:valAx>
        <c:axId val="375142352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5316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All!$HL$6:$HL$79</c:f>
              <c:numCache>
                <c:formatCode>General</c:formatCode>
                <c:ptCount val="74"/>
                <c:pt idx="0">
                  <c:v>49</c:v>
                </c:pt>
                <c:pt idx="4">
                  <c:v>54</c:v>
                </c:pt>
                <c:pt idx="5">
                  <c:v>60</c:v>
                </c:pt>
                <c:pt idx="6">
                  <c:v>63</c:v>
                </c:pt>
                <c:pt idx="10">
                  <c:v>66</c:v>
                </c:pt>
                <c:pt idx="11">
                  <c:v>67</c:v>
                </c:pt>
                <c:pt idx="12">
                  <c:v>67</c:v>
                </c:pt>
                <c:pt idx="16">
                  <c:v>64</c:v>
                </c:pt>
                <c:pt idx="20">
                  <c:v>68</c:v>
                </c:pt>
                <c:pt idx="21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9">
                  <c:v>68</c:v>
                </c:pt>
                <c:pt idx="33">
                  <c:v>45</c:v>
                </c:pt>
                <c:pt idx="34">
                  <c:v>47</c:v>
                </c:pt>
                <c:pt idx="35">
                  <c:v>50</c:v>
                </c:pt>
                <c:pt idx="39">
                  <c:v>53</c:v>
                </c:pt>
                <c:pt idx="40">
                  <c:v>51</c:v>
                </c:pt>
                <c:pt idx="41">
                  <c:v>52</c:v>
                </c:pt>
                <c:pt idx="42">
                  <c:v>52</c:v>
                </c:pt>
                <c:pt idx="43">
                  <c:v>53</c:v>
                </c:pt>
                <c:pt idx="44">
                  <c:v>53</c:v>
                </c:pt>
                <c:pt idx="48">
                  <c:v>53</c:v>
                </c:pt>
                <c:pt idx="49">
                  <c:v>49</c:v>
                </c:pt>
                <c:pt idx="50">
                  <c:v>50</c:v>
                </c:pt>
                <c:pt idx="54">
                  <c:v>56</c:v>
                </c:pt>
                <c:pt idx="55">
                  <c:v>52</c:v>
                </c:pt>
                <c:pt idx="56">
                  <c:v>51</c:v>
                </c:pt>
                <c:pt idx="60">
                  <c:v>55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7">
                  <c:v>61</c:v>
                </c:pt>
                <c:pt idx="68">
                  <c:v>54</c:v>
                </c:pt>
                <c:pt idx="69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BD-487F-8870-CBB3B3872C5D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All!$HM$6:$HM$79</c:f>
              <c:numCache>
                <c:formatCode>General</c:formatCode>
                <c:ptCount val="74"/>
                <c:pt idx="0">
                  <c:v>51</c:v>
                </c:pt>
                <c:pt idx="4">
                  <c:v>52</c:v>
                </c:pt>
                <c:pt idx="5">
                  <c:v>51</c:v>
                </c:pt>
                <c:pt idx="6">
                  <c:v>51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6">
                  <c:v>58</c:v>
                </c:pt>
                <c:pt idx="20">
                  <c:v>57</c:v>
                </c:pt>
                <c:pt idx="21">
                  <c:v>56</c:v>
                </c:pt>
                <c:pt idx="23">
                  <c:v>57</c:v>
                </c:pt>
                <c:pt idx="24">
                  <c:v>56</c:v>
                </c:pt>
                <c:pt idx="25">
                  <c:v>59</c:v>
                </c:pt>
                <c:pt idx="29">
                  <c:v>57</c:v>
                </c:pt>
                <c:pt idx="33">
                  <c:v>54</c:v>
                </c:pt>
                <c:pt idx="34">
                  <c:v>52</c:v>
                </c:pt>
                <c:pt idx="35">
                  <c:v>51</c:v>
                </c:pt>
                <c:pt idx="39">
                  <c:v>51</c:v>
                </c:pt>
                <c:pt idx="40">
                  <c:v>50</c:v>
                </c:pt>
                <c:pt idx="41">
                  <c:v>49</c:v>
                </c:pt>
                <c:pt idx="42">
                  <c:v>45</c:v>
                </c:pt>
                <c:pt idx="43">
                  <c:v>41</c:v>
                </c:pt>
                <c:pt idx="44">
                  <c:v>39</c:v>
                </c:pt>
                <c:pt idx="48">
                  <c:v>50</c:v>
                </c:pt>
                <c:pt idx="49">
                  <c:v>49</c:v>
                </c:pt>
                <c:pt idx="50">
                  <c:v>49</c:v>
                </c:pt>
                <c:pt idx="54">
                  <c:v>49</c:v>
                </c:pt>
                <c:pt idx="55">
                  <c:v>49</c:v>
                </c:pt>
                <c:pt idx="56">
                  <c:v>49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7">
                  <c:v>52</c:v>
                </c:pt>
                <c:pt idx="68">
                  <c:v>51</c:v>
                </c:pt>
                <c:pt idx="6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BD-487F-8870-CBB3B3872C5D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All!$HN$6:$HN$79</c:f>
              <c:numCache>
                <c:formatCode>General</c:formatCode>
                <c:ptCount val="74"/>
                <c:pt idx="0">
                  <c:v>55</c:v>
                </c:pt>
                <c:pt idx="4">
                  <c:v>58</c:v>
                </c:pt>
                <c:pt idx="5">
                  <c:v>60</c:v>
                </c:pt>
                <c:pt idx="6">
                  <c:v>62</c:v>
                </c:pt>
                <c:pt idx="10">
                  <c:v>63</c:v>
                </c:pt>
                <c:pt idx="11">
                  <c:v>65</c:v>
                </c:pt>
                <c:pt idx="12">
                  <c:v>66</c:v>
                </c:pt>
                <c:pt idx="16">
                  <c:v>67</c:v>
                </c:pt>
                <c:pt idx="20">
                  <c:v>67</c:v>
                </c:pt>
                <c:pt idx="21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68</c:v>
                </c:pt>
                <c:pt idx="29">
                  <c:v>67</c:v>
                </c:pt>
                <c:pt idx="33">
                  <c:v>57</c:v>
                </c:pt>
                <c:pt idx="34">
                  <c:v>58</c:v>
                </c:pt>
                <c:pt idx="35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59</c:v>
                </c:pt>
                <c:pt idx="43">
                  <c:v>58</c:v>
                </c:pt>
                <c:pt idx="44">
                  <c:v>58</c:v>
                </c:pt>
                <c:pt idx="48">
                  <c:v>56</c:v>
                </c:pt>
                <c:pt idx="49">
                  <c:v>57</c:v>
                </c:pt>
                <c:pt idx="50">
                  <c:v>59</c:v>
                </c:pt>
                <c:pt idx="54">
                  <c:v>60</c:v>
                </c:pt>
                <c:pt idx="55">
                  <c:v>61</c:v>
                </c:pt>
                <c:pt idx="56">
                  <c:v>62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64</c:v>
                </c:pt>
                <c:pt idx="67">
                  <c:v>64</c:v>
                </c:pt>
                <c:pt idx="68">
                  <c:v>63</c:v>
                </c:pt>
                <c:pt idx="69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BD-487F-8870-CBB3B3872C5D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All!$HO$6:$HO$79</c:f>
              <c:numCache>
                <c:formatCode>General</c:formatCode>
                <c:ptCount val="74"/>
                <c:pt idx="0">
                  <c:v>47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10">
                  <c:v>57</c:v>
                </c:pt>
                <c:pt idx="11">
                  <c:v>59</c:v>
                </c:pt>
                <c:pt idx="12">
                  <c:v>60</c:v>
                </c:pt>
                <c:pt idx="16">
                  <c:v>60</c:v>
                </c:pt>
                <c:pt idx="20">
                  <c:v>60</c:v>
                </c:pt>
                <c:pt idx="21">
                  <c:v>61</c:v>
                </c:pt>
                <c:pt idx="23">
                  <c:v>60</c:v>
                </c:pt>
                <c:pt idx="24">
                  <c:v>61</c:v>
                </c:pt>
                <c:pt idx="25">
                  <c:v>60</c:v>
                </c:pt>
                <c:pt idx="29">
                  <c:v>60</c:v>
                </c:pt>
                <c:pt idx="33">
                  <c:v>51</c:v>
                </c:pt>
                <c:pt idx="34">
                  <c:v>53</c:v>
                </c:pt>
                <c:pt idx="35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55</c:v>
                </c:pt>
                <c:pt idx="42">
                  <c:v>54</c:v>
                </c:pt>
                <c:pt idx="43">
                  <c:v>53</c:v>
                </c:pt>
                <c:pt idx="44">
                  <c:v>52</c:v>
                </c:pt>
                <c:pt idx="48">
                  <c:v>49</c:v>
                </c:pt>
                <c:pt idx="49">
                  <c:v>51</c:v>
                </c:pt>
                <c:pt idx="50">
                  <c:v>53</c:v>
                </c:pt>
                <c:pt idx="54">
                  <c:v>54</c:v>
                </c:pt>
                <c:pt idx="55">
                  <c:v>56</c:v>
                </c:pt>
                <c:pt idx="56">
                  <c:v>56</c:v>
                </c:pt>
                <c:pt idx="60">
                  <c:v>56</c:v>
                </c:pt>
                <c:pt idx="61">
                  <c:v>57</c:v>
                </c:pt>
                <c:pt idx="62">
                  <c:v>57</c:v>
                </c:pt>
                <c:pt idx="63">
                  <c:v>58</c:v>
                </c:pt>
                <c:pt idx="67">
                  <c:v>57</c:v>
                </c:pt>
                <c:pt idx="68">
                  <c:v>57</c:v>
                </c:pt>
                <c:pt idx="69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BD-487F-8870-CBB3B3872C5D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All!$HP$6:$HP$79</c:f>
              <c:numCache>
                <c:formatCode>General</c:formatCode>
                <c:ptCount val="74"/>
                <c:pt idx="0">
                  <c:v>48</c:v>
                </c:pt>
                <c:pt idx="4">
                  <c:v>55</c:v>
                </c:pt>
                <c:pt idx="5">
                  <c:v>57</c:v>
                </c:pt>
                <c:pt idx="6">
                  <c:v>59</c:v>
                </c:pt>
                <c:pt idx="10">
                  <c:v>61</c:v>
                </c:pt>
                <c:pt idx="11">
                  <c:v>62</c:v>
                </c:pt>
                <c:pt idx="12">
                  <c:v>64</c:v>
                </c:pt>
                <c:pt idx="16">
                  <c:v>63</c:v>
                </c:pt>
                <c:pt idx="20">
                  <c:v>64</c:v>
                </c:pt>
                <c:pt idx="21">
                  <c:v>65</c:v>
                </c:pt>
                <c:pt idx="23">
                  <c:v>64</c:v>
                </c:pt>
                <c:pt idx="24">
                  <c:v>65</c:v>
                </c:pt>
                <c:pt idx="25">
                  <c:v>64</c:v>
                </c:pt>
                <c:pt idx="29">
                  <c:v>64</c:v>
                </c:pt>
                <c:pt idx="33">
                  <c:v>54</c:v>
                </c:pt>
                <c:pt idx="34">
                  <c:v>57</c:v>
                </c:pt>
                <c:pt idx="35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59</c:v>
                </c:pt>
                <c:pt idx="43">
                  <c:v>57</c:v>
                </c:pt>
                <c:pt idx="44">
                  <c:v>57</c:v>
                </c:pt>
                <c:pt idx="48">
                  <c:v>52</c:v>
                </c:pt>
                <c:pt idx="49">
                  <c:v>54</c:v>
                </c:pt>
                <c:pt idx="50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60</c:v>
                </c:pt>
                <c:pt idx="63">
                  <c:v>60</c:v>
                </c:pt>
                <c:pt idx="67">
                  <c:v>59</c:v>
                </c:pt>
                <c:pt idx="68">
                  <c:v>60</c:v>
                </c:pt>
                <c:pt idx="6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BD-487F-8870-CBB3B3872C5D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All!$HQ$6:$HQ$79</c:f>
              <c:numCache>
                <c:formatCode>General</c:formatCode>
                <c:ptCount val="74"/>
                <c:pt idx="0">
                  <c:v>47</c:v>
                </c:pt>
                <c:pt idx="4">
                  <c:v>53</c:v>
                </c:pt>
                <c:pt idx="5">
                  <c:v>55</c:v>
                </c:pt>
                <c:pt idx="6">
                  <c:v>57</c:v>
                </c:pt>
                <c:pt idx="10">
                  <c:v>58</c:v>
                </c:pt>
                <c:pt idx="11">
                  <c:v>60</c:v>
                </c:pt>
                <c:pt idx="12">
                  <c:v>61</c:v>
                </c:pt>
                <c:pt idx="16">
                  <c:v>60</c:v>
                </c:pt>
                <c:pt idx="20">
                  <c:v>61</c:v>
                </c:pt>
                <c:pt idx="21">
                  <c:v>62</c:v>
                </c:pt>
                <c:pt idx="23">
                  <c:v>61</c:v>
                </c:pt>
                <c:pt idx="24">
                  <c:v>62</c:v>
                </c:pt>
                <c:pt idx="25">
                  <c:v>62</c:v>
                </c:pt>
                <c:pt idx="29">
                  <c:v>61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57</c:v>
                </c:pt>
                <c:pt idx="42">
                  <c:v>56</c:v>
                </c:pt>
                <c:pt idx="43">
                  <c:v>55</c:v>
                </c:pt>
                <c:pt idx="44">
                  <c:v>54</c:v>
                </c:pt>
                <c:pt idx="48">
                  <c:v>50</c:v>
                </c:pt>
                <c:pt idx="49">
                  <c:v>53</c:v>
                </c:pt>
                <c:pt idx="50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60">
                  <c:v>57</c:v>
                </c:pt>
                <c:pt idx="61">
                  <c:v>58</c:v>
                </c:pt>
                <c:pt idx="62">
                  <c:v>58</c:v>
                </c:pt>
                <c:pt idx="63">
                  <c:v>58</c:v>
                </c:pt>
                <c:pt idx="67">
                  <c:v>58</c:v>
                </c:pt>
                <c:pt idx="68">
                  <c:v>58</c:v>
                </c:pt>
                <c:pt idx="69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BD-487F-8870-CBB3B3872C5D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All!$HR$6:$HR$79</c:f>
              <c:numCache>
                <c:formatCode>General</c:formatCode>
                <c:ptCount val="74"/>
                <c:pt idx="0">
                  <c:v>45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10">
                  <c:v>50</c:v>
                </c:pt>
                <c:pt idx="11">
                  <c:v>50</c:v>
                </c:pt>
                <c:pt idx="12">
                  <c:v>51</c:v>
                </c:pt>
                <c:pt idx="16">
                  <c:v>53</c:v>
                </c:pt>
                <c:pt idx="20">
                  <c:v>53</c:v>
                </c:pt>
                <c:pt idx="21">
                  <c:v>53</c:v>
                </c:pt>
                <c:pt idx="23">
                  <c:v>53</c:v>
                </c:pt>
                <c:pt idx="24">
                  <c:v>53</c:v>
                </c:pt>
                <c:pt idx="25">
                  <c:v>54</c:v>
                </c:pt>
                <c:pt idx="29">
                  <c:v>54</c:v>
                </c:pt>
                <c:pt idx="33">
                  <c:v>48</c:v>
                </c:pt>
                <c:pt idx="34">
                  <c:v>48</c:v>
                </c:pt>
                <c:pt idx="35">
                  <c:v>51</c:v>
                </c:pt>
                <c:pt idx="39">
                  <c:v>52</c:v>
                </c:pt>
                <c:pt idx="40">
                  <c:v>52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8">
                  <c:v>47</c:v>
                </c:pt>
                <c:pt idx="49">
                  <c:v>47</c:v>
                </c:pt>
                <c:pt idx="50">
                  <c:v>49</c:v>
                </c:pt>
                <c:pt idx="54">
                  <c:v>50</c:v>
                </c:pt>
                <c:pt idx="55">
                  <c:v>50</c:v>
                </c:pt>
                <c:pt idx="56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52</c:v>
                </c:pt>
                <c:pt idx="63">
                  <c:v>52</c:v>
                </c:pt>
                <c:pt idx="67">
                  <c:v>53</c:v>
                </c:pt>
                <c:pt idx="68">
                  <c:v>52</c:v>
                </c:pt>
                <c:pt idx="69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BD-487F-8870-CBB3B3872C5D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All!$HS$6:$HS$79</c:f>
              <c:numCache>
                <c:formatCode>General</c:formatCode>
                <c:ptCount val="74"/>
                <c:pt idx="0">
                  <c:v>62</c:v>
                </c:pt>
                <c:pt idx="4">
                  <c:v>62</c:v>
                </c:pt>
                <c:pt idx="5">
                  <c:v>70</c:v>
                </c:pt>
                <c:pt idx="6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70</c:v>
                </c:pt>
                <c:pt idx="16">
                  <c:v>62</c:v>
                </c:pt>
                <c:pt idx="20">
                  <c:v>60</c:v>
                </c:pt>
                <c:pt idx="21">
                  <c:v>62</c:v>
                </c:pt>
                <c:pt idx="23">
                  <c:v>60</c:v>
                </c:pt>
                <c:pt idx="24">
                  <c:v>62</c:v>
                </c:pt>
                <c:pt idx="25">
                  <c:v>62</c:v>
                </c:pt>
                <c:pt idx="29">
                  <c:v>62</c:v>
                </c:pt>
                <c:pt idx="33">
                  <c:v>56</c:v>
                </c:pt>
                <c:pt idx="34">
                  <c:v>70</c:v>
                </c:pt>
                <c:pt idx="35">
                  <c:v>60</c:v>
                </c:pt>
                <c:pt idx="39">
                  <c:v>62</c:v>
                </c:pt>
                <c:pt idx="40">
                  <c:v>70</c:v>
                </c:pt>
                <c:pt idx="41">
                  <c:v>70</c:v>
                </c:pt>
                <c:pt idx="42">
                  <c:v>62</c:v>
                </c:pt>
                <c:pt idx="43">
                  <c:v>64</c:v>
                </c:pt>
                <c:pt idx="44">
                  <c:v>64</c:v>
                </c:pt>
                <c:pt idx="48">
                  <c:v>62</c:v>
                </c:pt>
                <c:pt idx="49">
                  <c:v>62</c:v>
                </c:pt>
                <c:pt idx="50">
                  <c:v>62</c:v>
                </c:pt>
                <c:pt idx="54">
                  <c:v>60</c:v>
                </c:pt>
                <c:pt idx="55">
                  <c:v>62</c:v>
                </c:pt>
                <c:pt idx="56">
                  <c:v>70</c:v>
                </c:pt>
                <c:pt idx="60">
                  <c:v>62</c:v>
                </c:pt>
                <c:pt idx="61">
                  <c:v>62</c:v>
                </c:pt>
                <c:pt idx="62">
                  <c:v>70</c:v>
                </c:pt>
                <c:pt idx="63">
                  <c:v>70</c:v>
                </c:pt>
                <c:pt idx="67">
                  <c:v>62</c:v>
                </c:pt>
                <c:pt idx="68">
                  <c:v>60</c:v>
                </c:pt>
                <c:pt idx="6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BBD-487F-8870-CBB3B3872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98512"/>
        <c:axId val="436199760"/>
      </c:scatterChart>
      <c:valAx>
        <c:axId val="43619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9760"/>
        <c:crosses val="autoZero"/>
        <c:crossBetween val="midCat"/>
      </c:valAx>
      <c:valAx>
        <c:axId val="4361997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98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All!$HT$6:$HT$79</c:f>
              <c:numCache>
                <c:formatCode>General</c:formatCode>
                <c:ptCount val="74"/>
                <c:pt idx="0">
                  <c:v>0.39800000000000002</c:v>
                </c:pt>
                <c:pt idx="4">
                  <c:v>0.22900000000000001</c:v>
                </c:pt>
                <c:pt idx="5">
                  <c:v>0.19950000000000001</c:v>
                </c:pt>
                <c:pt idx="6">
                  <c:v>0.1925</c:v>
                </c:pt>
                <c:pt idx="10">
                  <c:v>0.124</c:v>
                </c:pt>
                <c:pt idx="11">
                  <c:v>0.1105</c:v>
                </c:pt>
                <c:pt idx="12">
                  <c:v>9.7000000000000003E-2</c:v>
                </c:pt>
                <c:pt idx="16">
                  <c:v>0.1065</c:v>
                </c:pt>
                <c:pt idx="20">
                  <c:v>3.7999999999999999E-2</c:v>
                </c:pt>
                <c:pt idx="21">
                  <c:v>3.4000000000000002E-2</c:v>
                </c:pt>
                <c:pt idx="23">
                  <c:v>3.7999999999999999E-2</c:v>
                </c:pt>
                <c:pt idx="24">
                  <c:v>3.4000000000000002E-2</c:v>
                </c:pt>
                <c:pt idx="25">
                  <c:v>1.4999999999999999E-2</c:v>
                </c:pt>
                <c:pt idx="29">
                  <c:v>-5.6000000000000001E-2</c:v>
                </c:pt>
                <c:pt idx="33">
                  <c:v>-9.2999999999999999E-2</c:v>
                </c:pt>
                <c:pt idx="34">
                  <c:v>-0.11799999999999999</c:v>
                </c:pt>
                <c:pt idx="35">
                  <c:v>-0.1195</c:v>
                </c:pt>
                <c:pt idx="39">
                  <c:v>-0.161</c:v>
                </c:pt>
                <c:pt idx="40">
                  <c:v>-0.189</c:v>
                </c:pt>
                <c:pt idx="41">
                  <c:v>-0.189</c:v>
                </c:pt>
                <c:pt idx="42">
                  <c:v>-0.17949999999999999</c:v>
                </c:pt>
                <c:pt idx="43">
                  <c:v>-0.18099999999999999</c:v>
                </c:pt>
                <c:pt idx="44">
                  <c:v>-0.18099999999999999</c:v>
                </c:pt>
                <c:pt idx="48">
                  <c:v>-0.1225</c:v>
                </c:pt>
                <c:pt idx="49">
                  <c:v>-0.17</c:v>
                </c:pt>
                <c:pt idx="50">
                  <c:v>-0.17549999999999999</c:v>
                </c:pt>
                <c:pt idx="54">
                  <c:v>-0.2165</c:v>
                </c:pt>
                <c:pt idx="55">
                  <c:v>-0.247</c:v>
                </c:pt>
                <c:pt idx="56">
                  <c:v>-0.22800000000000001</c:v>
                </c:pt>
                <c:pt idx="60">
                  <c:v>-0.254</c:v>
                </c:pt>
                <c:pt idx="61">
                  <c:v>-0.27100000000000002</c:v>
                </c:pt>
                <c:pt idx="62">
                  <c:v>-0.27500000000000002</c:v>
                </c:pt>
                <c:pt idx="63">
                  <c:v>-0.27500000000000002</c:v>
                </c:pt>
                <c:pt idx="67">
                  <c:v>-0.27400000000000002</c:v>
                </c:pt>
                <c:pt idx="68">
                  <c:v>-0.28999999999999998</c:v>
                </c:pt>
                <c:pt idx="69">
                  <c:v>-0.28799999999999998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3-4EA3-A8CC-F50A49330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62320"/>
        <c:axId val="436164400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All!$HU$6:$HU$79</c:f>
              <c:numCache>
                <c:formatCode>General</c:formatCode>
                <c:ptCount val="7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9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3-4EA3-A8CC-F50A49330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41520"/>
        <c:axId val="375141104"/>
      </c:scatterChart>
      <c:valAx>
        <c:axId val="43616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4400"/>
        <c:crosses val="autoZero"/>
        <c:crossBetween val="midCat"/>
      </c:valAx>
      <c:valAx>
        <c:axId val="436164400"/>
        <c:scaling>
          <c:orientation val="minMax"/>
          <c:max val="2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36162320"/>
        <c:crosses val="autoZero"/>
        <c:crossBetween val="midCat"/>
      </c:valAx>
      <c:valAx>
        <c:axId val="375141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141520"/>
        <c:crosses val="max"/>
        <c:crossBetween val="midCat"/>
      </c:valAx>
      <c:valAx>
        <c:axId val="375141520"/>
        <c:scaling>
          <c:orientation val="minMax"/>
        </c:scaling>
        <c:delete val="1"/>
        <c:axPos val="b"/>
        <c:majorTickMark val="out"/>
        <c:minorTickMark val="none"/>
        <c:tickLblPos val="nextTo"/>
        <c:crossAx val="37514110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1'!$B$2:$B$16</c:f>
              <c:numCache>
                <c:formatCode>General</c:formatCode>
                <c:ptCount val="15"/>
                <c:pt idx="0">
                  <c:v>2044.9169999999999</c:v>
                </c:pt>
                <c:pt idx="1">
                  <c:v>251.37899999999999</c:v>
                </c:pt>
                <c:pt idx="2">
                  <c:v>244.58199999999999</c:v>
                </c:pt>
                <c:pt idx="3">
                  <c:v>1565.6189999999999</c:v>
                </c:pt>
                <c:pt idx="4">
                  <c:v>544.70899999999995</c:v>
                </c:pt>
                <c:pt idx="5">
                  <c:v>416.72899999999998</c:v>
                </c:pt>
                <c:pt idx="6">
                  <c:v>208.85</c:v>
                </c:pt>
                <c:pt idx="7">
                  <c:v>541.05700000000002</c:v>
                </c:pt>
                <c:pt idx="8">
                  <c:v>444.47500000000002</c:v>
                </c:pt>
                <c:pt idx="9">
                  <c:v>208.08</c:v>
                </c:pt>
                <c:pt idx="10">
                  <c:v>207.65</c:v>
                </c:pt>
                <c:pt idx="11">
                  <c:v>214.54</c:v>
                </c:pt>
                <c:pt idx="12">
                  <c:v>206.91</c:v>
                </c:pt>
                <c:pt idx="13">
                  <c:v>324.39600000000002</c:v>
                </c:pt>
              </c:numCache>
            </c:numRef>
          </c:xVal>
          <c:yVal>
            <c:numRef>
              <c:f>'Driver 1'!$C$2:$C$16</c:f>
              <c:numCache>
                <c:formatCode>General</c:formatCode>
                <c:ptCount val="15"/>
                <c:pt idx="0">
                  <c:v>5.59</c:v>
                </c:pt>
                <c:pt idx="1">
                  <c:v>5.82</c:v>
                </c:pt>
                <c:pt idx="2">
                  <c:v>5.8</c:v>
                </c:pt>
                <c:pt idx="3">
                  <c:v>5.68</c:v>
                </c:pt>
                <c:pt idx="4">
                  <c:v>5.9</c:v>
                </c:pt>
                <c:pt idx="5">
                  <c:v>5.86</c:v>
                </c:pt>
                <c:pt idx="6">
                  <c:v>6.05</c:v>
                </c:pt>
                <c:pt idx="7">
                  <c:v>2.82</c:v>
                </c:pt>
                <c:pt idx="8">
                  <c:v>5.8</c:v>
                </c:pt>
                <c:pt idx="9">
                  <c:v>6.09</c:v>
                </c:pt>
                <c:pt idx="10">
                  <c:v>6.09</c:v>
                </c:pt>
                <c:pt idx="11">
                  <c:v>5.88</c:v>
                </c:pt>
                <c:pt idx="12">
                  <c:v>6.13</c:v>
                </c:pt>
                <c:pt idx="13">
                  <c:v>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4E-44C3-9253-051AB31443A0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2'!$B$2:$B$12</c:f>
              <c:numCache>
                <c:formatCode>General</c:formatCode>
                <c:ptCount val="11"/>
                <c:pt idx="0">
                  <c:v>2708.4029999999998</c:v>
                </c:pt>
                <c:pt idx="1">
                  <c:v>1159.636</c:v>
                </c:pt>
                <c:pt idx="2">
                  <c:v>218.98</c:v>
                </c:pt>
                <c:pt idx="3">
                  <c:v>248.696</c:v>
                </c:pt>
                <c:pt idx="4">
                  <c:v>2172.1750000000002</c:v>
                </c:pt>
                <c:pt idx="5">
                  <c:v>212.95</c:v>
                </c:pt>
                <c:pt idx="6">
                  <c:v>282.04000000000002</c:v>
                </c:pt>
                <c:pt idx="7">
                  <c:v>278.75200000000001</c:v>
                </c:pt>
                <c:pt idx="8">
                  <c:v>212.68</c:v>
                </c:pt>
                <c:pt idx="9">
                  <c:v>248.08</c:v>
                </c:pt>
              </c:numCache>
            </c:numRef>
          </c:xVal>
          <c:yVal>
            <c:numRef>
              <c:f>'Driver 2'!$C$2:$C$12</c:f>
              <c:numCache>
                <c:formatCode>General</c:formatCode>
                <c:ptCount val="11"/>
                <c:pt idx="0">
                  <c:v>2.93</c:v>
                </c:pt>
                <c:pt idx="1">
                  <c:v>5.41</c:v>
                </c:pt>
                <c:pt idx="2">
                  <c:v>5.67</c:v>
                </c:pt>
                <c:pt idx="3">
                  <c:v>5.65</c:v>
                </c:pt>
                <c:pt idx="4">
                  <c:v>5.61</c:v>
                </c:pt>
                <c:pt idx="5">
                  <c:v>5.94</c:v>
                </c:pt>
                <c:pt idx="6">
                  <c:v>-11.55</c:v>
                </c:pt>
                <c:pt idx="7">
                  <c:v>5.6</c:v>
                </c:pt>
                <c:pt idx="8">
                  <c:v>5.93</c:v>
                </c:pt>
                <c:pt idx="9">
                  <c:v>-11.53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4E-44C3-9253-051AB31443A0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289.495</c:v>
                </c:pt>
                <c:pt idx="1">
                  <c:v>216.96</c:v>
                </c:pt>
                <c:pt idx="2">
                  <c:v>249.86099999999999</c:v>
                </c:pt>
                <c:pt idx="3">
                  <c:v>259.78300000000002</c:v>
                </c:pt>
                <c:pt idx="4">
                  <c:v>214.62</c:v>
                </c:pt>
                <c:pt idx="5">
                  <c:v>210.3</c:v>
                </c:pt>
                <c:pt idx="6">
                  <c:v>287.36</c:v>
                </c:pt>
                <c:pt idx="7">
                  <c:v>577.65700000000004</c:v>
                </c:pt>
                <c:pt idx="8">
                  <c:v>216.62</c:v>
                </c:pt>
                <c:pt idx="9">
                  <c:v>237.14400000000001</c:v>
                </c:pt>
              </c:numCache>
            </c:numRef>
          </c:xVal>
          <c:yVal>
            <c:numRef>
              <c:f>'Driver 3'!$C$2:$C$12</c:f>
              <c:numCache>
                <c:formatCode>General</c:formatCode>
                <c:ptCount val="11"/>
                <c:pt idx="0">
                  <c:v>5.71</c:v>
                </c:pt>
                <c:pt idx="1">
                  <c:v>5.84</c:v>
                </c:pt>
                <c:pt idx="2">
                  <c:v>5.92</c:v>
                </c:pt>
                <c:pt idx="3">
                  <c:v>5.75</c:v>
                </c:pt>
                <c:pt idx="4">
                  <c:v>5.93</c:v>
                </c:pt>
                <c:pt idx="5">
                  <c:v>6.02</c:v>
                </c:pt>
                <c:pt idx="6">
                  <c:v>-17.7</c:v>
                </c:pt>
                <c:pt idx="7">
                  <c:v>5.91</c:v>
                </c:pt>
                <c:pt idx="8">
                  <c:v>5.99</c:v>
                </c:pt>
                <c:pt idx="9">
                  <c:v>5.95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4E-44C3-9253-051AB3144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3424"/>
        <c:axId val="216849648"/>
      </c:scatterChart>
      <c:valAx>
        <c:axId val="216833424"/>
        <c:scaling>
          <c:orientation val="minMax"/>
          <c:max val="225"/>
          <c:min val="2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49648"/>
        <c:crosses val="autoZero"/>
        <c:crossBetween val="midCat"/>
      </c:valAx>
      <c:valAx>
        <c:axId val="216849648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3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1'!$B$2:$B$16</c:f>
              <c:numCache>
                <c:formatCode>General</c:formatCode>
                <c:ptCount val="15"/>
                <c:pt idx="0">
                  <c:v>2044.9169999999999</c:v>
                </c:pt>
                <c:pt idx="1">
                  <c:v>251.37899999999999</c:v>
                </c:pt>
                <c:pt idx="2">
                  <c:v>244.58199999999999</c:v>
                </c:pt>
                <c:pt idx="3">
                  <c:v>1565.6189999999999</c:v>
                </c:pt>
                <c:pt idx="4">
                  <c:v>544.70899999999995</c:v>
                </c:pt>
                <c:pt idx="5">
                  <c:v>416.72899999999998</c:v>
                </c:pt>
                <c:pt idx="6">
                  <c:v>208.85</c:v>
                </c:pt>
                <c:pt idx="7">
                  <c:v>541.05700000000002</c:v>
                </c:pt>
                <c:pt idx="8">
                  <c:v>444.47500000000002</c:v>
                </c:pt>
                <c:pt idx="9">
                  <c:v>208.08</c:v>
                </c:pt>
                <c:pt idx="10">
                  <c:v>207.65</c:v>
                </c:pt>
                <c:pt idx="11">
                  <c:v>214.54</c:v>
                </c:pt>
                <c:pt idx="12">
                  <c:v>206.91</c:v>
                </c:pt>
                <c:pt idx="13">
                  <c:v>324.39600000000002</c:v>
                </c:pt>
              </c:numCache>
            </c:numRef>
          </c:xVal>
          <c:yVal>
            <c:numRef>
              <c:f>'Driver 1'!$D$2:$D$16</c:f>
              <c:numCache>
                <c:formatCode>General</c:formatCode>
                <c:ptCount val="15"/>
                <c:pt idx="1">
                  <c:v>1.5109999999999999</c:v>
                </c:pt>
                <c:pt idx="5">
                  <c:v>1.52</c:v>
                </c:pt>
                <c:pt idx="6">
                  <c:v>1.2569999999999999</c:v>
                </c:pt>
                <c:pt idx="8">
                  <c:v>1.3080000000000001</c:v>
                </c:pt>
                <c:pt idx="9">
                  <c:v>1.7829999999999999</c:v>
                </c:pt>
                <c:pt idx="10">
                  <c:v>1.6719999999999999</c:v>
                </c:pt>
                <c:pt idx="11">
                  <c:v>1.6379999999999999</c:v>
                </c:pt>
                <c:pt idx="12">
                  <c:v>1.232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69-4111-A685-B996330F21AC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2'!$B$2:$B$12</c:f>
              <c:numCache>
                <c:formatCode>General</c:formatCode>
                <c:ptCount val="11"/>
                <c:pt idx="0">
                  <c:v>2708.4029999999998</c:v>
                </c:pt>
                <c:pt idx="1">
                  <c:v>1159.636</c:v>
                </c:pt>
                <c:pt idx="2">
                  <c:v>218.98</c:v>
                </c:pt>
                <c:pt idx="3">
                  <c:v>248.696</c:v>
                </c:pt>
                <c:pt idx="4">
                  <c:v>2172.1750000000002</c:v>
                </c:pt>
                <c:pt idx="5">
                  <c:v>212.95</c:v>
                </c:pt>
                <c:pt idx="6">
                  <c:v>282.04000000000002</c:v>
                </c:pt>
                <c:pt idx="7">
                  <c:v>278.75200000000001</c:v>
                </c:pt>
                <c:pt idx="8">
                  <c:v>212.68</c:v>
                </c:pt>
                <c:pt idx="9">
                  <c:v>248.08</c:v>
                </c:pt>
              </c:numCache>
            </c:numRef>
          </c:xVal>
          <c:yVal>
            <c:numRef>
              <c:f>'Driver 2'!$D$2:$D$12</c:f>
              <c:numCache>
                <c:formatCode>General</c:formatCode>
                <c:ptCount val="11"/>
                <c:pt idx="1">
                  <c:v>1.4830000000000001</c:v>
                </c:pt>
                <c:pt idx="2">
                  <c:v>1.6659999999999999</c:v>
                </c:pt>
                <c:pt idx="4">
                  <c:v>1.6439999999999999</c:v>
                </c:pt>
                <c:pt idx="5">
                  <c:v>1.651</c:v>
                </c:pt>
                <c:pt idx="7">
                  <c:v>1.52</c:v>
                </c:pt>
                <c:pt idx="8">
                  <c:v>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69-4111-A685-B996330F21AC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289.495</c:v>
                </c:pt>
                <c:pt idx="1">
                  <c:v>216.96</c:v>
                </c:pt>
                <c:pt idx="2">
                  <c:v>249.86099999999999</c:v>
                </c:pt>
                <c:pt idx="3">
                  <c:v>259.78300000000002</c:v>
                </c:pt>
                <c:pt idx="4">
                  <c:v>214.62</c:v>
                </c:pt>
                <c:pt idx="5">
                  <c:v>210.3</c:v>
                </c:pt>
                <c:pt idx="6">
                  <c:v>287.36</c:v>
                </c:pt>
                <c:pt idx="7">
                  <c:v>577.65700000000004</c:v>
                </c:pt>
                <c:pt idx="8">
                  <c:v>216.62</c:v>
                </c:pt>
                <c:pt idx="9">
                  <c:v>237.14400000000001</c:v>
                </c:pt>
              </c:numCache>
            </c:numRef>
          </c:xVal>
          <c:yVal>
            <c:numRef>
              <c:f>'Driver 3'!$D$2:$D$12</c:f>
              <c:numCache>
                <c:formatCode>General</c:formatCode>
                <c:ptCount val="11"/>
                <c:pt idx="0">
                  <c:v>1.3009999999999999</c:v>
                </c:pt>
                <c:pt idx="1">
                  <c:v>1.2549999999999999</c:v>
                </c:pt>
                <c:pt idx="3">
                  <c:v>1.512</c:v>
                </c:pt>
                <c:pt idx="4">
                  <c:v>1.6419999999999999</c:v>
                </c:pt>
                <c:pt idx="5">
                  <c:v>1.4670000000000001</c:v>
                </c:pt>
                <c:pt idx="7">
                  <c:v>1.466</c:v>
                </c:pt>
                <c:pt idx="8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69-4111-A685-B996330F2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1344"/>
        <c:axId val="216846736"/>
      </c:scatterChart>
      <c:valAx>
        <c:axId val="216831344"/>
        <c:scaling>
          <c:orientation val="minMax"/>
          <c:max val="225"/>
          <c:min val="2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46736"/>
        <c:crosses val="autoZero"/>
        <c:crossBetween val="midCat"/>
      </c:valAx>
      <c:valAx>
        <c:axId val="2168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1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1'!$B$2:$B$16</c:f>
              <c:numCache>
                <c:formatCode>General</c:formatCode>
                <c:ptCount val="15"/>
                <c:pt idx="0">
                  <c:v>2044.9169999999999</c:v>
                </c:pt>
                <c:pt idx="1">
                  <c:v>251.37899999999999</c:v>
                </c:pt>
                <c:pt idx="2">
                  <c:v>244.58199999999999</c:v>
                </c:pt>
                <c:pt idx="3">
                  <c:v>1565.6189999999999</c:v>
                </c:pt>
                <c:pt idx="4">
                  <c:v>544.70899999999995</c:v>
                </c:pt>
                <c:pt idx="5">
                  <c:v>416.72899999999998</c:v>
                </c:pt>
                <c:pt idx="6">
                  <c:v>208.85</c:v>
                </c:pt>
                <c:pt idx="7">
                  <c:v>541.05700000000002</c:v>
                </c:pt>
                <c:pt idx="8">
                  <c:v>444.47500000000002</c:v>
                </c:pt>
                <c:pt idx="9">
                  <c:v>208.08</c:v>
                </c:pt>
                <c:pt idx="10">
                  <c:v>207.65</c:v>
                </c:pt>
                <c:pt idx="11">
                  <c:v>214.54</c:v>
                </c:pt>
                <c:pt idx="12">
                  <c:v>206.91</c:v>
                </c:pt>
                <c:pt idx="13">
                  <c:v>324.39600000000002</c:v>
                </c:pt>
              </c:numCache>
            </c:numRef>
          </c:xVal>
          <c:yVal>
            <c:numRef>
              <c:f>'Driver 1'!$E$2:$E$16</c:f>
              <c:numCache>
                <c:formatCode>General</c:formatCode>
                <c:ptCount val="15"/>
                <c:pt idx="1">
                  <c:v>4.0469999999999997</c:v>
                </c:pt>
                <c:pt idx="5">
                  <c:v>4.7069999999999999</c:v>
                </c:pt>
                <c:pt idx="6">
                  <c:v>2.5979999999999999</c:v>
                </c:pt>
                <c:pt idx="8">
                  <c:v>4.0330000000000004</c:v>
                </c:pt>
                <c:pt idx="9">
                  <c:v>5.0439999999999996</c:v>
                </c:pt>
                <c:pt idx="10">
                  <c:v>5.01</c:v>
                </c:pt>
                <c:pt idx="11">
                  <c:v>4.6589999999999998</c:v>
                </c:pt>
                <c:pt idx="12">
                  <c:v>2.7829999999999999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1-4C2E-A29B-F956D5BF1591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2'!$B$2:$B$12</c:f>
              <c:numCache>
                <c:formatCode>General</c:formatCode>
                <c:ptCount val="11"/>
                <c:pt idx="0">
                  <c:v>2708.4029999999998</c:v>
                </c:pt>
                <c:pt idx="1">
                  <c:v>1159.636</c:v>
                </c:pt>
                <c:pt idx="2">
                  <c:v>218.98</c:v>
                </c:pt>
                <c:pt idx="3">
                  <c:v>248.696</c:v>
                </c:pt>
                <c:pt idx="4">
                  <c:v>2172.1750000000002</c:v>
                </c:pt>
                <c:pt idx="5">
                  <c:v>212.95</c:v>
                </c:pt>
                <c:pt idx="6">
                  <c:v>282.04000000000002</c:v>
                </c:pt>
                <c:pt idx="7">
                  <c:v>278.75200000000001</c:v>
                </c:pt>
                <c:pt idx="8">
                  <c:v>212.68</c:v>
                </c:pt>
                <c:pt idx="9">
                  <c:v>248.08</c:v>
                </c:pt>
              </c:numCache>
            </c:numRef>
          </c:xVal>
          <c:yVal>
            <c:numRef>
              <c:f>'Driver 2'!$E$2:$E$12</c:f>
              <c:numCache>
                <c:formatCode>General</c:formatCode>
                <c:ptCount val="11"/>
                <c:pt idx="1">
                  <c:v>3.9430000000000001</c:v>
                </c:pt>
                <c:pt idx="2">
                  <c:v>4.5860000000000003</c:v>
                </c:pt>
                <c:pt idx="4">
                  <c:v>11.038</c:v>
                </c:pt>
                <c:pt idx="5">
                  <c:v>5.7889999999999997</c:v>
                </c:pt>
                <c:pt idx="7">
                  <c:v>5.0179999999999998</c:v>
                </c:pt>
                <c:pt idx="8">
                  <c:v>4.7729999999999997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71-4C2E-A29B-F956D5BF1591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289.495</c:v>
                </c:pt>
                <c:pt idx="1">
                  <c:v>216.96</c:v>
                </c:pt>
                <c:pt idx="2">
                  <c:v>249.86099999999999</c:v>
                </c:pt>
                <c:pt idx="3">
                  <c:v>259.78300000000002</c:v>
                </c:pt>
                <c:pt idx="4">
                  <c:v>214.62</c:v>
                </c:pt>
                <c:pt idx="5">
                  <c:v>210.3</c:v>
                </c:pt>
                <c:pt idx="6">
                  <c:v>287.36</c:v>
                </c:pt>
                <c:pt idx="7">
                  <c:v>577.65700000000004</c:v>
                </c:pt>
                <c:pt idx="8">
                  <c:v>216.62</c:v>
                </c:pt>
                <c:pt idx="9">
                  <c:v>237.14400000000001</c:v>
                </c:pt>
              </c:numCache>
            </c:numRef>
          </c:xVal>
          <c:yVal>
            <c:numRef>
              <c:f>'Driver 3'!$E$2:$E$12</c:f>
              <c:numCache>
                <c:formatCode>General</c:formatCode>
                <c:ptCount val="11"/>
                <c:pt idx="0">
                  <c:v>4.0709999999999997</c:v>
                </c:pt>
                <c:pt idx="1">
                  <c:v>3.47</c:v>
                </c:pt>
                <c:pt idx="3">
                  <c:v>4.8239999999999998</c:v>
                </c:pt>
                <c:pt idx="4">
                  <c:v>4.0090000000000003</c:v>
                </c:pt>
                <c:pt idx="5">
                  <c:v>4.032</c:v>
                </c:pt>
                <c:pt idx="7">
                  <c:v>4.2640000000000002</c:v>
                </c:pt>
                <c:pt idx="8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71-4C2E-A29B-F956D5BF1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3424"/>
        <c:axId val="216837168"/>
      </c:scatterChart>
      <c:valAx>
        <c:axId val="216833424"/>
        <c:scaling>
          <c:orientation val="minMax"/>
          <c:max val="225"/>
          <c:min val="2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7168"/>
        <c:crosses val="autoZero"/>
        <c:crossBetween val="midCat"/>
      </c:valAx>
      <c:valAx>
        <c:axId val="21683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3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1'!$B$2:$B$16</c:f>
              <c:numCache>
                <c:formatCode>General</c:formatCode>
                <c:ptCount val="15"/>
                <c:pt idx="0">
                  <c:v>2044.9169999999999</c:v>
                </c:pt>
                <c:pt idx="1">
                  <c:v>251.37899999999999</c:v>
                </c:pt>
                <c:pt idx="2">
                  <c:v>244.58199999999999</c:v>
                </c:pt>
                <c:pt idx="3">
                  <c:v>1565.6189999999999</c:v>
                </c:pt>
                <c:pt idx="4">
                  <c:v>544.70899999999995</c:v>
                </c:pt>
                <c:pt idx="5">
                  <c:v>416.72899999999998</c:v>
                </c:pt>
                <c:pt idx="6">
                  <c:v>208.85</c:v>
                </c:pt>
                <c:pt idx="7">
                  <c:v>541.05700000000002</c:v>
                </c:pt>
                <c:pt idx="8">
                  <c:v>444.47500000000002</c:v>
                </c:pt>
                <c:pt idx="9">
                  <c:v>208.08</c:v>
                </c:pt>
                <c:pt idx="10">
                  <c:v>207.65</c:v>
                </c:pt>
                <c:pt idx="11">
                  <c:v>214.54</c:v>
                </c:pt>
                <c:pt idx="12">
                  <c:v>206.91</c:v>
                </c:pt>
                <c:pt idx="13">
                  <c:v>324.39600000000002</c:v>
                </c:pt>
              </c:numCache>
            </c:numRef>
          </c:xVal>
          <c:yVal>
            <c:numRef>
              <c:f>'Driver 1'!$F$2:$F$16</c:f>
              <c:numCache>
                <c:formatCode>General</c:formatCode>
                <c:ptCount val="15"/>
                <c:pt idx="1">
                  <c:v>3.1589999999999998</c:v>
                </c:pt>
                <c:pt idx="5">
                  <c:v>2.7519999999999998</c:v>
                </c:pt>
                <c:pt idx="6">
                  <c:v>2.577</c:v>
                </c:pt>
                <c:pt idx="8">
                  <c:v>2.524</c:v>
                </c:pt>
                <c:pt idx="9">
                  <c:v>3.51</c:v>
                </c:pt>
                <c:pt idx="10">
                  <c:v>3.5739999999999998</c:v>
                </c:pt>
                <c:pt idx="11">
                  <c:v>3.6190000000000002</c:v>
                </c:pt>
                <c:pt idx="12">
                  <c:v>2.9990000000000001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E-4999-A7FE-80A70A5F3A04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2'!$B$2:$B$12</c:f>
              <c:numCache>
                <c:formatCode>General</c:formatCode>
                <c:ptCount val="11"/>
                <c:pt idx="0">
                  <c:v>2708.4029999999998</c:v>
                </c:pt>
                <c:pt idx="1">
                  <c:v>1159.636</c:v>
                </c:pt>
                <c:pt idx="2">
                  <c:v>218.98</c:v>
                </c:pt>
                <c:pt idx="3">
                  <c:v>248.696</c:v>
                </c:pt>
                <c:pt idx="4">
                  <c:v>2172.1750000000002</c:v>
                </c:pt>
                <c:pt idx="5">
                  <c:v>212.95</c:v>
                </c:pt>
                <c:pt idx="6">
                  <c:v>282.04000000000002</c:v>
                </c:pt>
                <c:pt idx="7">
                  <c:v>278.75200000000001</c:v>
                </c:pt>
                <c:pt idx="8">
                  <c:v>212.68</c:v>
                </c:pt>
                <c:pt idx="9">
                  <c:v>248.08</c:v>
                </c:pt>
              </c:numCache>
            </c:numRef>
          </c:xVal>
          <c:yVal>
            <c:numRef>
              <c:f>'Driver 2'!$F$2:$F$12</c:f>
              <c:numCache>
                <c:formatCode>General</c:formatCode>
                <c:ptCount val="11"/>
                <c:pt idx="1">
                  <c:v>4.1070000000000002</c:v>
                </c:pt>
                <c:pt idx="2">
                  <c:v>4.2960000000000003</c:v>
                </c:pt>
                <c:pt idx="4">
                  <c:v>6.8</c:v>
                </c:pt>
                <c:pt idx="5">
                  <c:v>4.8849999999999998</c:v>
                </c:pt>
                <c:pt idx="7">
                  <c:v>3.3919999999999999</c:v>
                </c:pt>
                <c:pt idx="8">
                  <c:v>3.5209999999999999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1E-4999-A7FE-80A70A5F3A04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289.495</c:v>
                </c:pt>
                <c:pt idx="1">
                  <c:v>216.96</c:v>
                </c:pt>
                <c:pt idx="2">
                  <c:v>249.86099999999999</c:v>
                </c:pt>
                <c:pt idx="3">
                  <c:v>259.78300000000002</c:v>
                </c:pt>
                <c:pt idx="4">
                  <c:v>214.62</c:v>
                </c:pt>
                <c:pt idx="5">
                  <c:v>210.3</c:v>
                </c:pt>
                <c:pt idx="6">
                  <c:v>287.36</c:v>
                </c:pt>
                <c:pt idx="7">
                  <c:v>577.65700000000004</c:v>
                </c:pt>
                <c:pt idx="8">
                  <c:v>216.62</c:v>
                </c:pt>
                <c:pt idx="9">
                  <c:v>237.14400000000001</c:v>
                </c:pt>
              </c:numCache>
            </c:numRef>
          </c:xVal>
          <c:yVal>
            <c:numRef>
              <c:f>'Driver 3'!$F$2:$F$12</c:f>
              <c:numCache>
                <c:formatCode>General</c:formatCode>
                <c:ptCount val="11"/>
                <c:pt idx="0">
                  <c:v>3.4649999999999999</c:v>
                </c:pt>
                <c:pt idx="1">
                  <c:v>3.585</c:v>
                </c:pt>
                <c:pt idx="3">
                  <c:v>3.5630000000000002</c:v>
                </c:pt>
                <c:pt idx="4">
                  <c:v>3.9020000000000001</c:v>
                </c:pt>
                <c:pt idx="5">
                  <c:v>3.5859999999999999</c:v>
                </c:pt>
                <c:pt idx="7">
                  <c:v>3.512</c:v>
                </c:pt>
                <c:pt idx="8">
                  <c:v>3.5139999999999998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E-4999-A7FE-80A70A5F3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5920"/>
        <c:axId val="216833424"/>
      </c:scatterChart>
      <c:valAx>
        <c:axId val="216835920"/>
        <c:scaling>
          <c:orientation val="minMax"/>
          <c:max val="225"/>
          <c:min val="2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3424"/>
        <c:crosses val="autoZero"/>
        <c:crossBetween val="midCat"/>
      </c:valAx>
      <c:valAx>
        <c:axId val="2168334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1'!$E$2:$E$16</c:f>
              <c:numCache>
                <c:formatCode>General</c:formatCode>
                <c:ptCount val="15"/>
                <c:pt idx="1">
                  <c:v>4.0469999999999997</c:v>
                </c:pt>
                <c:pt idx="5">
                  <c:v>4.7069999999999999</c:v>
                </c:pt>
                <c:pt idx="6">
                  <c:v>2.5979999999999999</c:v>
                </c:pt>
                <c:pt idx="8">
                  <c:v>4.0330000000000004</c:v>
                </c:pt>
                <c:pt idx="9">
                  <c:v>5.0439999999999996</c:v>
                </c:pt>
                <c:pt idx="10">
                  <c:v>5.01</c:v>
                </c:pt>
                <c:pt idx="11">
                  <c:v>4.6589999999999998</c:v>
                </c:pt>
                <c:pt idx="12">
                  <c:v>2.7829999999999999</c:v>
                </c:pt>
              </c:numCache>
            </c:numRef>
          </c:xVal>
          <c:yVal>
            <c:numRef>
              <c:f>'Driver 1'!$C$2:$C$16</c:f>
              <c:numCache>
                <c:formatCode>General</c:formatCode>
                <c:ptCount val="15"/>
                <c:pt idx="0">
                  <c:v>5.59</c:v>
                </c:pt>
                <c:pt idx="1">
                  <c:v>5.82</c:v>
                </c:pt>
                <c:pt idx="2">
                  <c:v>5.8</c:v>
                </c:pt>
                <c:pt idx="3">
                  <c:v>5.68</c:v>
                </c:pt>
                <c:pt idx="4">
                  <c:v>5.9</c:v>
                </c:pt>
                <c:pt idx="5">
                  <c:v>5.86</c:v>
                </c:pt>
                <c:pt idx="6">
                  <c:v>6.05</c:v>
                </c:pt>
                <c:pt idx="7">
                  <c:v>2.82</c:v>
                </c:pt>
                <c:pt idx="8">
                  <c:v>5.8</c:v>
                </c:pt>
                <c:pt idx="9">
                  <c:v>6.09</c:v>
                </c:pt>
                <c:pt idx="10">
                  <c:v>6.09</c:v>
                </c:pt>
                <c:pt idx="11">
                  <c:v>5.88</c:v>
                </c:pt>
                <c:pt idx="12">
                  <c:v>6.13</c:v>
                </c:pt>
                <c:pt idx="13">
                  <c:v>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02-4C0A-93E0-9F1CF565AA46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2'!$E$2:$E$12</c:f>
              <c:numCache>
                <c:formatCode>General</c:formatCode>
                <c:ptCount val="11"/>
                <c:pt idx="1">
                  <c:v>3.9430000000000001</c:v>
                </c:pt>
                <c:pt idx="2">
                  <c:v>4.5860000000000003</c:v>
                </c:pt>
                <c:pt idx="4">
                  <c:v>11.038</c:v>
                </c:pt>
                <c:pt idx="5">
                  <c:v>5.7889999999999997</c:v>
                </c:pt>
                <c:pt idx="7">
                  <c:v>5.0179999999999998</c:v>
                </c:pt>
                <c:pt idx="8">
                  <c:v>4.7729999999999997</c:v>
                </c:pt>
              </c:numCache>
            </c:numRef>
          </c:xVal>
          <c:yVal>
            <c:numRef>
              <c:f>'Driver 2'!$C$2:$C$12</c:f>
              <c:numCache>
                <c:formatCode>General</c:formatCode>
                <c:ptCount val="11"/>
                <c:pt idx="0">
                  <c:v>2.93</c:v>
                </c:pt>
                <c:pt idx="1">
                  <c:v>5.41</c:v>
                </c:pt>
                <c:pt idx="2">
                  <c:v>5.67</c:v>
                </c:pt>
                <c:pt idx="3">
                  <c:v>5.65</c:v>
                </c:pt>
                <c:pt idx="4">
                  <c:v>5.61</c:v>
                </c:pt>
                <c:pt idx="5">
                  <c:v>5.94</c:v>
                </c:pt>
                <c:pt idx="6">
                  <c:v>-11.55</c:v>
                </c:pt>
                <c:pt idx="7">
                  <c:v>5.6</c:v>
                </c:pt>
                <c:pt idx="8">
                  <c:v>5.93</c:v>
                </c:pt>
                <c:pt idx="9">
                  <c:v>-11.53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02-4C0A-93E0-9F1CF565AA46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3'!$E$2:$E$12</c:f>
              <c:numCache>
                <c:formatCode>General</c:formatCode>
                <c:ptCount val="11"/>
                <c:pt idx="0">
                  <c:v>4.0709999999999997</c:v>
                </c:pt>
                <c:pt idx="1">
                  <c:v>3.47</c:v>
                </c:pt>
                <c:pt idx="3">
                  <c:v>4.8239999999999998</c:v>
                </c:pt>
                <c:pt idx="4">
                  <c:v>4.0090000000000003</c:v>
                </c:pt>
                <c:pt idx="5">
                  <c:v>4.032</c:v>
                </c:pt>
                <c:pt idx="7">
                  <c:v>4.2640000000000002</c:v>
                </c:pt>
                <c:pt idx="8">
                  <c:v>3.8559999999999999</c:v>
                </c:pt>
              </c:numCache>
            </c:numRef>
          </c:xVal>
          <c:yVal>
            <c:numRef>
              <c:f>'Driver 3'!$C$2:$C$12</c:f>
              <c:numCache>
                <c:formatCode>General</c:formatCode>
                <c:ptCount val="11"/>
                <c:pt idx="0">
                  <c:v>5.71</c:v>
                </c:pt>
                <c:pt idx="1">
                  <c:v>5.84</c:v>
                </c:pt>
                <c:pt idx="2">
                  <c:v>5.92</c:v>
                </c:pt>
                <c:pt idx="3">
                  <c:v>5.75</c:v>
                </c:pt>
                <c:pt idx="4">
                  <c:v>5.93</c:v>
                </c:pt>
                <c:pt idx="5">
                  <c:v>6.02</c:v>
                </c:pt>
                <c:pt idx="6">
                  <c:v>-17.7</c:v>
                </c:pt>
                <c:pt idx="7">
                  <c:v>5.91</c:v>
                </c:pt>
                <c:pt idx="8">
                  <c:v>5.99</c:v>
                </c:pt>
                <c:pt idx="9">
                  <c:v>5.95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02-4C0A-93E0-9F1CF565A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3008"/>
        <c:axId val="216833840"/>
      </c:scatterChart>
      <c:valAx>
        <c:axId val="216833008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3840"/>
        <c:crosses val="autoZero"/>
        <c:crossBetween val="midCat"/>
      </c:valAx>
      <c:valAx>
        <c:axId val="216833840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3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1'!$E$2:$E$16</c:f>
              <c:numCache>
                <c:formatCode>General</c:formatCode>
                <c:ptCount val="15"/>
                <c:pt idx="1">
                  <c:v>4.0469999999999997</c:v>
                </c:pt>
                <c:pt idx="5">
                  <c:v>4.7069999999999999</c:v>
                </c:pt>
                <c:pt idx="6">
                  <c:v>2.5979999999999999</c:v>
                </c:pt>
                <c:pt idx="8">
                  <c:v>4.0330000000000004</c:v>
                </c:pt>
                <c:pt idx="9">
                  <c:v>5.0439999999999996</c:v>
                </c:pt>
                <c:pt idx="10">
                  <c:v>5.01</c:v>
                </c:pt>
                <c:pt idx="11">
                  <c:v>4.6589999999999998</c:v>
                </c:pt>
                <c:pt idx="12">
                  <c:v>2.7829999999999999</c:v>
                </c:pt>
              </c:numCache>
            </c:numRef>
          </c:xVal>
          <c:yVal>
            <c:numRef>
              <c:f>'Driver 1'!$G$2:$G$16</c:f>
              <c:numCache>
                <c:formatCode>General</c:formatCode>
                <c:ptCount val="15"/>
                <c:pt idx="0">
                  <c:v>65.180000000000007</c:v>
                </c:pt>
                <c:pt idx="1">
                  <c:v>68.260000000000005</c:v>
                </c:pt>
                <c:pt idx="2">
                  <c:v>70.12</c:v>
                </c:pt>
                <c:pt idx="3">
                  <c:v>66.06</c:v>
                </c:pt>
                <c:pt idx="4">
                  <c:v>69.84</c:v>
                </c:pt>
                <c:pt idx="5">
                  <c:v>-711.16</c:v>
                </c:pt>
                <c:pt idx="6">
                  <c:v>76.16</c:v>
                </c:pt>
                <c:pt idx="7">
                  <c:v>19.62</c:v>
                </c:pt>
                <c:pt idx="8">
                  <c:v>-95.26</c:v>
                </c:pt>
                <c:pt idx="9">
                  <c:v>76.52</c:v>
                </c:pt>
                <c:pt idx="10">
                  <c:v>76.5</c:v>
                </c:pt>
                <c:pt idx="11">
                  <c:v>73.040000000000006</c:v>
                </c:pt>
                <c:pt idx="12">
                  <c:v>76.78</c:v>
                </c:pt>
                <c:pt idx="13">
                  <c:v>37.58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AC-48F0-B97E-4B25B5464BE5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2'!$E$2:$E$12</c:f>
              <c:numCache>
                <c:formatCode>General</c:formatCode>
                <c:ptCount val="11"/>
                <c:pt idx="1">
                  <c:v>3.9430000000000001</c:v>
                </c:pt>
                <c:pt idx="2">
                  <c:v>4.5860000000000003</c:v>
                </c:pt>
                <c:pt idx="4">
                  <c:v>11.038</c:v>
                </c:pt>
                <c:pt idx="5">
                  <c:v>5.7889999999999997</c:v>
                </c:pt>
                <c:pt idx="7">
                  <c:v>5.0179999999999998</c:v>
                </c:pt>
                <c:pt idx="8">
                  <c:v>4.7729999999999997</c:v>
                </c:pt>
              </c:numCache>
            </c:numRef>
          </c:xVal>
          <c:yVal>
            <c:numRef>
              <c:f>'Driver 2'!$G$2:$G$12</c:f>
              <c:numCache>
                <c:formatCode>General</c:formatCode>
                <c:ptCount val="11"/>
                <c:pt idx="0">
                  <c:v>-225.5</c:v>
                </c:pt>
                <c:pt idx="1">
                  <c:v>63.84</c:v>
                </c:pt>
                <c:pt idx="2">
                  <c:v>70.16</c:v>
                </c:pt>
                <c:pt idx="3">
                  <c:v>69.099999999999994</c:v>
                </c:pt>
                <c:pt idx="4">
                  <c:v>-344.16</c:v>
                </c:pt>
                <c:pt idx="5">
                  <c:v>74.42</c:v>
                </c:pt>
                <c:pt idx="6">
                  <c:v>72.38</c:v>
                </c:pt>
                <c:pt idx="7">
                  <c:v>-145.58000000000001</c:v>
                </c:pt>
                <c:pt idx="8">
                  <c:v>74.52</c:v>
                </c:pt>
                <c:pt idx="9">
                  <c:v>71.040000000000006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AC-48F0-B97E-4B25B5464BE5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3'!$E$2:$E$12</c:f>
              <c:numCache>
                <c:formatCode>General</c:formatCode>
                <c:ptCount val="11"/>
                <c:pt idx="0">
                  <c:v>4.0709999999999997</c:v>
                </c:pt>
                <c:pt idx="1">
                  <c:v>3.47</c:v>
                </c:pt>
                <c:pt idx="3">
                  <c:v>4.8239999999999998</c:v>
                </c:pt>
                <c:pt idx="4">
                  <c:v>4.0090000000000003</c:v>
                </c:pt>
                <c:pt idx="5">
                  <c:v>4.032</c:v>
                </c:pt>
                <c:pt idx="7">
                  <c:v>4.2640000000000002</c:v>
                </c:pt>
                <c:pt idx="8">
                  <c:v>3.8559999999999999</c:v>
                </c:pt>
              </c:numCache>
            </c:numRef>
          </c:xVal>
          <c:yVal>
            <c:numRef>
              <c:f>'Driver 3'!$G$2:$G$12</c:f>
              <c:numCache>
                <c:formatCode>General</c:formatCode>
                <c:ptCount val="11"/>
                <c:pt idx="0">
                  <c:v>68.66</c:v>
                </c:pt>
                <c:pt idx="1">
                  <c:v>72.06</c:v>
                </c:pt>
                <c:pt idx="2">
                  <c:v>72.16</c:v>
                </c:pt>
                <c:pt idx="3">
                  <c:v>-143.44</c:v>
                </c:pt>
                <c:pt idx="4">
                  <c:v>74.12</c:v>
                </c:pt>
                <c:pt idx="5">
                  <c:v>75.28</c:v>
                </c:pt>
                <c:pt idx="6">
                  <c:v>72.88</c:v>
                </c:pt>
                <c:pt idx="7">
                  <c:v>-220.88</c:v>
                </c:pt>
                <c:pt idx="8">
                  <c:v>74.88</c:v>
                </c:pt>
                <c:pt idx="9">
                  <c:v>73.760000000000005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AC-48F0-B97E-4B25B5464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44656"/>
        <c:axId val="216836752"/>
      </c:scatterChart>
      <c:valAx>
        <c:axId val="21684465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36752"/>
        <c:crosses val="autoZero"/>
        <c:crossBetween val="midCat"/>
      </c:valAx>
      <c:valAx>
        <c:axId val="216836752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84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All!$BE$6:$BE$186</c:f>
              <c:numCache>
                <c:formatCode>General</c:formatCode>
                <c:ptCount val="181"/>
                <c:pt idx="0">
                  <c:v>18.73</c:v>
                </c:pt>
                <c:pt idx="4">
                  <c:v>22.315000000000001</c:v>
                </c:pt>
                <c:pt idx="5">
                  <c:v>23.385000000000002</c:v>
                </c:pt>
                <c:pt idx="6">
                  <c:v>24.36</c:v>
                </c:pt>
                <c:pt idx="10">
                  <c:v>22.38</c:v>
                </c:pt>
                <c:pt idx="11">
                  <c:v>22.945</c:v>
                </c:pt>
                <c:pt idx="12">
                  <c:v>23.704999999999998</c:v>
                </c:pt>
                <c:pt idx="16">
                  <c:v>21.53</c:v>
                </c:pt>
                <c:pt idx="20">
                  <c:v>22.87</c:v>
                </c:pt>
                <c:pt idx="21">
                  <c:v>23.274999999999999</c:v>
                </c:pt>
                <c:pt idx="23">
                  <c:v>22.87</c:v>
                </c:pt>
                <c:pt idx="24">
                  <c:v>23.274999999999999</c:v>
                </c:pt>
                <c:pt idx="25">
                  <c:v>22.605</c:v>
                </c:pt>
                <c:pt idx="29">
                  <c:v>24.395</c:v>
                </c:pt>
                <c:pt idx="33">
                  <c:v>23.234999999999999</c:v>
                </c:pt>
                <c:pt idx="34">
                  <c:v>24.79</c:v>
                </c:pt>
                <c:pt idx="35">
                  <c:v>24.22</c:v>
                </c:pt>
                <c:pt idx="39">
                  <c:v>23.184999999999999</c:v>
                </c:pt>
                <c:pt idx="40">
                  <c:v>25.42</c:v>
                </c:pt>
                <c:pt idx="41">
                  <c:v>25.96</c:v>
                </c:pt>
                <c:pt idx="42">
                  <c:v>25.37</c:v>
                </c:pt>
                <c:pt idx="43">
                  <c:v>25.33</c:v>
                </c:pt>
                <c:pt idx="44">
                  <c:v>23.44</c:v>
                </c:pt>
                <c:pt idx="48">
                  <c:v>23.515000000000001</c:v>
                </c:pt>
                <c:pt idx="49">
                  <c:v>24.195</c:v>
                </c:pt>
                <c:pt idx="50">
                  <c:v>24.61</c:v>
                </c:pt>
                <c:pt idx="54">
                  <c:v>23.524999999999999</c:v>
                </c:pt>
                <c:pt idx="55">
                  <c:v>24.18</c:v>
                </c:pt>
                <c:pt idx="56">
                  <c:v>23.324999999999999</c:v>
                </c:pt>
                <c:pt idx="60">
                  <c:v>22.555</c:v>
                </c:pt>
                <c:pt idx="61">
                  <c:v>23.765000000000001</c:v>
                </c:pt>
                <c:pt idx="62">
                  <c:v>23.995000000000001</c:v>
                </c:pt>
                <c:pt idx="63">
                  <c:v>24.725000000000001</c:v>
                </c:pt>
                <c:pt idx="67">
                  <c:v>22.465</c:v>
                </c:pt>
                <c:pt idx="68">
                  <c:v>23.21</c:v>
                </c:pt>
                <c:pt idx="69">
                  <c:v>23.73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All!$BF$6:$BF$186</c:f>
              <c:numCache>
                <c:formatCode>General</c:formatCode>
                <c:ptCount val="181"/>
                <c:pt idx="0">
                  <c:v>10.07</c:v>
                </c:pt>
                <c:pt idx="4">
                  <c:v>11.9</c:v>
                </c:pt>
                <c:pt idx="5">
                  <c:v>12.69</c:v>
                </c:pt>
                <c:pt idx="6">
                  <c:v>13.645</c:v>
                </c:pt>
                <c:pt idx="10">
                  <c:v>12.34</c:v>
                </c:pt>
                <c:pt idx="11">
                  <c:v>12.77</c:v>
                </c:pt>
                <c:pt idx="12">
                  <c:v>11.865</c:v>
                </c:pt>
                <c:pt idx="16">
                  <c:v>12.055</c:v>
                </c:pt>
                <c:pt idx="20">
                  <c:v>13.494999999999999</c:v>
                </c:pt>
                <c:pt idx="21">
                  <c:v>13.835000000000001</c:v>
                </c:pt>
                <c:pt idx="23">
                  <c:v>13.494999999999999</c:v>
                </c:pt>
                <c:pt idx="24">
                  <c:v>13.835000000000001</c:v>
                </c:pt>
                <c:pt idx="25">
                  <c:v>14.085000000000001</c:v>
                </c:pt>
                <c:pt idx="29">
                  <c:v>14.16</c:v>
                </c:pt>
                <c:pt idx="33">
                  <c:v>12.355</c:v>
                </c:pt>
                <c:pt idx="34">
                  <c:v>15.49</c:v>
                </c:pt>
                <c:pt idx="35">
                  <c:v>9.42</c:v>
                </c:pt>
                <c:pt idx="39">
                  <c:v>11.84</c:v>
                </c:pt>
                <c:pt idx="40">
                  <c:v>15.63</c:v>
                </c:pt>
                <c:pt idx="41">
                  <c:v>15.225</c:v>
                </c:pt>
                <c:pt idx="42">
                  <c:v>12.795</c:v>
                </c:pt>
                <c:pt idx="43">
                  <c:v>16.074999999999999</c:v>
                </c:pt>
                <c:pt idx="44">
                  <c:v>12.845000000000001</c:v>
                </c:pt>
                <c:pt idx="48">
                  <c:v>12.82</c:v>
                </c:pt>
                <c:pt idx="49">
                  <c:v>13.91</c:v>
                </c:pt>
                <c:pt idx="50">
                  <c:v>14.4</c:v>
                </c:pt>
                <c:pt idx="54">
                  <c:v>13.38</c:v>
                </c:pt>
                <c:pt idx="55">
                  <c:v>14.234999999999999</c:v>
                </c:pt>
                <c:pt idx="56">
                  <c:v>14.824999999999999</c:v>
                </c:pt>
                <c:pt idx="60">
                  <c:v>12.795</c:v>
                </c:pt>
                <c:pt idx="61">
                  <c:v>14.75</c:v>
                </c:pt>
                <c:pt idx="62">
                  <c:v>14.85</c:v>
                </c:pt>
                <c:pt idx="63">
                  <c:v>14.535</c:v>
                </c:pt>
                <c:pt idx="67">
                  <c:v>14.095000000000001</c:v>
                </c:pt>
                <c:pt idx="68">
                  <c:v>14.16</c:v>
                </c:pt>
                <c:pt idx="69">
                  <c:v>15.355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All!$BG$6:$BG$186</c:f>
              <c:numCache>
                <c:formatCode>General</c:formatCode>
                <c:ptCount val="181"/>
                <c:pt idx="0">
                  <c:v>22.22</c:v>
                </c:pt>
                <c:pt idx="4">
                  <c:v>27.18</c:v>
                </c:pt>
                <c:pt idx="5">
                  <c:v>30.7</c:v>
                </c:pt>
                <c:pt idx="6">
                  <c:v>30.11</c:v>
                </c:pt>
                <c:pt idx="10">
                  <c:v>30.56</c:v>
                </c:pt>
                <c:pt idx="11">
                  <c:v>30.01</c:v>
                </c:pt>
                <c:pt idx="12">
                  <c:v>31.38</c:v>
                </c:pt>
                <c:pt idx="16">
                  <c:v>24.55</c:v>
                </c:pt>
                <c:pt idx="20">
                  <c:v>26.61</c:v>
                </c:pt>
                <c:pt idx="21">
                  <c:v>28.97</c:v>
                </c:pt>
                <c:pt idx="23">
                  <c:v>26.61</c:v>
                </c:pt>
                <c:pt idx="24">
                  <c:v>28.97</c:v>
                </c:pt>
                <c:pt idx="25">
                  <c:v>26.4</c:v>
                </c:pt>
                <c:pt idx="29">
                  <c:v>27.08</c:v>
                </c:pt>
                <c:pt idx="33">
                  <c:v>26.48</c:v>
                </c:pt>
                <c:pt idx="34">
                  <c:v>28.35</c:v>
                </c:pt>
                <c:pt idx="35">
                  <c:v>26.53</c:v>
                </c:pt>
                <c:pt idx="39">
                  <c:v>27.12</c:v>
                </c:pt>
                <c:pt idx="40">
                  <c:v>30.49</c:v>
                </c:pt>
                <c:pt idx="41">
                  <c:v>31.02</c:v>
                </c:pt>
                <c:pt idx="42">
                  <c:v>29.96</c:v>
                </c:pt>
                <c:pt idx="43">
                  <c:v>30.66</c:v>
                </c:pt>
                <c:pt idx="44">
                  <c:v>26.51</c:v>
                </c:pt>
                <c:pt idx="48">
                  <c:v>27.31</c:v>
                </c:pt>
                <c:pt idx="49">
                  <c:v>29.6</c:v>
                </c:pt>
                <c:pt idx="50">
                  <c:v>27.69</c:v>
                </c:pt>
                <c:pt idx="54">
                  <c:v>28.5</c:v>
                </c:pt>
                <c:pt idx="55">
                  <c:v>27.88</c:v>
                </c:pt>
                <c:pt idx="56">
                  <c:v>26.61</c:v>
                </c:pt>
                <c:pt idx="60">
                  <c:v>25.81</c:v>
                </c:pt>
                <c:pt idx="61">
                  <c:v>27.42</c:v>
                </c:pt>
                <c:pt idx="62">
                  <c:v>28.46</c:v>
                </c:pt>
                <c:pt idx="63">
                  <c:v>28.46</c:v>
                </c:pt>
                <c:pt idx="67">
                  <c:v>27.93</c:v>
                </c:pt>
                <c:pt idx="68">
                  <c:v>27.1</c:v>
                </c:pt>
                <c:pt idx="69">
                  <c:v>27.78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All!$BH$6:$BH$186</c:f>
              <c:numCache>
                <c:formatCode>General</c:formatCode>
                <c:ptCount val="181"/>
                <c:pt idx="0">
                  <c:v>23.08</c:v>
                </c:pt>
                <c:pt idx="4">
                  <c:v>27.99</c:v>
                </c:pt>
                <c:pt idx="5">
                  <c:v>29.18</c:v>
                </c:pt>
                <c:pt idx="6">
                  <c:v>28.76</c:v>
                </c:pt>
                <c:pt idx="10">
                  <c:v>30.13</c:v>
                </c:pt>
                <c:pt idx="11">
                  <c:v>28.61</c:v>
                </c:pt>
                <c:pt idx="12">
                  <c:v>30.6</c:v>
                </c:pt>
                <c:pt idx="16">
                  <c:v>25.6</c:v>
                </c:pt>
                <c:pt idx="20">
                  <c:v>25.62</c:v>
                </c:pt>
                <c:pt idx="21">
                  <c:v>26.47</c:v>
                </c:pt>
                <c:pt idx="23">
                  <c:v>25.62</c:v>
                </c:pt>
                <c:pt idx="24">
                  <c:v>26.47</c:v>
                </c:pt>
                <c:pt idx="25">
                  <c:v>26.04</c:v>
                </c:pt>
                <c:pt idx="29">
                  <c:v>26.28</c:v>
                </c:pt>
                <c:pt idx="33">
                  <c:v>26.74</c:v>
                </c:pt>
                <c:pt idx="34">
                  <c:v>27.08</c:v>
                </c:pt>
                <c:pt idx="35">
                  <c:v>20.77</c:v>
                </c:pt>
                <c:pt idx="39">
                  <c:v>26.95</c:v>
                </c:pt>
                <c:pt idx="40">
                  <c:v>31.25</c:v>
                </c:pt>
                <c:pt idx="41">
                  <c:v>27.1</c:v>
                </c:pt>
                <c:pt idx="42">
                  <c:v>27.19</c:v>
                </c:pt>
                <c:pt idx="43">
                  <c:v>30.91</c:v>
                </c:pt>
                <c:pt idx="44">
                  <c:v>20.83</c:v>
                </c:pt>
                <c:pt idx="48">
                  <c:v>26.55</c:v>
                </c:pt>
                <c:pt idx="49">
                  <c:v>30.18</c:v>
                </c:pt>
                <c:pt idx="50">
                  <c:v>30.72</c:v>
                </c:pt>
                <c:pt idx="54">
                  <c:v>29.82</c:v>
                </c:pt>
                <c:pt idx="55">
                  <c:v>27</c:v>
                </c:pt>
                <c:pt idx="56">
                  <c:v>27.93</c:v>
                </c:pt>
                <c:pt idx="60">
                  <c:v>25.03</c:v>
                </c:pt>
                <c:pt idx="61">
                  <c:v>27.31</c:v>
                </c:pt>
                <c:pt idx="62">
                  <c:v>31.08</c:v>
                </c:pt>
                <c:pt idx="63">
                  <c:v>30.98</c:v>
                </c:pt>
                <c:pt idx="67">
                  <c:v>28.86</c:v>
                </c:pt>
                <c:pt idx="68">
                  <c:v>26.42</c:v>
                </c:pt>
                <c:pt idx="69">
                  <c:v>27.87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45:08.4</c:v>
                </c:pt>
                <c:pt idx="4">
                  <c:v>19:19.6</c:v>
                </c:pt>
                <c:pt idx="5">
                  <c:v>03:38.9</c:v>
                </c:pt>
                <c:pt idx="6">
                  <c:v>04:08.7</c:v>
                </c:pt>
                <c:pt idx="10">
                  <c:v>04:49.5</c:v>
                </c:pt>
                <c:pt idx="11">
                  <c:v>03:36.9</c:v>
                </c:pt>
                <c:pt idx="12">
                  <c:v>04:09.9</c:v>
                </c:pt>
                <c:pt idx="16">
                  <c:v>34:04.9</c:v>
                </c:pt>
                <c:pt idx="20">
                  <c:v>04:11.4</c:v>
                </c:pt>
                <c:pt idx="21">
                  <c:v>04:04.6</c:v>
                </c:pt>
                <c:pt idx="23">
                  <c:v>04:11.4</c:v>
                </c:pt>
                <c:pt idx="24">
                  <c:v>04:04.6</c:v>
                </c:pt>
                <c:pt idx="25">
                  <c:v>26:05.62 &gt;</c:v>
                </c:pt>
                <c:pt idx="29">
                  <c:v>09:04.7</c:v>
                </c:pt>
                <c:pt idx="33">
                  <c:v>06:56.7</c:v>
                </c:pt>
                <c:pt idx="34">
                  <c:v>03:28.8</c:v>
                </c:pt>
                <c:pt idx="35">
                  <c:v>09:01.1</c:v>
                </c:pt>
                <c:pt idx="39">
                  <c:v>07:24.5</c:v>
                </c:pt>
                <c:pt idx="40">
                  <c:v>03:28.0</c:v>
                </c:pt>
                <c:pt idx="41">
                  <c:v>03:27.6</c:v>
                </c:pt>
                <c:pt idx="42">
                  <c:v>03:34.5</c:v>
                </c:pt>
                <c:pt idx="43">
                  <c:v>03:26.9</c:v>
                </c:pt>
                <c:pt idx="44">
                  <c:v>05:24.4</c:v>
                </c:pt>
                <c:pt idx="48">
                  <c:v>36:12.2</c:v>
                </c:pt>
                <c:pt idx="49">
                  <c:v>03:33.0</c:v>
                </c:pt>
                <c:pt idx="50">
                  <c:v>04:42.0</c:v>
                </c:pt>
                <c:pt idx="54">
                  <c:v>04:38.7</c:v>
                </c:pt>
                <c:pt idx="55">
                  <c:v>03:32.7</c:v>
                </c:pt>
                <c:pt idx="56">
                  <c:v>04:08.1</c:v>
                </c:pt>
                <c:pt idx="60">
                  <c:v>04:19.8</c:v>
                </c:pt>
                <c:pt idx="61">
                  <c:v>03:34.6</c:v>
                </c:pt>
                <c:pt idx="62">
                  <c:v>03:30.3</c:v>
                </c:pt>
                <c:pt idx="63">
                  <c:v>04:47.4</c:v>
                </c:pt>
                <c:pt idx="67">
                  <c:v>09:37.7</c:v>
                </c:pt>
                <c:pt idx="68">
                  <c:v>03:36.6</c:v>
                </c:pt>
                <c:pt idx="69">
                  <c:v>03:57.1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10889" name="Chart 10888">
          <a:extLst>
            <a:ext uri="{FF2B5EF4-FFF2-40B4-BE49-F238E27FC236}">
              <a16:creationId xmlns:a16="http://schemas.microsoft.com/office/drawing/2014/main" id="{83B9D5F8-3D14-4489-BE9D-095E2CAC2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10890" name="Chart 10889">
          <a:extLst>
            <a:ext uri="{FF2B5EF4-FFF2-40B4-BE49-F238E27FC236}">
              <a16:creationId xmlns:a16="http://schemas.microsoft.com/office/drawing/2014/main" id="{DA141DCE-C2EA-4A46-A4BE-2181F4E18E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10891" name="Chart 10890">
          <a:extLst>
            <a:ext uri="{FF2B5EF4-FFF2-40B4-BE49-F238E27FC236}">
              <a16:creationId xmlns:a16="http://schemas.microsoft.com/office/drawing/2014/main" id="{74548CFE-68E2-4429-8ED2-73D38F86E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10892" name="Chart 10891">
          <a:extLst>
            <a:ext uri="{FF2B5EF4-FFF2-40B4-BE49-F238E27FC236}">
              <a16:creationId xmlns:a16="http://schemas.microsoft.com/office/drawing/2014/main" id="{D18D8B56-5BE1-4BA4-98FB-6224623AD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10893" name="Chart 10892">
          <a:extLst>
            <a:ext uri="{FF2B5EF4-FFF2-40B4-BE49-F238E27FC236}">
              <a16:creationId xmlns:a16="http://schemas.microsoft.com/office/drawing/2014/main" id="{166922EF-E943-4E82-80BA-C9E2C77AA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10894" name="Chart 10893">
          <a:extLst>
            <a:ext uri="{FF2B5EF4-FFF2-40B4-BE49-F238E27FC236}">
              <a16:creationId xmlns:a16="http://schemas.microsoft.com/office/drawing/2014/main" id="{8A7BE7A9-AA83-410C-AFE7-3D15E1FD21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10895" name="Chart 10894">
          <a:extLst>
            <a:ext uri="{FF2B5EF4-FFF2-40B4-BE49-F238E27FC236}">
              <a16:creationId xmlns:a16="http://schemas.microsoft.com/office/drawing/2014/main" id="{97F0361A-9B4E-4888-8FE9-BA26B35E01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10896" name="Chart 10895">
          <a:extLst>
            <a:ext uri="{FF2B5EF4-FFF2-40B4-BE49-F238E27FC236}">
              <a16:creationId xmlns:a16="http://schemas.microsoft.com/office/drawing/2014/main" id="{C96FD20A-3C3E-411D-ABB3-C8F4595CC1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10897" name="Chart 10896">
          <a:extLst>
            <a:ext uri="{FF2B5EF4-FFF2-40B4-BE49-F238E27FC236}">
              <a16:creationId xmlns:a16="http://schemas.microsoft.com/office/drawing/2014/main" id="{A747440E-FD1F-40CE-A886-765CAF284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10898" name="Chart 10897">
          <a:extLst>
            <a:ext uri="{FF2B5EF4-FFF2-40B4-BE49-F238E27FC236}">
              <a16:creationId xmlns:a16="http://schemas.microsoft.com/office/drawing/2014/main" id="{F3329F96-0346-4B26-8F10-4190531F7E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10899" name="Chart 10898">
          <a:extLst>
            <a:ext uri="{FF2B5EF4-FFF2-40B4-BE49-F238E27FC236}">
              <a16:creationId xmlns:a16="http://schemas.microsoft.com/office/drawing/2014/main" id="{1943C0D8-94E5-43CD-9802-C399773A4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10900" name="Chart 10899">
          <a:extLst>
            <a:ext uri="{FF2B5EF4-FFF2-40B4-BE49-F238E27FC236}">
              <a16:creationId xmlns:a16="http://schemas.microsoft.com/office/drawing/2014/main" id="{346858E4-B7F4-4316-86A4-B9EE338CB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10901" name="Chart 10900">
          <a:extLst>
            <a:ext uri="{FF2B5EF4-FFF2-40B4-BE49-F238E27FC236}">
              <a16:creationId xmlns:a16="http://schemas.microsoft.com/office/drawing/2014/main" id="{379610A4-5B0B-444C-90C9-9C2B36EFB5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10902" name="Chart 10901">
          <a:extLst>
            <a:ext uri="{FF2B5EF4-FFF2-40B4-BE49-F238E27FC236}">
              <a16:creationId xmlns:a16="http://schemas.microsoft.com/office/drawing/2014/main" id="{9B107CD3-B204-4FE3-B50F-2C50EE4A1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10903" name="Chart 10902">
          <a:extLst>
            <a:ext uri="{FF2B5EF4-FFF2-40B4-BE49-F238E27FC236}">
              <a16:creationId xmlns:a16="http://schemas.microsoft.com/office/drawing/2014/main" id="{408BF7BA-6982-43F5-BB2D-BF11263DD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10904" name="Chart 10903">
          <a:extLst>
            <a:ext uri="{FF2B5EF4-FFF2-40B4-BE49-F238E27FC236}">
              <a16:creationId xmlns:a16="http://schemas.microsoft.com/office/drawing/2014/main" id="{315ACBCD-AEC1-42E3-A64B-7C19837C2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10905" name="Chart 10904">
          <a:extLst>
            <a:ext uri="{FF2B5EF4-FFF2-40B4-BE49-F238E27FC236}">
              <a16:creationId xmlns:a16="http://schemas.microsoft.com/office/drawing/2014/main" id="{82D93246-8AC7-46B6-9848-8BD3C9951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10906" name="Chart 10905">
          <a:extLst>
            <a:ext uri="{FF2B5EF4-FFF2-40B4-BE49-F238E27FC236}">
              <a16:creationId xmlns:a16="http://schemas.microsoft.com/office/drawing/2014/main" id="{2982ACE9-1040-4FAB-8FE5-1B5FA956E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10907" name="Chart 10906">
          <a:extLst>
            <a:ext uri="{FF2B5EF4-FFF2-40B4-BE49-F238E27FC236}">
              <a16:creationId xmlns:a16="http://schemas.microsoft.com/office/drawing/2014/main" id="{4510E5BC-4649-4371-AC35-5CFF12740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10908" name="Chart 10907">
          <a:extLst>
            <a:ext uri="{FF2B5EF4-FFF2-40B4-BE49-F238E27FC236}">
              <a16:creationId xmlns:a16="http://schemas.microsoft.com/office/drawing/2014/main" id="{3AFBD807-EB1D-487A-9B21-A08ECC0C3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10909" name="Chart 10908">
          <a:extLst>
            <a:ext uri="{FF2B5EF4-FFF2-40B4-BE49-F238E27FC236}">
              <a16:creationId xmlns:a16="http://schemas.microsoft.com/office/drawing/2014/main" id="{AAC434F5-05FD-4F36-A018-C98DBCF87E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10910" name="Chart 10909">
          <a:extLst>
            <a:ext uri="{FF2B5EF4-FFF2-40B4-BE49-F238E27FC236}">
              <a16:creationId xmlns:a16="http://schemas.microsoft.com/office/drawing/2014/main" id="{B5FE9D24-46CF-470E-8FFC-D98C83DE4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10911" name="Chart 10910">
          <a:extLst>
            <a:ext uri="{FF2B5EF4-FFF2-40B4-BE49-F238E27FC236}">
              <a16:creationId xmlns:a16="http://schemas.microsoft.com/office/drawing/2014/main" id="{29CCAB12-1065-43AE-9753-ADF46B699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10912" name="Chart 10911">
          <a:extLst>
            <a:ext uri="{FF2B5EF4-FFF2-40B4-BE49-F238E27FC236}">
              <a16:creationId xmlns:a16="http://schemas.microsoft.com/office/drawing/2014/main" id="{6F8B4B58-AF37-46B0-83ED-6ECED1E538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10913" name="Chart 10912">
          <a:extLst>
            <a:ext uri="{FF2B5EF4-FFF2-40B4-BE49-F238E27FC236}">
              <a16:creationId xmlns:a16="http://schemas.microsoft.com/office/drawing/2014/main" id="{87DEE20C-2DEE-47BF-856B-F149ADBF51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10914" name="Chart 10913">
          <a:extLst>
            <a:ext uri="{FF2B5EF4-FFF2-40B4-BE49-F238E27FC236}">
              <a16:creationId xmlns:a16="http://schemas.microsoft.com/office/drawing/2014/main" id="{944E8BD2-F047-4408-80F7-B4E672D83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10915" name="Chart 10914">
          <a:extLst>
            <a:ext uri="{FF2B5EF4-FFF2-40B4-BE49-F238E27FC236}">
              <a16:creationId xmlns:a16="http://schemas.microsoft.com/office/drawing/2014/main" id="{CE70F9DF-D919-440F-BA96-6038B9A69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10916" name="Chart 10915">
          <a:extLst>
            <a:ext uri="{FF2B5EF4-FFF2-40B4-BE49-F238E27FC236}">
              <a16:creationId xmlns:a16="http://schemas.microsoft.com/office/drawing/2014/main" id="{552F4235-52C3-4437-8FB0-924E46BDC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10917" name="Chart 10916">
          <a:extLst>
            <a:ext uri="{FF2B5EF4-FFF2-40B4-BE49-F238E27FC236}">
              <a16:creationId xmlns:a16="http://schemas.microsoft.com/office/drawing/2014/main" id="{3872D697-6CE4-4840-956A-4A4B7A4F12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10918" name="Chart 10917">
          <a:extLst>
            <a:ext uri="{FF2B5EF4-FFF2-40B4-BE49-F238E27FC236}">
              <a16:creationId xmlns:a16="http://schemas.microsoft.com/office/drawing/2014/main" id="{B31B7088-ADBA-4C3E-BBC9-AE6EA33AB0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10919" name="Chart 10918">
          <a:extLst>
            <a:ext uri="{FF2B5EF4-FFF2-40B4-BE49-F238E27FC236}">
              <a16:creationId xmlns:a16="http://schemas.microsoft.com/office/drawing/2014/main" id="{B192D8A7-FBB9-4563-84F9-186DF052EC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10920" name="Chart 10919">
          <a:extLst>
            <a:ext uri="{FF2B5EF4-FFF2-40B4-BE49-F238E27FC236}">
              <a16:creationId xmlns:a16="http://schemas.microsoft.com/office/drawing/2014/main" id="{9C279F80-3790-439F-B523-556890CCC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10921" name="Chart 10920">
          <a:extLst>
            <a:ext uri="{FF2B5EF4-FFF2-40B4-BE49-F238E27FC236}">
              <a16:creationId xmlns:a16="http://schemas.microsoft.com/office/drawing/2014/main" id="{7252AD40-41A7-45BA-BF59-EF1210FBB0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10922" name="Chart 10921">
          <a:extLst>
            <a:ext uri="{FF2B5EF4-FFF2-40B4-BE49-F238E27FC236}">
              <a16:creationId xmlns:a16="http://schemas.microsoft.com/office/drawing/2014/main" id="{43EFC87C-FC22-4247-9A43-C02B48654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10923" name="Chart 10922">
          <a:extLst>
            <a:ext uri="{FF2B5EF4-FFF2-40B4-BE49-F238E27FC236}">
              <a16:creationId xmlns:a16="http://schemas.microsoft.com/office/drawing/2014/main" id="{9E74E0D5-AC9B-4E94-907C-C1ABF783F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10924" name="Chart 10923">
          <a:extLst>
            <a:ext uri="{FF2B5EF4-FFF2-40B4-BE49-F238E27FC236}">
              <a16:creationId xmlns:a16="http://schemas.microsoft.com/office/drawing/2014/main" id="{7443BD0F-15F8-4C7B-B078-D11A927E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10925" name="Chart 10924">
          <a:extLst>
            <a:ext uri="{FF2B5EF4-FFF2-40B4-BE49-F238E27FC236}">
              <a16:creationId xmlns:a16="http://schemas.microsoft.com/office/drawing/2014/main" id="{B55EA23C-8DF5-4A1A-A0A7-0BF626710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10926" name="Chart 10925">
          <a:extLst>
            <a:ext uri="{FF2B5EF4-FFF2-40B4-BE49-F238E27FC236}">
              <a16:creationId xmlns:a16="http://schemas.microsoft.com/office/drawing/2014/main" id="{7F89B371-3FE1-46D5-AF3C-0C82EEC73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10927" name="Chart 10926">
          <a:extLst>
            <a:ext uri="{FF2B5EF4-FFF2-40B4-BE49-F238E27FC236}">
              <a16:creationId xmlns:a16="http://schemas.microsoft.com/office/drawing/2014/main" id="{A3E68EDE-28B7-44B2-923F-94C3AB23BD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10928" name="Chart 10927">
          <a:extLst>
            <a:ext uri="{FF2B5EF4-FFF2-40B4-BE49-F238E27FC236}">
              <a16:creationId xmlns:a16="http://schemas.microsoft.com/office/drawing/2014/main" id="{AF118AF7-9378-427C-AEEB-C49F41AEE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10929" name="Chart 10928">
          <a:extLst>
            <a:ext uri="{FF2B5EF4-FFF2-40B4-BE49-F238E27FC236}">
              <a16:creationId xmlns:a16="http://schemas.microsoft.com/office/drawing/2014/main" id="{4FEC2B3A-77D3-4922-BA13-679E79DB4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10930" name="Chart 10929">
          <a:extLst>
            <a:ext uri="{FF2B5EF4-FFF2-40B4-BE49-F238E27FC236}">
              <a16:creationId xmlns:a16="http://schemas.microsoft.com/office/drawing/2014/main" id="{B38E215E-6373-498D-92C5-1DFB0B2AA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10931" name="Chart 10930">
          <a:extLst>
            <a:ext uri="{FF2B5EF4-FFF2-40B4-BE49-F238E27FC236}">
              <a16:creationId xmlns:a16="http://schemas.microsoft.com/office/drawing/2014/main" id="{BD563383-C06C-45D1-8B32-9C9309877B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10932" name="Chart 10931">
          <a:extLst>
            <a:ext uri="{FF2B5EF4-FFF2-40B4-BE49-F238E27FC236}">
              <a16:creationId xmlns:a16="http://schemas.microsoft.com/office/drawing/2014/main" id="{DDA70CE4-C1FA-49C8-BA14-81555CC92E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10933" name="Chart 10932">
          <a:extLst>
            <a:ext uri="{FF2B5EF4-FFF2-40B4-BE49-F238E27FC236}">
              <a16:creationId xmlns:a16="http://schemas.microsoft.com/office/drawing/2014/main" id="{BC823AFD-1E04-4F55-B206-83DBC07C1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10934" name="Chart 10933">
          <a:extLst>
            <a:ext uri="{FF2B5EF4-FFF2-40B4-BE49-F238E27FC236}">
              <a16:creationId xmlns:a16="http://schemas.microsoft.com/office/drawing/2014/main" id="{5D97B5D9-D89E-4D10-AE72-1BEAF70260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10935" name="Chart 10934">
          <a:extLst>
            <a:ext uri="{FF2B5EF4-FFF2-40B4-BE49-F238E27FC236}">
              <a16:creationId xmlns:a16="http://schemas.microsoft.com/office/drawing/2014/main" id="{6A236FE2-B9B2-493D-8F9C-438F7CB6BC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10936" name="Chart 10935">
          <a:extLst>
            <a:ext uri="{FF2B5EF4-FFF2-40B4-BE49-F238E27FC236}">
              <a16:creationId xmlns:a16="http://schemas.microsoft.com/office/drawing/2014/main" id="{50779247-9B09-47D1-B904-3B7DA497B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25</xdr:row>
      <xdr:rowOff>63500</xdr:rowOff>
    </xdr:from>
    <xdr:to>
      <xdr:col>143</xdr:col>
      <xdr:colOff>628650</xdr:colOff>
      <xdr:row>37</xdr:row>
      <xdr:rowOff>0</xdr:rowOff>
    </xdr:to>
    <xdr:graphicFrame macro="">
      <xdr:nvGraphicFramePr>
        <xdr:cNvPr id="10937" name="Chart 10936">
          <a:extLst>
            <a:ext uri="{FF2B5EF4-FFF2-40B4-BE49-F238E27FC236}">
              <a16:creationId xmlns:a16="http://schemas.microsoft.com/office/drawing/2014/main" id="{80974A82-D426-4112-A8CF-9391C46C0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37</xdr:row>
      <xdr:rowOff>63500</xdr:rowOff>
    </xdr:from>
    <xdr:to>
      <xdr:col>143</xdr:col>
      <xdr:colOff>628650</xdr:colOff>
      <xdr:row>49</xdr:row>
      <xdr:rowOff>0</xdr:rowOff>
    </xdr:to>
    <xdr:graphicFrame macro="">
      <xdr:nvGraphicFramePr>
        <xdr:cNvPr id="10938" name="Chart 10937">
          <a:extLst>
            <a:ext uri="{FF2B5EF4-FFF2-40B4-BE49-F238E27FC236}">
              <a16:creationId xmlns:a16="http://schemas.microsoft.com/office/drawing/2014/main" id="{6A1EFA85-CD7B-4E99-BD39-03725E6AAB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10939" name="Chart 10938">
          <a:extLst>
            <a:ext uri="{FF2B5EF4-FFF2-40B4-BE49-F238E27FC236}">
              <a16:creationId xmlns:a16="http://schemas.microsoft.com/office/drawing/2014/main" id="{C5B9EDCD-27FC-4F46-9ED8-65F9846CA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10940" name="Chart 10939">
          <a:extLst>
            <a:ext uri="{FF2B5EF4-FFF2-40B4-BE49-F238E27FC236}">
              <a16:creationId xmlns:a16="http://schemas.microsoft.com/office/drawing/2014/main" id="{67141CBB-58E7-4027-84B7-3826A2A62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10941" name="Chart 10940">
          <a:extLst>
            <a:ext uri="{FF2B5EF4-FFF2-40B4-BE49-F238E27FC236}">
              <a16:creationId xmlns:a16="http://schemas.microsoft.com/office/drawing/2014/main" id="{DED949CA-B78D-4972-881D-F9A7237AF9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10942" name="Chart 10941">
          <a:extLst>
            <a:ext uri="{FF2B5EF4-FFF2-40B4-BE49-F238E27FC236}">
              <a16:creationId xmlns:a16="http://schemas.microsoft.com/office/drawing/2014/main" id="{FFBACB7A-066F-49BA-B665-77E879B05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10943" name="Chart 10942">
          <a:extLst>
            <a:ext uri="{FF2B5EF4-FFF2-40B4-BE49-F238E27FC236}">
              <a16:creationId xmlns:a16="http://schemas.microsoft.com/office/drawing/2014/main" id="{53BE87B1-FFE9-481D-AFA1-E7F9C0F1F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10944" name="Chart 10943">
          <a:extLst>
            <a:ext uri="{FF2B5EF4-FFF2-40B4-BE49-F238E27FC236}">
              <a16:creationId xmlns:a16="http://schemas.microsoft.com/office/drawing/2014/main" id="{3BB28D7B-9B36-4DE0-AB6A-4BB6496D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10945" name="Chart 10944">
          <a:extLst>
            <a:ext uri="{FF2B5EF4-FFF2-40B4-BE49-F238E27FC236}">
              <a16:creationId xmlns:a16="http://schemas.microsoft.com/office/drawing/2014/main" id="{FA46ECFC-DFD3-4562-9108-95D570284F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10946" name="Chart 10945">
          <a:extLst>
            <a:ext uri="{FF2B5EF4-FFF2-40B4-BE49-F238E27FC236}">
              <a16:creationId xmlns:a16="http://schemas.microsoft.com/office/drawing/2014/main" id="{CBC691E4-206C-47D3-9B7A-E84B78279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10947" name="Chart 10946">
          <a:extLst>
            <a:ext uri="{FF2B5EF4-FFF2-40B4-BE49-F238E27FC236}">
              <a16:creationId xmlns:a16="http://schemas.microsoft.com/office/drawing/2014/main" id="{1309186C-5C89-49CF-91A2-036F500D4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10948" name="Chart 10947">
          <a:extLst>
            <a:ext uri="{FF2B5EF4-FFF2-40B4-BE49-F238E27FC236}">
              <a16:creationId xmlns:a16="http://schemas.microsoft.com/office/drawing/2014/main" id="{9FB01A09-B416-4639-9892-7167C2318B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10949" name="Chart 10948">
          <a:extLst>
            <a:ext uri="{FF2B5EF4-FFF2-40B4-BE49-F238E27FC236}">
              <a16:creationId xmlns:a16="http://schemas.microsoft.com/office/drawing/2014/main" id="{85E7F2CC-57B7-4BCF-9697-5643B17D65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10950" name="Chart 10949">
          <a:extLst>
            <a:ext uri="{FF2B5EF4-FFF2-40B4-BE49-F238E27FC236}">
              <a16:creationId xmlns:a16="http://schemas.microsoft.com/office/drawing/2014/main" id="{980682ED-3D47-41D8-8BCF-4634F3E64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13</xdr:row>
      <xdr:rowOff>63500</xdr:rowOff>
    </xdr:from>
    <xdr:to>
      <xdr:col>179</xdr:col>
      <xdr:colOff>628650</xdr:colOff>
      <xdr:row>25</xdr:row>
      <xdr:rowOff>0</xdr:rowOff>
    </xdr:to>
    <xdr:graphicFrame macro="">
      <xdr:nvGraphicFramePr>
        <xdr:cNvPr id="10951" name="Chart 10950">
          <a:extLst>
            <a:ext uri="{FF2B5EF4-FFF2-40B4-BE49-F238E27FC236}">
              <a16:creationId xmlns:a16="http://schemas.microsoft.com/office/drawing/2014/main" id="{72F02C40-5D38-48EA-83FE-2749724715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171</xdr:col>
      <xdr:colOff>12700</xdr:colOff>
      <xdr:row>25</xdr:row>
      <xdr:rowOff>63500</xdr:rowOff>
    </xdr:from>
    <xdr:to>
      <xdr:col>179</xdr:col>
      <xdr:colOff>628650</xdr:colOff>
      <xdr:row>37</xdr:row>
      <xdr:rowOff>0</xdr:rowOff>
    </xdr:to>
    <xdr:graphicFrame macro="">
      <xdr:nvGraphicFramePr>
        <xdr:cNvPr id="10952" name="Chart 10951">
          <a:extLst>
            <a:ext uri="{FF2B5EF4-FFF2-40B4-BE49-F238E27FC236}">
              <a16:creationId xmlns:a16="http://schemas.microsoft.com/office/drawing/2014/main" id="{A87AA015-5DF3-4AAA-83BC-2547B4F42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171</xdr:col>
      <xdr:colOff>12700</xdr:colOff>
      <xdr:row>37</xdr:row>
      <xdr:rowOff>63500</xdr:rowOff>
    </xdr:from>
    <xdr:to>
      <xdr:col>179</xdr:col>
      <xdr:colOff>628650</xdr:colOff>
      <xdr:row>49</xdr:row>
      <xdr:rowOff>0</xdr:rowOff>
    </xdr:to>
    <xdr:graphicFrame macro="">
      <xdr:nvGraphicFramePr>
        <xdr:cNvPr id="10953" name="Chart 10952">
          <a:extLst>
            <a:ext uri="{FF2B5EF4-FFF2-40B4-BE49-F238E27FC236}">
              <a16:creationId xmlns:a16="http://schemas.microsoft.com/office/drawing/2014/main" id="{7951431B-0C1E-40F6-90AD-C99224F63F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180</xdr:col>
      <xdr:colOff>12700</xdr:colOff>
      <xdr:row>1</xdr:row>
      <xdr:rowOff>63500</xdr:rowOff>
    </xdr:from>
    <xdr:to>
      <xdr:col>188</xdr:col>
      <xdr:colOff>628650</xdr:colOff>
      <xdr:row>13</xdr:row>
      <xdr:rowOff>0</xdr:rowOff>
    </xdr:to>
    <xdr:graphicFrame macro="">
      <xdr:nvGraphicFramePr>
        <xdr:cNvPr id="10954" name="Chart 10953">
          <a:extLst>
            <a:ext uri="{FF2B5EF4-FFF2-40B4-BE49-F238E27FC236}">
              <a16:creationId xmlns:a16="http://schemas.microsoft.com/office/drawing/2014/main" id="{ABBDDDA3-FC64-4EA9-9339-00B5D7992D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10955" name="Rectangle 10954">
          <a:extLst>
            <a:ext uri="{FF2B5EF4-FFF2-40B4-BE49-F238E27FC236}">
              <a16:creationId xmlns:a16="http://schemas.microsoft.com/office/drawing/2014/main" id="{BBA55554-3883-4605-966D-A8A0F203C4ED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10956" name="Rectangle 10955">
          <a:extLst>
            <a:ext uri="{FF2B5EF4-FFF2-40B4-BE49-F238E27FC236}">
              <a16:creationId xmlns:a16="http://schemas.microsoft.com/office/drawing/2014/main" id="{30BC736D-4B56-4FB8-944F-C2BE75D1A270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10957" name="Rectangle 10956">
          <a:extLst>
            <a:ext uri="{FF2B5EF4-FFF2-40B4-BE49-F238E27FC236}">
              <a16:creationId xmlns:a16="http://schemas.microsoft.com/office/drawing/2014/main" id="{C70E92E0-D271-4C0D-BA80-7BA2AE180F8E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10958" name="Rectangle 10957">
          <a:extLst>
            <a:ext uri="{FF2B5EF4-FFF2-40B4-BE49-F238E27FC236}">
              <a16:creationId xmlns:a16="http://schemas.microsoft.com/office/drawing/2014/main" id="{80FCBA36-BFDE-4BFC-B496-3622762E334B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10959" name="Rectangle 10958">
          <a:extLst>
            <a:ext uri="{FF2B5EF4-FFF2-40B4-BE49-F238E27FC236}">
              <a16:creationId xmlns:a16="http://schemas.microsoft.com/office/drawing/2014/main" id="{825ABABA-0E58-41D4-9EC7-8788778D38BD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10960" name="Rectangle 10959">
          <a:extLst>
            <a:ext uri="{FF2B5EF4-FFF2-40B4-BE49-F238E27FC236}">
              <a16:creationId xmlns:a16="http://schemas.microsoft.com/office/drawing/2014/main" id="{5D10A0D3-D2C2-4CEB-8625-F9E1C4FB64F5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10961" name="Rectangle 10960">
          <a:extLst>
            <a:ext uri="{FF2B5EF4-FFF2-40B4-BE49-F238E27FC236}">
              <a16:creationId xmlns:a16="http://schemas.microsoft.com/office/drawing/2014/main" id="{79BE7344-296D-42B1-BC7D-514714E317C4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10962" name="Rectangle 10961">
          <a:extLst>
            <a:ext uri="{FF2B5EF4-FFF2-40B4-BE49-F238E27FC236}">
              <a16:creationId xmlns:a16="http://schemas.microsoft.com/office/drawing/2014/main" id="{920740BB-94D6-449A-BBCD-01A50D9462DD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10963" name="Rectangle 10962">
          <a:extLst>
            <a:ext uri="{FF2B5EF4-FFF2-40B4-BE49-F238E27FC236}">
              <a16:creationId xmlns:a16="http://schemas.microsoft.com/office/drawing/2014/main" id="{30BC4559-DA00-4243-9FC4-3C4038D5363D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10964" name="Rectangle 10963">
          <a:extLst>
            <a:ext uri="{FF2B5EF4-FFF2-40B4-BE49-F238E27FC236}">
              <a16:creationId xmlns:a16="http://schemas.microsoft.com/office/drawing/2014/main" id="{5269B310-DF60-47A5-957B-F5AF906D285B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10965" name="Rectangle 10964">
          <a:extLst>
            <a:ext uri="{FF2B5EF4-FFF2-40B4-BE49-F238E27FC236}">
              <a16:creationId xmlns:a16="http://schemas.microsoft.com/office/drawing/2014/main" id="{D12C4113-8598-482C-AF86-85D977219D42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 wear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10966" name="Rectangle 10965">
          <a:extLst>
            <a:ext uri="{FF2B5EF4-FFF2-40B4-BE49-F238E27FC236}">
              <a16:creationId xmlns:a16="http://schemas.microsoft.com/office/drawing/2014/main" id="{4F1149D2-71A9-4F33-BEBC-2957460719F3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10967" name="Rectangle 10966">
          <a:extLst>
            <a:ext uri="{FF2B5EF4-FFF2-40B4-BE49-F238E27FC236}">
              <a16:creationId xmlns:a16="http://schemas.microsoft.com/office/drawing/2014/main" id="{086F5789-2937-488A-BE2A-81E470BE136E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10968" name="Rectangle 10967">
          <a:extLst>
            <a:ext uri="{FF2B5EF4-FFF2-40B4-BE49-F238E27FC236}">
              <a16:creationId xmlns:a16="http://schemas.microsoft.com/office/drawing/2014/main" id="{8E7F9182-AC7F-4AFA-9F23-DA6236B43B60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10969" name="Rectangle 10968">
          <a:extLst>
            <a:ext uri="{FF2B5EF4-FFF2-40B4-BE49-F238E27FC236}">
              <a16:creationId xmlns:a16="http://schemas.microsoft.com/office/drawing/2014/main" id="{734C03CB-106C-4024-8544-116FD1A3A15D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10970" name="Rectangle 10969">
          <a:extLst>
            <a:ext uri="{FF2B5EF4-FFF2-40B4-BE49-F238E27FC236}">
              <a16:creationId xmlns:a16="http://schemas.microsoft.com/office/drawing/2014/main" id="{4375B9BD-64E0-4491-A7D4-F9DE183AC75D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10971" name="Rectangle 10970">
          <a:extLst>
            <a:ext uri="{FF2B5EF4-FFF2-40B4-BE49-F238E27FC236}">
              <a16:creationId xmlns:a16="http://schemas.microsoft.com/office/drawing/2014/main" id="{B96FCA84-CAFF-481B-858B-3D20F103BE10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10972" name="Rectangle 10971">
          <a:extLst>
            <a:ext uri="{FF2B5EF4-FFF2-40B4-BE49-F238E27FC236}">
              <a16:creationId xmlns:a16="http://schemas.microsoft.com/office/drawing/2014/main" id="{0FA0BFF9-8258-4F0C-9BCA-7E9825B37C7E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181</xdr:col>
      <xdr:colOff>47625</xdr:colOff>
      <xdr:row>0</xdr:row>
      <xdr:rowOff>0</xdr:rowOff>
    </xdr:from>
    <xdr:to>
      <xdr:col>187</xdr:col>
      <xdr:colOff>549275</xdr:colOff>
      <xdr:row>1</xdr:row>
      <xdr:rowOff>0</xdr:rowOff>
    </xdr:to>
    <xdr:sp macro="" textlink="">
      <xdr:nvSpPr>
        <xdr:cNvPr id="10973" name="Rectangle 10972">
          <a:extLst>
            <a:ext uri="{FF2B5EF4-FFF2-40B4-BE49-F238E27FC236}">
              <a16:creationId xmlns:a16="http://schemas.microsoft.com/office/drawing/2014/main" id="{C7323C3C-0D12-492A-BC26-8331447E704B}"/>
            </a:ext>
          </a:extLst>
        </xdr:cNvPr>
        <xdr:cNvSpPr/>
      </xdr:nvSpPr>
      <xdr:spPr>
        <a:xfrm>
          <a:off x="119005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10974" name="Chart 10973">
          <a:extLst>
            <a:ext uri="{FF2B5EF4-FFF2-40B4-BE49-F238E27FC236}">
              <a16:creationId xmlns:a16="http://schemas.microsoft.com/office/drawing/2014/main" id="{AD651325-1A9C-4B18-9E55-8B2AE25D5F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10975" name="Chart 10974">
          <a:extLst>
            <a:ext uri="{FF2B5EF4-FFF2-40B4-BE49-F238E27FC236}">
              <a16:creationId xmlns:a16="http://schemas.microsoft.com/office/drawing/2014/main" id="{D5325AC1-0AE3-4E9E-AED8-37544021F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10976" name="Chart 10975">
          <a:extLst>
            <a:ext uri="{FF2B5EF4-FFF2-40B4-BE49-F238E27FC236}">
              <a16:creationId xmlns:a16="http://schemas.microsoft.com/office/drawing/2014/main" id="{7C9379F4-E3E7-4CB6-BEC0-134334D4C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10977" name="Chart 10976">
          <a:extLst>
            <a:ext uri="{FF2B5EF4-FFF2-40B4-BE49-F238E27FC236}">
              <a16:creationId xmlns:a16="http://schemas.microsoft.com/office/drawing/2014/main" id="{0FF87C67-FD38-4182-B671-605E668D53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10978" name="Chart 10977">
          <a:extLst>
            <a:ext uri="{FF2B5EF4-FFF2-40B4-BE49-F238E27FC236}">
              <a16:creationId xmlns:a16="http://schemas.microsoft.com/office/drawing/2014/main" id="{373C2E4C-9F99-407C-B004-E15CCB7E55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10979" name="Chart 10978">
          <a:extLst>
            <a:ext uri="{FF2B5EF4-FFF2-40B4-BE49-F238E27FC236}">
              <a16:creationId xmlns:a16="http://schemas.microsoft.com/office/drawing/2014/main" id="{CD6B3DD4-F50A-4843-A490-E0E64D626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186" totalsRowShown="0" headerRowDxfId="2" headerRowBorderDxfId="1" tableBorderDxfId="0">
  <autoFilter ref="B5:BM186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4"/>
  <sheetViews>
    <sheetView zoomScale="70" zoomScaleNormal="70" workbookViewId="0">
      <selection activeCell="P7" sqref="P7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7"/>
    </row>
    <row r="3" spans="1:20" ht="15.75" thickBot="1" x14ac:dyDescent="0.3">
      <c r="A3" s="27" t="s">
        <v>270</v>
      </c>
      <c r="B3" s="27">
        <v>13</v>
      </c>
    </row>
    <row r="4" spans="1:20" ht="15.75" thickBot="1" x14ac:dyDescent="0.3">
      <c r="A4" s="26" t="s">
        <v>271</v>
      </c>
      <c r="B4" s="26">
        <v>79</v>
      </c>
      <c r="O4" s="37" t="s">
        <v>371</v>
      </c>
      <c r="P4" s="38" t="s">
        <v>370</v>
      </c>
      <c r="Q4" s="39" t="s">
        <v>372</v>
      </c>
    </row>
    <row r="5" spans="1:20" x14ac:dyDescent="0.25">
      <c r="A5" s="26" t="s">
        <v>365</v>
      </c>
      <c r="B5" s="26">
        <v>16</v>
      </c>
      <c r="O5" s="34">
        <f>P5/86400</f>
        <v>2.3726851851851851E-3</v>
      </c>
      <c r="P5" s="35">
        <f>P6-5</f>
        <v>205</v>
      </c>
      <c r="Q5" s="36">
        <f>P5/86400</f>
        <v>2.3726851851851851E-3</v>
      </c>
    </row>
    <row r="6" spans="1:20" x14ac:dyDescent="0.25">
      <c r="A6" s="26" t="s">
        <v>366</v>
      </c>
      <c r="B6" s="26">
        <v>12</v>
      </c>
      <c r="O6" s="30">
        <v>2.4652777777777776E-3</v>
      </c>
      <c r="P6" s="28">
        <v>210</v>
      </c>
      <c r="Q6" s="29">
        <f t="shared" ref="Q6:Q7" si="0">P6/86400</f>
        <v>2.4305555555555556E-3</v>
      </c>
    </row>
    <row r="7" spans="1:20" ht="15.75" thickBot="1" x14ac:dyDescent="0.3">
      <c r="A7" s="26" t="s">
        <v>367</v>
      </c>
      <c r="B7" s="26">
        <v>12</v>
      </c>
      <c r="O7" s="31">
        <f>P7/86400</f>
        <v>2.6041666666666665E-3</v>
      </c>
      <c r="P7" s="32">
        <f>P6+15</f>
        <v>225</v>
      </c>
      <c r="Q7" s="33">
        <f t="shared" si="0"/>
        <v>2.6041666666666665E-3</v>
      </c>
    </row>
    <row r="8" spans="1:20" ht="15.75" thickBot="1" x14ac:dyDescent="0.3">
      <c r="O8" s="37" t="s">
        <v>373</v>
      </c>
      <c r="P8" s="38" t="s">
        <v>375</v>
      </c>
      <c r="Q8" s="39" t="s">
        <v>376</v>
      </c>
    </row>
    <row r="9" spans="1:20" ht="15.75" thickBot="1" x14ac:dyDescent="0.3">
      <c r="O9" s="40">
        <v>6</v>
      </c>
      <c r="P9" s="41">
        <f>O9+1</f>
        <v>7</v>
      </c>
      <c r="Q9" s="42">
        <f>O9-1</f>
        <v>5</v>
      </c>
    </row>
    <row r="10" spans="1:20" ht="15.75" thickBot="1" x14ac:dyDescent="0.3">
      <c r="O10" s="37" t="s">
        <v>374</v>
      </c>
      <c r="P10" s="38" t="s">
        <v>377</v>
      </c>
      <c r="Q10" s="39" t="s">
        <v>378</v>
      </c>
    </row>
    <row r="11" spans="1:20" ht="15.75" thickBot="1" x14ac:dyDescent="0.3">
      <c r="O11" s="43">
        <v>70</v>
      </c>
      <c r="P11" s="44">
        <f>O11+10</f>
        <v>80</v>
      </c>
      <c r="Q11" s="45">
        <f>+O11-10</f>
        <v>60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8" t="s">
        <v>272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10"/>
      <c r="N17" s="8" t="s">
        <v>345</v>
      </c>
      <c r="O17" s="9"/>
      <c r="P17" s="9"/>
      <c r="Q17" s="9"/>
      <c r="R17" s="10"/>
    </row>
    <row r="18" spans="1:24" ht="15.75" thickBot="1" x14ac:dyDescent="0.3">
      <c r="A18" s="16" t="s">
        <v>273</v>
      </c>
      <c r="B18" s="17" t="s">
        <v>274</v>
      </c>
      <c r="C18" s="17" t="s">
        <v>275</v>
      </c>
      <c r="D18" s="17" t="s">
        <v>276</v>
      </c>
      <c r="E18" s="17" t="s">
        <v>337</v>
      </c>
      <c r="F18" s="17" t="s">
        <v>338</v>
      </c>
      <c r="G18" s="17" t="s">
        <v>339</v>
      </c>
      <c r="H18" s="17" t="s">
        <v>340</v>
      </c>
      <c r="I18" s="17" t="s">
        <v>341</v>
      </c>
      <c r="J18" s="17" t="s">
        <v>342</v>
      </c>
      <c r="K18" s="17" t="s">
        <v>343</v>
      </c>
      <c r="L18" s="18" t="s">
        <v>344</v>
      </c>
      <c r="N18" s="16" t="s">
        <v>273</v>
      </c>
      <c r="O18" s="17" t="s">
        <v>346</v>
      </c>
      <c r="P18" s="17" t="s">
        <v>274</v>
      </c>
      <c r="Q18" s="17" t="s">
        <v>350</v>
      </c>
      <c r="R18" s="18" t="s">
        <v>276</v>
      </c>
    </row>
    <row r="19" spans="1:24" x14ac:dyDescent="0.25">
      <c r="A19" s="14">
        <v>1</v>
      </c>
      <c r="B19" s="15" t="s">
        <v>277</v>
      </c>
      <c r="C19" s="15">
        <v>932.5</v>
      </c>
      <c r="D19" s="15">
        <v>20</v>
      </c>
      <c r="E19" s="15">
        <v>4</v>
      </c>
      <c r="F19" s="15"/>
      <c r="G19" s="12"/>
      <c r="H19" s="12"/>
      <c r="I19" s="12"/>
      <c r="J19" s="12"/>
      <c r="K19" s="12"/>
      <c r="L19" s="13"/>
      <c r="N19" s="8">
        <v>1</v>
      </c>
      <c r="O19" s="9">
        <v>3</v>
      </c>
      <c r="P19" s="9" t="s">
        <v>64</v>
      </c>
      <c r="Q19" s="9">
        <v>982.5</v>
      </c>
      <c r="R19" s="10">
        <v>80</v>
      </c>
      <c r="X19">
        <v>932.5</v>
      </c>
    </row>
    <row r="20" spans="1:24" x14ac:dyDescent="0.25">
      <c r="A20" s="14">
        <v>2</v>
      </c>
      <c r="B20" s="15" t="s">
        <v>278</v>
      </c>
      <c r="C20" s="15">
        <v>932.5</v>
      </c>
      <c r="D20" s="15">
        <f>D19+180</f>
        <v>200</v>
      </c>
      <c r="E20" s="12">
        <f>COLUMN(G1)</f>
        <v>7</v>
      </c>
      <c r="F20" s="12">
        <f>COLUMN(EX1)</f>
        <v>154</v>
      </c>
      <c r="G20" s="12"/>
      <c r="H20" s="12"/>
      <c r="I20" s="12"/>
      <c r="J20" s="12"/>
      <c r="K20" s="12"/>
      <c r="L20" s="13"/>
      <c r="N20" s="11">
        <v>2</v>
      </c>
      <c r="O20" s="12">
        <v>4</v>
      </c>
      <c r="P20" s="12" t="s">
        <v>91</v>
      </c>
      <c r="Q20" s="12">
        <f>+Q19+466</f>
        <v>1448.5</v>
      </c>
      <c r="R20" s="13">
        <v>80</v>
      </c>
      <c r="X20">
        <f>+X19+465.75</f>
        <v>1398.25</v>
      </c>
    </row>
    <row r="21" spans="1:24" x14ac:dyDescent="0.25">
      <c r="A21" s="14">
        <v>3</v>
      </c>
      <c r="B21" s="15" t="s">
        <v>279</v>
      </c>
      <c r="C21" s="15">
        <v>932.5</v>
      </c>
      <c r="D21" s="15">
        <f>D20+180</f>
        <v>380</v>
      </c>
      <c r="E21" s="12">
        <f>COLUMN(BR1)</f>
        <v>70</v>
      </c>
      <c r="F21" s="12"/>
      <c r="G21" s="12"/>
      <c r="H21" s="12"/>
      <c r="I21" s="12"/>
      <c r="J21" s="12"/>
      <c r="K21" s="12"/>
      <c r="L21" s="13"/>
      <c r="N21" s="11">
        <v>3</v>
      </c>
      <c r="O21" s="12">
        <v>5</v>
      </c>
      <c r="P21" s="12" t="s">
        <v>259</v>
      </c>
      <c r="Q21" s="12">
        <f t="shared" ref="Q21:Q37" si="1">+Q20+466</f>
        <v>1914.5</v>
      </c>
      <c r="R21" s="13">
        <v>80</v>
      </c>
      <c r="X21">
        <f t="shared" ref="X21:X37" si="2">+X20+465.75</f>
        <v>1864</v>
      </c>
    </row>
    <row r="22" spans="1:24" x14ac:dyDescent="0.25">
      <c r="A22" s="14">
        <v>4</v>
      </c>
      <c r="B22" s="15" t="s">
        <v>280</v>
      </c>
      <c r="C22" s="15">
        <v>932.5</v>
      </c>
      <c r="D22" s="15">
        <f>D21+180</f>
        <v>560</v>
      </c>
      <c r="E22" s="12">
        <f>COLUMN(K1)</f>
        <v>11</v>
      </c>
      <c r="F22" s="12">
        <f>COLUMN(L1)</f>
        <v>12</v>
      </c>
      <c r="G22" s="12">
        <f>COLUMN(M1)</f>
        <v>13</v>
      </c>
      <c r="H22" s="12">
        <f>COLUMN(N1)</f>
        <v>14</v>
      </c>
      <c r="I22" s="12">
        <f>COLUMN(O1)</f>
        <v>15</v>
      </c>
      <c r="J22" s="12"/>
      <c r="K22" s="12"/>
      <c r="L22" s="13"/>
      <c r="N22" s="11">
        <v>4</v>
      </c>
      <c r="O22" s="12">
        <v>6</v>
      </c>
      <c r="P22" s="12" t="s">
        <v>90</v>
      </c>
      <c r="Q22" s="12">
        <f t="shared" si="1"/>
        <v>2380.5</v>
      </c>
      <c r="R22" s="13">
        <v>80</v>
      </c>
      <c r="X22">
        <f t="shared" si="2"/>
        <v>2329.75</v>
      </c>
    </row>
    <row r="23" spans="1:24" x14ac:dyDescent="0.25">
      <c r="A23" s="11">
        <v>5</v>
      </c>
      <c r="B23" s="12" t="s">
        <v>281</v>
      </c>
      <c r="C23" s="12">
        <f>$X$20</f>
        <v>1398.25</v>
      </c>
      <c r="D23" s="15">
        <v>20</v>
      </c>
      <c r="E23" s="12">
        <f>COLUMN(CI1)</f>
        <v>87</v>
      </c>
      <c r="F23" s="12">
        <f>COLUMN(CJ1)</f>
        <v>88</v>
      </c>
      <c r="G23" s="12">
        <f>COLUMN(CK1)</f>
        <v>89</v>
      </c>
      <c r="H23" s="12"/>
      <c r="I23" s="12"/>
      <c r="J23" s="12"/>
      <c r="K23" s="12"/>
      <c r="L23" s="13"/>
      <c r="N23" s="11">
        <v>5</v>
      </c>
      <c r="O23" s="12">
        <v>7</v>
      </c>
      <c r="P23" s="12" t="s">
        <v>347</v>
      </c>
      <c r="Q23" s="12">
        <f t="shared" si="1"/>
        <v>2846.5</v>
      </c>
      <c r="R23" s="13">
        <v>80</v>
      </c>
      <c r="X23">
        <f t="shared" si="2"/>
        <v>2795.5</v>
      </c>
    </row>
    <row r="24" spans="1:24" x14ac:dyDescent="0.25">
      <c r="A24" s="11">
        <v>6</v>
      </c>
      <c r="B24" s="12" t="s">
        <v>282</v>
      </c>
      <c r="C24" s="12">
        <f>$X$20</f>
        <v>1398.25</v>
      </c>
      <c r="D24" s="15">
        <f>D23+180</f>
        <v>200</v>
      </c>
      <c r="E24" s="12">
        <f>COLUMN(I1)</f>
        <v>9</v>
      </c>
      <c r="F24" s="12">
        <f>COLUMN(J1)</f>
        <v>10</v>
      </c>
      <c r="G24" s="12">
        <f>COLUMN(EY1)</f>
        <v>155</v>
      </c>
      <c r="H24" s="12"/>
      <c r="I24" s="12"/>
      <c r="J24" s="12"/>
      <c r="K24" s="12"/>
      <c r="L24" s="13"/>
      <c r="N24" s="11">
        <v>6</v>
      </c>
      <c r="O24" s="12">
        <v>8</v>
      </c>
      <c r="P24" s="12" t="s">
        <v>137</v>
      </c>
      <c r="Q24" s="12">
        <f t="shared" si="1"/>
        <v>3312.5</v>
      </c>
      <c r="R24" s="13">
        <v>80</v>
      </c>
      <c r="X24">
        <f t="shared" si="2"/>
        <v>3261.25</v>
      </c>
    </row>
    <row r="25" spans="1:24" x14ac:dyDescent="0.25">
      <c r="A25" s="11">
        <v>7</v>
      </c>
      <c r="B25" s="12" t="s">
        <v>283</v>
      </c>
      <c r="C25" s="12">
        <f>$X$20</f>
        <v>1398.25</v>
      </c>
      <c r="D25" s="15">
        <f>D24+180</f>
        <v>380</v>
      </c>
      <c r="E25" s="12">
        <f>COLUMN(BT1)</f>
        <v>72</v>
      </c>
      <c r="F25" s="12">
        <f>COLUMN(EZ1)</f>
        <v>156</v>
      </c>
      <c r="G25" s="12">
        <f>COLUMN(FA1)</f>
        <v>157</v>
      </c>
      <c r="H25" s="12"/>
      <c r="I25" s="12"/>
      <c r="J25" s="12"/>
      <c r="K25" s="12"/>
      <c r="L25" s="13"/>
      <c r="N25" s="11">
        <v>7</v>
      </c>
      <c r="O25" s="12">
        <v>9</v>
      </c>
      <c r="P25" s="12" t="s">
        <v>348</v>
      </c>
      <c r="Q25" s="12">
        <f t="shared" si="1"/>
        <v>3778.5</v>
      </c>
      <c r="R25" s="13">
        <v>80</v>
      </c>
      <c r="X25">
        <f t="shared" si="2"/>
        <v>3727</v>
      </c>
    </row>
    <row r="26" spans="1:24" x14ac:dyDescent="0.25">
      <c r="A26" s="11">
        <v>8</v>
      </c>
      <c r="B26" s="12" t="s">
        <v>284</v>
      </c>
      <c r="C26" s="12">
        <f>$X$20</f>
        <v>1398.25</v>
      </c>
      <c r="D26" s="15">
        <f>D25+180</f>
        <v>560</v>
      </c>
      <c r="E26" s="12">
        <f>COLUMN(BY1)</f>
        <v>77</v>
      </c>
      <c r="F26" s="12">
        <f>COLUMN(BZ1)</f>
        <v>78</v>
      </c>
      <c r="G26" s="12"/>
      <c r="H26" s="12"/>
      <c r="I26" s="12"/>
      <c r="J26" s="12"/>
      <c r="K26" s="12"/>
      <c r="L26" s="13"/>
      <c r="N26" s="11">
        <v>8</v>
      </c>
      <c r="O26" s="12">
        <v>10</v>
      </c>
      <c r="P26" s="12" t="s">
        <v>349</v>
      </c>
      <c r="Q26" s="12">
        <f t="shared" si="1"/>
        <v>4244.5</v>
      </c>
      <c r="R26" s="13">
        <v>80</v>
      </c>
      <c r="X26">
        <f t="shared" si="2"/>
        <v>4192.75</v>
      </c>
    </row>
    <row r="27" spans="1:24" x14ac:dyDescent="0.25">
      <c r="A27" s="14">
        <v>9</v>
      </c>
      <c r="B27" s="15" t="s">
        <v>285</v>
      </c>
      <c r="C27" s="15">
        <f>$X$21</f>
        <v>1864</v>
      </c>
      <c r="D27" s="15">
        <v>20</v>
      </c>
      <c r="E27" s="12">
        <f>COLUMN(BI2)</f>
        <v>61</v>
      </c>
      <c r="F27" s="12">
        <f>COLUMN(BJ2)</f>
        <v>62</v>
      </c>
      <c r="G27" s="12"/>
      <c r="H27" s="12"/>
      <c r="I27" s="12"/>
      <c r="J27" s="12"/>
      <c r="K27" s="12"/>
      <c r="L27" s="13"/>
      <c r="N27" s="11">
        <v>9</v>
      </c>
      <c r="O27" s="12">
        <v>11</v>
      </c>
      <c r="P27" s="12" t="s">
        <v>56</v>
      </c>
      <c r="Q27" s="12">
        <f t="shared" si="1"/>
        <v>4710.5</v>
      </c>
      <c r="R27" s="13">
        <v>80</v>
      </c>
      <c r="X27">
        <f t="shared" si="2"/>
        <v>4658.5</v>
      </c>
    </row>
    <row r="28" spans="1:24" x14ac:dyDescent="0.25">
      <c r="A28" s="14">
        <v>10</v>
      </c>
      <c r="B28" s="15" t="s">
        <v>286</v>
      </c>
      <c r="C28" s="15">
        <f>$X$21</f>
        <v>1864</v>
      </c>
      <c r="D28" s="15">
        <f>D27+180</f>
        <v>200</v>
      </c>
      <c r="E28" s="12">
        <f>COLUMN(AR3)</f>
        <v>44</v>
      </c>
      <c r="F28" s="12">
        <f>COLUMN(AS3)</f>
        <v>45</v>
      </c>
      <c r="G28" s="12"/>
      <c r="H28" s="12"/>
      <c r="I28" s="12"/>
      <c r="J28" s="12"/>
      <c r="K28" s="12"/>
      <c r="L28" s="13"/>
      <c r="N28" s="11">
        <v>10</v>
      </c>
      <c r="O28" s="12">
        <v>12</v>
      </c>
      <c r="P28" s="12" t="s">
        <v>57</v>
      </c>
      <c r="Q28" s="12">
        <f t="shared" si="1"/>
        <v>5176.5</v>
      </c>
      <c r="R28" s="13">
        <v>80</v>
      </c>
      <c r="X28">
        <f t="shared" si="2"/>
        <v>5124.25</v>
      </c>
    </row>
    <row r="29" spans="1:24" x14ac:dyDescent="0.25">
      <c r="A29" s="14">
        <v>11</v>
      </c>
      <c r="B29" s="15" t="s">
        <v>287</v>
      </c>
      <c r="C29" s="15">
        <f>$X$21</f>
        <v>1864</v>
      </c>
      <c r="D29" s="15">
        <f>D28+180</f>
        <v>380</v>
      </c>
      <c r="E29" s="12">
        <f>COLUMN(F4)</f>
        <v>6</v>
      </c>
      <c r="F29" s="12">
        <f>COLUMN(IA4)</f>
        <v>235</v>
      </c>
      <c r="G29" s="12"/>
      <c r="H29" s="12"/>
      <c r="I29" s="12"/>
      <c r="J29" s="12"/>
      <c r="K29" s="12"/>
      <c r="L29" s="13"/>
      <c r="N29" s="11">
        <v>11</v>
      </c>
      <c r="O29" s="12">
        <v>13</v>
      </c>
      <c r="P29" s="22" t="s">
        <v>404</v>
      </c>
      <c r="Q29" s="12">
        <f t="shared" si="1"/>
        <v>5642.5</v>
      </c>
      <c r="R29" s="23">
        <v>80</v>
      </c>
      <c r="X29">
        <f t="shared" si="2"/>
        <v>5590</v>
      </c>
    </row>
    <row r="30" spans="1:24" x14ac:dyDescent="0.25">
      <c r="A30" s="14">
        <v>12</v>
      </c>
      <c r="B30" s="15" t="s">
        <v>288</v>
      </c>
      <c r="C30" s="15">
        <f>$X$21</f>
        <v>1864</v>
      </c>
      <c r="D30" s="15">
        <f>D29+180</f>
        <v>560</v>
      </c>
      <c r="E30" s="12">
        <f>COLUMN(AP5)</f>
        <v>42</v>
      </c>
      <c r="F30" s="12">
        <f>COLUMN(AQ5)</f>
        <v>43</v>
      </c>
      <c r="G30" s="12"/>
      <c r="H30" s="12"/>
      <c r="I30" s="12"/>
      <c r="J30" s="12"/>
      <c r="K30" s="12"/>
      <c r="L30" s="13"/>
      <c r="N30" s="11">
        <v>12</v>
      </c>
      <c r="O30" s="12">
        <v>14</v>
      </c>
      <c r="P30" s="12" t="s">
        <v>58</v>
      </c>
      <c r="Q30" s="12">
        <f t="shared" si="1"/>
        <v>6108.5</v>
      </c>
      <c r="R30" s="13">
        <v>80</v>
      </c>
      <c r="X30">
        <f t="shared" si="2"/>
        <v>6055.75</v>
      </c>
    </row>
    <row r="31" spans="1:24" x14ac:dyDescent="0.25">
      <c r="A31" s="11">
        <v>13</v>
      </c>
      <c r="B31" s="12" t="s">
        <v>290</v>
      </c>
      <c r="C31" s="12">
        <f>$X$22</f>
        <v>2329.75</v>
      </c>
      <c r="D31" s="15">
        <v>20</v>
      </c>
      <c r="E31" s="12">
        <f>COLUMN(CC6)</f>
        <v>81</v>
      </c>
      <c r="F31" s="12">
        <f>COLUMN(CD6)</f>
        <v>82</v>
      </c>
      <c r="G31" s="12"/>
      <c r="H31" s="12"/>
      <c r="I31" s="12"/>
      <c r="J31" s="12"/>
      <c r="K31" s="12"/>
      <c r="L31" s="13"/>
      <c r="N31" s="11">
        <v>13</v>
      </c>
      <c r="O31" s="12">
        <v>15</v>
      </c>
      <c r="P31" s="12" t="s">
        <v>135</v>
      </c>
      <c r="Q31" s="12">
        <f t="shared" si="1"/>
        <v>6574.5</v>
      </c>
      <c r="R31" s="13">
        <v>80</v>
      </c>
      <c r="X31">
        <f t="shared" si="2"/>
        <v>6521.5</v>
      </c>
    </row>
    <row r="32" spans="1:24" x14ac:dyDescent="0.25">
      <c r="A32" s="11">
        <v>14</v>
      </c>
      <c r="B32" s="12" t="s">
        <v>291</v>
      </c>
      <c r="C32" s="12">
        <f>$X$22</f>
        <v>2329.75</v>
      </c>
      <c r="D32" s="15">
        <f>D31+180</f>
        <v>200</v>
      </c>
      <c r="E32" s="12">
        <f>COLUMN(CE7)</f>
        <v>83</v>
      </c>
      <c r="F32" s="12">
        <f>COLUMN(CF7)</f>
        <v>84</v>
      </c>
      <c r="G32" s="12"/>
      <c r="H32" s="12"/>
      <c r="I32" s="12"/>
      <c r="J32" s="12"/>
      <c r="K32" s="12"/>
      <c r="L32" s="13"/>
      <c r="N32" s="11">
        <v>14</v>
      </c>
      <c r="O32" s="12">
        <v>16</v>
      </c>
      <c r="P32" s="12" t="s">
        <v>265</v>
      </c>
      <c r="Q32" s="12">
        <f t="shared" si="1"/>
        <v>7040.5</v>
      </c>
      <c r="R32" s="13">
        <v>80</v>
      </c>
      <c r="X32">
        <f t="shared" si="2"/>
        <v>6987.25</v>
      </c>
    </row>
    <row r="33" spans="1:24" x14ac:dyDescent="0.25">
      <c r="A33" s="11">
        <v>15</v>
      </c>
      <c r="B33" s="12" t="s">
        <v>289</v>
      </c>
      <c r="C33" s="12">
        <f>$X$22</f>
        <v>2329.75</v>
      </c>
      <c r="D33" s="15">
        <f>D32+180</f>
        <v>380</v>
      </c>
      <c r="E33" s="12">
        <f>COLUMN(DP8)</f>
        <v>120</v>
      </c>
      <c r="F33" s="12">
        <f>COLUMN(DQ8)</f>
        <v>121</v>
      </c>
      <c r="G33" s="12">
        <f>COLUMN(DR8)</f>
        <v>122</v>
      </c>
      <c r="H33" s="12">
        <f>COLUMN(DS8)</f>
        <v>123</v>
      </c>
      <c r="I33" s="12"/>
      <c r="J33" s="12"/>
      <c r="K33" s="12"/>
      <c r="L33" s="13"/>
      <c r="N33" s="11">
        <v>15</v>
      </c>
      <c r="O33" s="12">
        <v>17</v>
      </c>
      <c r="P33" s="22" t="s">
        <v>395</v>
      </c>
      <c r="Q33" s="12">
        <f t="shared" si="1"/>
        <v>7506.5</v>
      </c>
      <c r="R33" s="23">
        <v>80</v>
      </c>
      <c r="X33">
        <f t="shared" si="2"/>
        <v>7453</v>
      </c>
    </row>
    <row r="34" spans="1:24" x14ac:dyDescent="0.25">
      <c r="A34" s="11">
        <v>16</v>
      </c>
      <c r="B34" s="12" t="s">
        <v>292</v>
      </c>
      <c r="C34" s="12">
        <f>$X$22</f>
        <v>2329.75</v>
      </c>
      <c r="D34" s="15">
        <f>D33+180</f>
        <v>560</v>
      </c>
      <c r="E34" s="12">
        <f>COLUMN(DL9)</f>
        <v>116</v>
      </c>
      <c r="F34" s="12">
        <f>COLUMN(DM9)</f>
        <v>117</v>
      </c>
      <c r="G34" s="12">
        <f>COLUMN(DN9)</f>
        <v>118</v>
      </c>
      <c r="H34" s="12">
        <f>COLUMN(DO9)</f>
        <v>119</v>
      </c>
      <c r="I34" s="12"/>
      <c r="J34" s="12"/>
      <c r="K34" s="12"/>
      <c r="L34" s="13"/>
      <c r="N34" s="11">
        <v>16</v>
      </c>
      <c r="O34" s="12">
        <v>18</v>
      </c>
      <c r="P34" s="12" t="s">
        <v>92</v>
      </c>
      <c r="Q34" s="12">
        <f t="shared" si="1"/>
        <v>7972.5</v>
      </c>
      <c r="R34" s="13">
        <v>80</v>
      </c>
      <c r="X34">
        <f t="shared" si="2"/>
        <v>7918.75</v>
      </c>
    </row>
    <row r="35" spans="1:24" x14ac:dyDescent="0.25">
      <c r="A35" s="14">
        <v>17</v>
      </c>
      <c r="B35" s="15" t="s">
        <v>293</v>
      </c>
      <c r="C35" s="15">
        <f>$X$23</f>
        <v>2795.5</v>
      </c>
      <c r="D35" s="15">
        <v>20</v>
      </c>
      <c r="E35" s="12">
        <f>COLUMN(HW10)</f>
        <v>231</v>
      </c>
      <c r="F35" s="12">
        <f>COLUMN(HX10)</f>
        <v>232</v>
      </c>
      <c r="G35" s="12"/>
      <c r="H35" s="12"/>
      <c r="I35" s="12"/>
      <c r="J35" s="12"/>
      <c r="K35" s="12"/>
      <c r="L35" s="13"/>
      <c r="N35" s="11">
        <v>17</v>
      </c>
      <c r="O35" s="12">
        <v>19</v>
      </c>
      <c r="P35" s="12" t="s">
        <v>136</v>
      </c>
      <c r="Q35" s="12">
        <f t="shared" si="1"/>
        <v>8438.5</v>
      </c>
      <c r="R35" s="13">
        <v>80</v>
      </c>
      <c r="X35">
        <f t="shared" si="2"/>
        <v>8384.5</v>
      </c>
    </row>
    <row r="36" spans="1:24" x14ac:dyDescent="0.25">
      <c r="A36" s="14">
        <v>18</v>
      </c>
      <c r="B36" s="15" t="s">
        <v>294</v>
      </c>
      <c r="C36" s="15">
        <f>$X$23</f>
        <v>2795.5</v>
      </c>
      <c r="D36" s="15">
        <v>200</v>
      </c>
      <c r="E36" s="12">
        <f>COLUMN(HY11)</f>
        <v>233</v>
      </c>
      <c r="F36" s="12">
        <f>COLUMN(HZ11)</f>
        <v>234</v>
      </c>
      <c r="G36" s="12"/>
      <c r="H36" s="12"/>
      <c r="I36" s="12"/>
      <c r="J36" s="12"/>
      <c r="K36" s="12"/>
      <c r="L36" s="13"/>
      <c r="N36" s="11">
        <v>18</v>
      </c>
      <c r="O36" s="12">
        <v>20</v>
      </c>
      <c r="P36" s="12" t="s">
        <v>266</v>
      </c>
      <c r="Q36" s="12">
        <f t="shared" si="1"/>
        <v>8904.5</v>
      </c>
      <c r="R36" s="13">
        <v>80</v>
      </c>
      <c r="X36">
        <f t="shared" si="2"/>
        <v>8850.25</v>
      </c>
    </row>
    <row r="37" spans="1:24" ht="15.75" thickBot="1" x14ac:dyDescent="0.3">
      <c r="A37" s="11">
        <v>19</v>
      </c>
      <c r="B37" s="12" t="s">
        <v>295</v>
      </c>
      <c r="C37" s="19">
        <f>$X$24</f>
        <v>3261.25</v>
      </c>
      <c r="D37" s="15">
        <v>20</v>
      </c>
      <c r="E37" s="12">
        <f>COLUMN(AL12)</f>
        <v>38</v>
      </c>
      <c r="F37" s="12">
        <f>COLUMN(AM12)</f>
        <v>39</v>
      </c>
      <c r="G37" s="12">
        <f>COLUMN(AN12)</f>
        <v>40</v>
      </c>
      <c r="H37" s="12">
        <f>COLUMN(AO12)</f>
        <v>41</v>
      </c>
      <c r="I37" s="12"/>
      <c r="J37" s="12"/>
      <c r="K37" s="12"/>
      <c r="L37" s="13"/>
      <c r="N37" s="16">
        <v>19</v>
      </c>
      <c r="O37" s="17">
        <v>21</v>
      </c>
      <c r="P37" s="17" t="s">
        <v>267</v>
      </c>
      <c r="Q37" s="17">
        <f t="shared" si="1"/>
        <v>9370.5</v>
      </c>
      <c r="R37" s="18">
        <v>80</v>
      </c>
      <c r="X37">
        <f t="shared" si="2"/>
        <v>9316</v>
      </c>
    </row>
    <row r="38" spans="1:24" ht="15.75" thickBot="1" x14ac:dyDescent="0.3">
      <c r="A38" s="11">
        <v>20</v>
      </c>
      <c r="B38" s="12" t="s">
        <v>296</v>
      </c>
      <c r="C38" s="19">
        <f>$X$24</f>
        <v>3261.25</v>
      </c>
      <c r="D38" s="15">
        <f>D37+180</f>
        <v>200</v>
      </c>
      <c r="E38" s="12">
        <f>COLUMN(BU13)</f>
        <v>73</v>
      </c>
      <c r="F38" s="12">
        <f>COLUMN(BV13)</f>
        <v>74</v>
      </c>
      <c r="G38" s="12">
        <f>COLUMN(BW13)</f>
        <v>75</v>
      </c>
      <c r="H38" s="12">
        <f>COLUMN(BX13)</f>
        <v>76</v>
      </c>
      <c r="I38" s="12"/>
      <c r="J38" s="12"/>
      <c r="K38" s="12"/>
      <c r="L38" s="13"/>
      <c r="T38" s="22"/>
      <c r="U38" s="22"/>
    </row>
    <row r="39" spans="1:24" x14ac:dyDescent="0.25">
      <c r="A39" s="11">
        <v>21</v>
      </c>
      <c r="B39" s="12" t="s">
        <v>297</v>
      </c>
      <c r="C39" s="19">
        <f>$X$24</f>
        <v>3261.25</v>
      </c>
      <c r="D39" s="15">
        <f>D38+180</f>
        <v>380</v>
      </c>
      <c r="E39" s="12">
        <f>COLUMN(CA14)</f>
        <v>79</v>
      </c>
      <c r="F39" s="12">
        <f>COLUMN(CB14)</f>
        <v>80</v>
      </c>
      <c r="G39" s="12"/>
      <c r="H39" s="12"/>
      <c r="I39" s="12"/>
      <c r="J39" s="12"/>
      <c r="K39" s="12"/>
      <c r="L39" s="13"/>
      <c r="N39" s="8" t="s">
        <v>351</v>
      </c>
      <c r="O39" s="9"/>
      <c r="P39" s="9"/>
      <c r="Q39" s="9"/>
      <c r="R39" s="9"/>
      <c r="S39" s="10"/>
    </row>
    <row r="40" spans="1:24" ht="15.75" thickBot="1" x14ac:dyDescent="0.3">
      <c r="A40" s="14">
        <v>22</v>
      </c>
      <c r="B40" s="15" t="s">
        <v>298</v>
      </c>
      <c r="C40" s="20">
        <f>$X$25</f>
        <v>3727</v>
      </c>
      <c r="D40" s="15">
        <v>20</v>
      </c>
      <c r="E40" s="12">
        <f>COLUMN(DF15)</f>
        <v>110</v>
      </c>
      <c r="F40" s="12"/>
      <c r="G40" s="12"/>
      <c r="H40" s="12"/>
      <c r="I40" s="12"/>
      <c r="J40" s="12"/>
      <c r="K40" s="12"/>
      <c r="L40" s="13"/>
      <c r="N40" s="16" t="s">
        <v>273</v>
      </c>
      <c r="O40" s="17" t="s">
        <v>274</v>
      </c>
      <c r="P40" s="17" t="s">
        <v>350</v>
      </c>
      <c r="Q40" s="17" t="s">
        <v>276</v>
      </c>
      <c r="R40" s="24" t="s">
        <v>363</v>
      </c>
      <c r="S40" s="25" t="s">
        <v>364</v>
      </c>
    </row>
    <row r="41" spans="1:24" x14ac:dyDescent="0.25">
      <c r="A41" s="14">
        <v>23</v>
      </c>
      <c r="B41" s="15" t="s">
        <v>299</v>
      </c>
      <c r="C41" s="20">
        <f>$X$25</f>
        <v>3727</v>
      </c>
      <c r="D41" s="15">
        <f>D40+180</f>
        <v>200</v>
      </c>
      <c r="E41" s="12">
        <f>COLUMN(DG16)</f>
        <v>111</v>
      </c>
      <c r="F41" s="12">
        <f>COLUMN(DH16)</f>
        <v>112</v>
      </c>
      <c r="G41" s="12">
        <f>COLUMN(DI16)</f>
        <v>113</v>
      </c>
      <c r="H41" s="12"/>
      <c r="I41" s="12"/>
      <c r="J41" s="12"/>
      <c r="K41" s="12"/>
      <c r="L41" s="13"/>
      <c r="N41" s="11">
        <v>1</v>
      </c>
      <c r="O41" s="12" t="s">
        <v>352</v>
      </c>
      <c r="P41" s="12">
        <v>0</v>
      </c>
      <c r="Q41" s="12">
        <v>0</v>
      </c>
      <c r="R41" s="22">
        <v>2</v>
      </c>
      <c r="S41" s="23">
        <v>3</v>
      </c>
    </row>
    <row r="42" spans="1:24" x14ac:dyDescent="0.25">
      <c r="A42" s="14">
        <v>24</v>
      </c>
      <c r="B42" s="15" t="s">
        <v>300</v>
      </c>
      <c r="C42" s="20">
        <f>$X$25</f>
        <v>3727</v>
      </c>
      <c r="D42" s="15">
        <f>D41+180</f>
        <v>380</v>
      </c>
      <c r="E42" s="12">
        <f>COLUMN(DJ17)</f>
        <v>114</v>
      </c>
      <c r="F42" s="12">
        <f>COLUMN(DK17)</f>
        <v>115</v>
      </c>
      <c r="G42" s="12"/>
      <c r="H42" s="12"/>
      <c r="I42" s="12"/>
      <c r="J42" s="12"/>
      <c r="K42" s="12"/>
      <c r="L42" s="13"/>
      <c r="N42" s="11">
        <v>2</v>
      </c>
      <c r="O42" s="12" t="s">
        <v>353</v>
      </c>
      <c r="P42" s="12">
        <v>0</v>
      </c>
      <c r="Q42" s="12">
        <v>240</v>
      </c>
      <c r="R42" s="22">
        <v>2</v>
      </c>
      <c r="S42" s="23">
        <v>4</v>
      </c>
    </row>
    <row r="43" spans="1:24" x14ac:dyDescent="0.25">
      <c r="A43" s="11">
        <v>25</v>
      </c>
      <c r="B43" s="12" t="s">
        <v>301</v>
      </c>
      <c r="C43" s="19">
        <f>$X$26</f>
        <v>4192.75</v>
      </c>
      <c r="D43" s="15">
        <v>20</v>
      </c>
      <c r="E43" s="12">
        <f>COLUMN(DT18)</f>
        <v>124</v>
      </c>
      <c r="F43" s="12">
        <f>COLUMN(DU18)</f>
        <v>125</v>
      </c>
      <c r="G43" s="12">
        <f>COLUMN(DV18)</f>
        <v>126</v>
      </c>
      <c r="H43" s="12">
        <f>COLUMN(DW18)</f>
        <v>127</v>
      </c>
      <c r="I43" s="12"/>
      <c r="J43" s="12"/>
      <c r="K43" s="12"/>
      <c r="L43" s="13"/>
      <c r="N43" s="11">
        <v>3</v>
      </c>
      <c r="O43" s="12" t="s">
        <v>354</v>
      </c>
      <c r="P43" s="12">
        <v>0</v>
      </c>
      <c r="Q43" s="12">
        <v>480</v>
      </c>
      <c r="R43" s="22">
        <v>2</v>
      </c>
      <c r="S43" s="23">
        <v>5</v>
      </c>
    </row>
    <row r="44" spans="1:24" x14ac:dyDescent="0.25">
      <c r="A44" s="11">
        <v>26</v>
      </c>
      <c r="B44" s="12" t="s">
        <v>302</v>
      </c>
      <c r="C44" s="19">
        <f>$X$26</f>
        <v>4192.75</v>
      </c>
      <c r="D44" s="15">
        <f>D43+180</f>
        <v>200</v>
      </c>
      <c r="E44" s="12">
        <f>COLUMN(DX19)</f>
        <v>128</v>
      </c>
      <c r="F44" s="12">
        <f>COLUMN(DY19)</f>
        <v>129</v>
      </c>
      <c r="G44" s="12">
        <f>COLUMN(DZ19)</f>
        <v>130</v>
      </c>
      <c r="H44" s="12">
        <f>COLUMN(EA19)</f>
        <v>131</v>
      </c>
      <c r="I44" s="12"/>
      <c r="J44" s="12"/>
      <c r="K44" s="12"/>
      <c r="L44" s="13"/>
      <c r="N44" s="11">
        <v>4</v>
      </c>
      <c r="O44" s="12" t="s">
        <v>368</v>
      </c>
      <c r="P44" s="12">
        <v>466.25</v>
      </c>
      <c r="Q44" s="12">
        <v>0</v>
      </c>
      <c r="R44" s="22">
        <v>2</v>
      </c>
      <c r="S44" s="23">
        <v>6</v>
      </c>
    </row>
    <row r="45" spans="1:24" x14ac:dyDescent="0.25">
      <c r="A45" s="11">
        <v>27</v>
      </c>
      <c r="B45" s="12" t="s">
        <v>303</v>
      </c>
      <c r="C45" s="19">
        <f>$X$26</f>
        <v>4192.75</v>
      </c>
      <c r="D45" s="15">
        <f>D44+180</f>
        <v>380</v>
      </c>
      <c r="E45" s="12">
        <f>COLUMN(EB20)</f>
        <v>132</v>
      </c>
      <c r="F45" s="12">
        <f>COLUMN(EC20)</f>
        <v>133</v>
      </c>
      <c r="G45" s="12">
        <f>COLUMN(ED20)</f>
        <v>134</v>
      </c>
      <c r="H45" s="12">
        <f>COLUMN(EE20)</f>
        <v>135</v>
      </c>
      <c r="I45" s="12"/>
      <c r="J45" s="12"/>
      <c r="K45" s="12"/>
      <c r="L45" s="13"/>
      <c r="N45" s="11">
        <v>5</v>
      </c>
      <c r="O45" s="12" t="s">
        <v>369</v>
      </c>
      <c r="P45" s="12">
        <v>466.25</v>
      </c>
      <c r="Q45" s="12">
        <v>240</v>
      </c>
      <c r="R45" s="22">
        <v>5</v>
      </c>
      <c r="S45" s="23">
        <v>3</v>
      </c>
    </row>
    <row r="46" spans="1:24" ht="15.75" thickBot="1" x14ac:dyDescent="0.3">
      <c r="A46" s="11">
        <v>28</v>
      </c>
      <c r="B46" s="12" t="s">
        <v>304</v>
      </c>
      <c r="C46" s="19">
        <f>$X$26</f>
        <v>4192.75</v>
      </c>
      <c r="D46" s="15">
        <f>D45+180</f>
        <v>560</v>
      </c>
      <c r="E46" s="12">
        <f>COLUMN(EF21)</f>
        <v>136</v>
      </c>
      <c r="F46" s="12">
        <f>COLUMN(EG21)</f>
        <v>137</v>
      </c>
      <c r="G46" s="12">
        <f>COLUMN(EH21)</f>
        <v>138</v>
      </c>
      <c r="H46" s="12">
        <f>COLUMN(EI21)</f>
        <v>139</v>
      </c>
      <c r="I46" s="12"/>
      <c r="J46" s="12"/>
      <c r="K46" s="12"/>
      <c r="L46" s="13"/>
      <c r="N46" s="16">
        <v>6</v>
      </c>
      <c r="O46" s="17" t="s">
        <v>355</v>
      </c>
      <c r="P46" s="17">
        <v>466.25</v>
      </c>
      <c r="Q46" s="17">
        <v>480</v>
      </c>
      <c r="R46" s="24">
        <v>5</v>
      </c>
      <c r="S46" s="25">
        <v>7</v>
      </c>
    </row>
    <row r="47" spans="1:24" ht="15.75" thickBot="1" x14ac:dyDescent="0.3">
      <c r="A47" s="14">
        <v>29</v>
      </c>
      <c r="B47" s="15" t="s">
        <v>305</v>
      </c>
      <c r="C47" s="15">
        <f>$X$27</f>
        <v>4658.5</v>
      </c>
      <c r="D47" s="15">
        <v>20</v>
      </c>
      <c r="E47" s="12">
        <f>COLUMN(AD22)</f>
        <v>30</v>
      </c>
      <c r="F47" s="12">
        <f>COLUMN(AE22)</f>
        <v>31</v>
      </c>
      <c r="G47" s="12">
        <f>COLUMN(AF22)</f>
        <v>32</v>
      </c>
      <c r="H47" s="12">
        <f>COLUMN(AG22)</f>
        <v>33</v>
      </c>
      <c r="I47" s="12"/>
      <c r="J47" s="12"/>
      <c r="K47" s="12"/>
      <c r="L47" s="13"/>
    </row>
    <row r="48" spans="1:24" x14ac:dyDescent="0.25">
      <c r="A48" s="14">
        <v>30</v>
      </c>
      <c r="B48" s="15" t="s">
        <v>309</v>
      </c>
      <c r="C48" s="15">
        <f>$X$27</f>
        <v>4658.5</v>
      </c>
      <c r="D48" s="15">
        <f>D47+180</f>
        <v>200</v>
      </c>
      <c r="E48" s="12">
        <f>COLUMN(AH23)</f>
        <v>34</v>
      </c>
      <c r="F48" s="12">
        <f>COLUMN(AI23)</f>
        <v>35</v>
      </c>
      <c r="G48" s="12">
        <f>COLUMN(AJ23)</f>
        <v>36</v>
      </c>
      <c r="H48" s="12">
        <f>COLUMN(AK23)</f>
        <v>37</v>
      </c>
      <c r="I48" s="12"/>
      <c r="J48" s="12"/>
      <c r="K48" s="12"/>
      <c r="L48" s="13"/>
      <c r="N48" s="8" t="s">
        <v>357</v>
      </c>
      <c r="O48" s="10"/>
    </row>
    <row r="49" spans="1:15" ht="15.75" thickBot="1" x14ac:dyDescent="0.3">
      <c r="A49" s="14">
        <v>31</v>
      </c>
      <c r="B49" s="15" t="s">
        <v>308</v>
      </c>
      <c r="C49" s="15">
        <f>$X$27</f>
        <v>4658.5</v>
      </c>
      <c r="D49" s="15">
        <f>D48+180</f>
        <v>380</v>
      </c>
      <c r="E49" s="12">
        <f>COLUMN(FC24)</f>
        <v>159</v>
      </c>
      <c r="F49" s="12">
        <f>COLUMN(FD24)</f>
        <v>160</v>
      </c>
      <c r="G49" s="12">
        <f>COLUMN(FE24)</f>
        <v>161</v>
      </c>
      <c r="H49" s="12">
        <f>COLUMN(FF24)</f>
        <v>162</v>
      </c>
      <c r="I49" s="12"/>
      <c r="J49" s="12"/>
      <c r="K49" s="12"/>
      <c r="L49" s="13"/>
      <c r="N49" s="16" t="s">
        <v>273</v>
      </c>
      <c r="O49" s="18"/>
    </row>
    <row r="50" spans="1:15" x14ac:dyDescent="0.25">
      <c r="A50" s="14">
        <v>32</v>
      </c>
      <c r="B50" s="15" t="s">
        <v>306</v>
      </c>
      <c r="C50" s="15">
        <f>$X$27</f>
        <v>4658.5</v>
      </c>
      <c r="D50" s="15">
        <f>D49+180</f>
        <v>560</v>
      </c>
      <c r="E50" s="12">
        <f>COLUMN(CL25)</f>
        <v>90</v>
      </c>
      <c r="F50" s="12">
        <f>COLUMN(CM25)</f>
        <v>91</v>
      </c>
      <c r="G50" s="12">
        <f>COLUMN(CN25)</f>
        <v>92</v>
      </c>
      <c r="H50" s="12">
        <f>COLUMN(CO25)</f>
        <v>93</v>
      </c>
      <c r="I50" s="12"/>
      <c r="J50" s="12"/>
      <c r="K50" s="12"/>
      <c r="L50" s="13"/>
      <c r="N50" s="11">
        <v>1</v>
      </c>
      <c r="O50" s="13" t="s">
        <v>408</v>
      </c>
    </row>
    <row r="51" spans="1:15" x14ac:dyDescent="0.25">
      <c r="A51" s="11">
        <v>33</v>
      </c>
      <c r="B51" s="12" t="s">
        <v>307</v>
      </c>
      <c r="C51" s="19">
        <f>$X$28</f>
        <v>5124.25</v>
      </c>
      <c r="D51" s="15">
        <v>20</v>
      </c>
      <c r="E51" s="12">
        <f>COLUMN(V26)</f>
        <v>22</v>
      </c>
      <c r="F51" s="12">
        <f>COLUMN(W26)</f>
        <v>23</v>
      </c>
      <c r="G51" s="12">
        <f>COLUMN(X26)</f>
        <v>24</v>
      </c>
      <c r="H51" s="12">
        <f>COLUMN(Y26)</f>
        <v>25</v>
      </c>
      <c r="I51" s="12"/>
      <c r="J51" s="12"/>
      <c r="K51" s="12"/>
      <c r="L51" s="13"/>
      <c r="N51" s="11">
        <v>2</v>
      </c>
      <c r="O51" s="13" t="s">
        <v>409</v>
      </c>
    </row>
    <row r="52" spans="1:15" ht="15.75" thickBot="1" x14ac:dyDescent="0.3">
      <c r="A52" s="11">
        <v>34</v>
      </c>
      <c r="B52" s="12" t="s">
        <v>310</v>
      </c>
      <c r="C52" s="19">
        <f>$X$28</f>
        <v>5124.25</v>
      </c>
      <c r="D52" s="15">
        <f>D51+180</f>
        <v>200</v>
      </c>
      <c r="E52" s="12">
        <f>COLUMN(Z27)</f>
        <v>26</v>
      </c>
      <c r="F52" s="12">
        <f>COLUMN(AA27)</f>
        <v>27</v>
      </c>
      <c r="G52" s="12">
        <f>COLUMN(AB27)</f>
        <v>28</v>
      </c>
      <c r="H52" s="12">
        <f>COLUMN(AC27)</f>
        <v>29</v>
      </c>
      <c r="I52" s="12"/>
      <c r="J52" s="12"/>
      <c r="K52" s="12"/>
      <c r="L52" s="13"/>
      <c r="N52" s="16">
        <v>3</v>
      </c>
      <c r="O52" s="18" t="s">
        <v>410</v>
      </c>
    </row>
    <row r="53" spans="1:15" x14ac:dyDescent="0.25">
      <c r="A53" s="11">
        <v>35</v>
      </c>
      <c r="B53" s="12" t="s">
        <v>311</v>
      </c>
      <c r="C53" s="19">
        <f>$X$28</f>
        <v>5124.25</v>
      </c>
      <c r="D53" s="15">
        <f>D52+180</f>
        <v>380</v>
      </c>
      <c r="E53" s="12">
        <f>COLUMN(T28)</f>
        <v>20</v>
      </c>
      <c r="F53" s="12">
        <f>COLUMN(U28)</f>
        <v>21</v>
      </c>
      <c r="G53" s="12"/>
      <c r="H53" s="12"/>
      <c r="I53" s="12"/>
      <c r="J53" s="12"/>
      <c r="K53" s="12"/>
      <c r="L53" s="13"/>
    </row>
    <row r="54" spans="1:15" x14ac:dyDescent="0.25">
      <c r="A54" s="11">
        <v>36</v>
      </c>
      <c r="B54" s="12" t="s">
        <v>312</v>
      </c>
      <c r="C54" s="19">
        <f>$X$28</f>
        <v>5124.25</v>
      </c>
      <c r="D54" s="15">
        <f>D53+180</f>
        <v>560</v>
      </c>
      <c r="E54" s="12">
        <f>COLUMN(BN29)</f>
        <v>66</v>
      </c>
      <c r="F54" s="12">
        <f>COLUMN(BO29)</f>
        <v>67</v>
      </c>
      <c r="G54" s="12">
        <f>COLUMN(BP29)</f>
        <v>68</v>
      </c>
      <c r="H54" s="12">
        <f>COLUMN(BQ29)</f>
        <v>69</v>
      </c>
      <c r="I54" s="12">
        <f>COLUMN(CP29)</f>
        <v>94</v>
      </c>
      <c r="J54" s="12">
        <f>COLUMN(CQ29)</f>
        <v>95</v>
      </c>
      <c r="K54" s="12">
        <f>COLUMN(CR29)</f>
        <v>96</v>
      </c>
      <c r="L54" s="13">
        <f>COLUMN(CS29)</f>
        <v>97</v>
      </c>
    </row>
    <row r="55" spans="1:15" x14ac:dyDescent="0.25">
      <c r="A55" s="14">
        <v>37</v>
      </c>
      <c r="B55" s="50" t="s">
        <v>398</v>
      </c>
      <c r="C55" s="15">
        <f>$X$29</f>
        <v>5590</v>
      </c>
      <c r="D55" s="15">
        <v>20</v>
      </c>
      <c r="E55" s="12">
        <v>251</v>
      </c>
      <c r="F55" s="50">
        <v>252</v>
      </c>
      <c r="G55" s="12"/>
      <c r="H55" s="12"/>
      <c r="I55" s="12"/>
      <c r="J55" s="12"/>
      <c r="K55" s="12"/>
      <c r="L55" s="13"/>
    </row>
    <row r="56" spans="1:15" x14ac:dyDescent="0.25">
      <c r="A56" s="14">
        <v>38</v>
      </c>
      <c r="B56" s="50" t="s">
        <v>399</v>
      </c>
      <c r="C56" s="15">
        <f>$X$29</f>
        <v>5590</v>
      </c>
      <c r="D56" s="15">
        <f>D55+180</f>
        <v>200</v>
      </c>
      <c r="E56" s="12">
        <v>253</v>
      </c>
      <c r="F56" s="12">
        <v>254</v>
      </c>
      <c r="G56" s="12"/>
      <c r="H56" s="12"/>
      <c r="I56" s="12"/>
      <c r="J56" s="12"/>
      <c r="K56" s="12"/>
      <c r="L56" s="13"/>
    </row>
    <row r="57" spans="1:15" x14ac:dyDescent="0.25">
      <c r="A57" s="11">
        <v>39</v>
      </c>
      <c r="B57" s="46" t="s">
        <v>313</v>
      </c>
      <c r="C57" s="47">
        <f>$X$30</f>
        <v>6055.75</v>
      </c>
      <c r="D57" s="46">
        <v>20</v>
      </c>
      <c r="E57" s="46">
        <f>COLUMN(AV30)</f>
        <v>48</v>
      </c>
      <c r="F57" s="12">
        <f>COLUMN(AW30)</f>
        <v>49</v>
      </c>
      <c r="G57" s="12">
        <f>COLUMN(FS30)</f>
        <v>175</v>
      </c>
      <c r="H57" s="12">
        <f>COLUMN(FT30)</f>
        <v>176</v>
      </c>
      <c r="I57" s="12"/>
      <c r="J57" s="12"/>
      <c r="K57" s="12"/>
      <c r="L57" s="13"/>
    </row>
    <row r="58" spans="1:15" x14ac:dyDescent="0.25">
      <c r="A58" s="11">
        <v>40</v>
      </c>
      <c r="B58" s="46" t="s">
        <v>314</v>
      </c>
      <c r="C58" s="47">
        <f>$X$30</f>
        <v>6055.75</v>
      </c>
      <c r="D58" s="46">
        <f>D57+180</f>
        <v>200</v>
      </c>
      <c r="E58" s="46">
        <f>COLUMN(AT31)</f>
        <v>46</v>
      </c>
      <c r="F58" s="12">
        <f>COLUMN(FL31)</f>
        <v>168</v>
      </c>
      <c r="G58" s="12">
        <f>COLUMN(AU31)</f>
        <v>47</v>
      </c>
      <c r="H58" s="12">
        <f>COLUMN(EK31)</f>
        <v>141</v>
      </c>
      <c r="I58" s="12">
        <v>237</v>
      </c>
      <c r="J58" s="12">
        <v>237</v>
      </c>
      <c r="K58" s="12"/>
      <c r="L58" s="13"/>
    </row>
    <row r="59" spans="1:15" x14ac:dyDescent="0.25">
      <c r="A59" s="11">
        <v>41</v>
      </c>
      <c r="B59" s="46" t="s">
        <v>315</v>
      </c>
      <c r="C59" s="47">
        <f>$X$30</f>
        <v>6055.75</v>
      </c>
      <c r="D59" s="46">
        <f>D58+180</f>
        <v>380</v>
      </c>
      <c r="E59" s="46">
        <f>COLUMN(CU32)</f>
        <v>99</v>
      </c>
      <c r="F59" s="12">
        <f t="shared" ref="F59:L59" si="3">COLUMN(CV32)</f>
        <v>100</v>
      </c>
      <c r="G59" s="12">
        <f t="shared" si="3"/>
        <v>101</v>
      </c>
      <c r="H59" s="12">
        <f t="shared" si="3"/>
        <v>102</v>
      </c>
      <c r="I59" s="12">
        <f t="shared" si="3"/>
        <v>103</v>
      </c>
      <c r="J59" s="12">
        <f t="shared" si="3"/>
        <v>104</v>
      </c>
      <c r="K59" s="12">
        <f t="shared" si="3"/>
        <v>105</v>
      </c>
      <c r="L59" s="13">
        <f t="shared" si="3"/>
        <v>106</v>
      </c>
    </row>
    <row r="60" spans="1:15" x14ac:dyDescent="0.25">
      <c r="A60" s="11">
        <v>42</v>
      </c>
      <c r="B60" s="46" t="s">
        <v>316</v>
      </c>
      <c r="C60" s="47">
        <f>$X$30</f>
        <v>6055.75</v>
      </c>
      <c r="D60" s="46">
        <f>D59+180</f>
        <v>560</v>
      </c>
      <c r="E60" s="46">
        <f>COLUMN(AZ33)</f>
        <v>52</v>
      </c>
      <c r="F60" s="12">
        <f>COLUMN(FO33)</f>
        <v>171</v>
      </c>
      <c r="G60" s="12">
        <f>COLUMN(BA33)</f>
        <v>53</v>
      </c>
      <c r="H60" s="12">
        <f>COLUMN(BB33)</f>
        <v>54</v>
      </c>
      <c r="I60" s="12">
        <v>238</v>
      </c>
      <c r="J60" s="12">
        <v>239</v>
      </c>
      <c r="K60" s="12"/>
      <c r="L60" s="13"/>
    </row>
    <row r="61" spans="1:15" x14ac:dyDescent="0.25">
      <c r="A61" s="14">
        <v>43</v>
      </c>
      <c r="B61" s="15" t="s">
        <v>317</v>
      </c>
      <c r="C61" s="21">
        <f>$X$31</f>
        <v>6521.5</v>
      </c>
      <c r="D61" s="15">
        <v>20</v>
      </c>
      <c r="E61" s="12">
        <f>COLUMN(EL34)</f>
        <v>142</v>
      </c>
      <c r="F61" s="12">
        <f>COLUMN(EM34)</f>
        <v>143</v>
      </c>
      <c r="G61" s="12">
        <f>COLUMN(FM34)</f>
        <v>169</v>
      </c>
      <c r="H61" s="12">
        <f>COLUMN(FN34)</f>
        <v>170</v>
      </c>
      <c r="I61" s="12">
        <f>COLUMN(HV34)</f>
        <v>230</v>
      </c>
      <c r="J61" s="12"/>
      <c r="K61" s="12"/>
      <c r="L61" s="13"/>
    </row>
    <row r="62" spans="1:15" x14ac:dyDescent="0.25">
      <c r="A62" s="14">
        <v>44</v>
      </c>
      <c r="B62" s="15" t="s">
        <v>318</v>
      </c>
      <c r="C62" s="21">
        <f>$X$31</f>
        <v>6521.5</v>
      </c>
      <c r="D62" s="15">
        <f>D61+180</f>
        <v>200</v>
      </c>
      <c r="E62" s="12">
        <f>COLUMN(FG35)</f>
        <v>163</v>
      </c>
      <c r="F62" s="12">
        <f>COLUMN(FH35)</f>
        <v>164</v>
      </c>
      <c r="G62" s="12">
        <f>COLUMN(FI35)</f>
        <v>165</v>
      </c>
      <c r="H62" s="12">
        <f>COLUMN(FJ35)</f>
        <v>166</v>
      </c>
      <c r="I62" s="12">
        <v>246</v>
      </c>
      <c r="J62" s="12">
        <v>247</v>
      </c>
      <c r="K62" s="12"/>
      <c r="L62" s="13"/>
    </row>
    <row r="63" spans="1:15" x14ac:dyDescent="0.25">
      <c r="A63" s="14">
        <v>45</v>
      </c>
      <c r="B63" s="15" t="s">
        <v>319</v>
      </c>
      <c r="C63" s="21">
        <f>$X$31</f>
        <v>6521.5</v>
      </c>
      <c r="D63" s="15">
        <f>D62+180</f>
        <v>380</v>
      </c>
      <c r="E63" s="12">
        <f>COLUMN(FK36)</f>
        <v>167</v>
      </c>
      <c r="F63" s="12">
        <f>COLUMN(FP36)</f>
        <v>172</v>
      </c>
      <c r="G63" s="12">
        <f>COLUMN(FQ36)</f>
        <v>173</v>
      </c>
      <c r="H63" s="12">
        <f>COLUMN(FR36)</f>
        <v>174</v>
      </c>
      <c r="I63" s="12"/>
      <c r="J63" s="12"/>
      <c r="K63" s="12"/>
      <c r="L63" s="13"/>
    </row>
    <row r="64" spans="1:15" x14ac:dyDescent="0.25">
      <c r="A64" s="14">
        <v>46</v>
      </c>
      <c r="B64" s="15" t="s">
        <v>320</v>
      </c>
      <c r="C64" s="21">
        <f>$X$31</f>
        <v>6521.5</v>
      </c>
      <c r="D64" s="15">
        <f>D63+180</f>
        <v>560</v>
      </c>
      <c r="E64" s="12">
        <f>COLUMN(FU37)</f>
        <v>177</v>
      </c>
      <c r="F64" s="12">
        <f>COLUMN(GF37)</f>
        <v>188</v>
      </c>
      <c r="G64" s="12"/>
      <c r="H64" s="12"/>
      <c r="I64" s="12"/>
      <c r="J64" s="12"/>
      <c r="K64" s="12"/>
      <c r="L64" s="13"/>
    </row>
    <row r="65" spans="1:12" x14ac:dyDescent="0.25">
      <c r="A65" s="11">
        <v>47</v>
      </c>
      <c r="B65" s="46" t="s">
        <v>321</v>
      </c>
      <c r="C65" s="47">
        <f>$X$32</f>
        <v>6987.25</v>
      </c>
      <c r="D65" s="46">
        <v>20</v>
      </c>
      <c r="E65" s="12">
        <f>COLUMN(FV38)</f>
        <v>178</v>
      </c>
      <c r="F65" s="12">
        <f>COLUMN(FW38)</f>
        <v>179</v>
      </c>
      <c r="G65" s="12"/>
      <c r="H65" s="12"/>
      <c r="I65" s="12"/>
      <c r="J65" s="12"/>
      <c r="K65" s="12"/>
      <c r="L65" s="13"/>
    </row>
    <row r="66" spans="1:12" x14ac:dyDescent="0.25">
      <c r="A66" s="11">
        <v>48</v>
      </c>
      <c r="B66" s="46" t="s">
        <v>322</v>
      </c>
      <c r="C66" s="47">
        <f>$X$32</f>
        <v>6987.25</v>
      </c>
      <c r="D66" s="46">
        <f>D65+180</f>
        <v>200</v>
      </c>
      <c r="E66" s="12">
        <f>COLUMN(FX39)</f>
        <v>180</v>
      </c>
      <c r="F66" s="12">
        <f>COLUMN(FY39)</f>
        <v>181</v>
      </c>
      <c r="G66" s="12">
        <f>COLUMN(FZ39)</f>
        <v>182</v>
      </c>
      <c r="H66" s="12">
        <f>COLUMN(GA39)</f>
        <v>183</v>
      </c>
      <c r="I66" s="12"/>
      <c r="J66" s="12"/>
      <c r="K66" s="12"/>
      <c r="L66" s="13"/>
    </row>
    <row r="67" spans="1:12" x14ac:dyDescent="0.25">
      <c r="A67" s="11">
        <v>49</v>
      </c>
      <c r="B67" s="46" t="s">
        <v>323</v>
      </c>
      <c r="C67" s="47">
        <f>$X$32</f>
        <v>6987.25</v>
      </c>
      <c r="D67" s="46">
        <f>D66+180</f>
        <v>380</v>
      </c>
      <c r="E67" s="12">
        <f>COLUMN(GB40)</f>
        <v>184</v>
      </c>
      <c r="F67" s="12">
        <f>COLUMN(GC40)</f>
        <v>185</v>
      </c>
      <c r="G67" s="12">
        <f>COLUMN(GD40)</f>
        <v>186</v>
      </c>
      <c r="H67" s="12">
        <f>COLUMN(GE40)</f>
        <v>187</v>
      </c>
      <c r="I67" s="12"/>
      <c r="J67" s="12"/>
      <c r="K67" s="12"/>
      <c r="L67" s="13"/>
    </row>
    <row r="68" spans="1:12" x14ac:dyDescent="0.25">
      <c r="A68" s="11">
        <v>50</v>
      </c>
      <c r="B68" s="46" t="s">
        <v>403</v>
      </c>
      <c r="C68" s="47">
        <f>$X$32</f>
        <v>6987.25</v>
      </c>
      <c r="D68" s="46">
        <f>D67+180</f>
        <v>560</v>
      </c>
      <c r="E68" s="12">
        <f>COLUMN(GG41)</f>
        <v>189</v>
      </c>
      <c r="F68" s="12">
        <f>COLUMN(GH41)</f>
        <v>190</v>
      </c>
      <c r="G68" s="12">
        <f>COLUMN(GI41)</f>
        <v>191</v>
      </c>
      <c r="H68" s="12">
        <f>COLUMN(GJ41)</f>
        <v>192</v>
      </c>
      <c r="I68" s="12"/>
      <c r="J68" s="12"/>
      <c r="K68" s="12"/>
      <c r="L68" s="13"/>
    </row>
    <row r="69" spans="1:12" x14ac:dyDescent="0.25">
      <c r="A69" s="14">
        <v>51</v>
      </c>
      <c r="B69" s="15" t="s">
        <v>393</v>
      </c>
      <c r="C69" s="15">
        <f>$X$33</f>
        <v>7453</v>
      </c>
      <c r="D69" s="15">
        <v>20</v>
      </c>
      <c r="E69" s="46">
        <v>238</v>
      </c>
      <c r="F69" s="51">
        <v>239</v>
      </c>
      <c r="G69" s="51">
        <v>244</v>
      </c>
      <c r="H69" s="51">
        <v>245</v>
      </c>
      <c r="I69" s="51">
        <v>249</v>
      </c>
      <c r="J69" s="46"/>
      <c r="K69" s="46"/>
      <c r="L69" s="52"/>
    </row>
    <row r="70" spans="1:12" x14ac:dyDescent="0.25">
      <c r="A70" s="14">
        <v>52</v>
      </c>
      <c r="B70" s="15" t="s">
        <v>394</v>
      </c>
      <c r="C70" s="15">
        <f>$X$33</f>
        <v>7453</v>
      </c>
      <c r="D70" s="15">
        <f>D69+180</f>
        <v>200</v>
      </c>
      <c r="E70" s="46">
        <v>240</v>
      </c>
      <c r="F70" s="46">
        <v>241</v>
      </c>
      <c r="G70" s="46">
        <v>242</v>
      </c>
      <c r="H70" s="51">
        <v>243</v>
      </c>
      <c r="I70" s="51">
        <v>248</v>
      </c>
      <c r="J70" s="46"/>
      <c r="K70" s="46"/>
      <c r="L70" s="52"/>
    </row>
    <row r="71" spans="1:12" x14ac:dyDescent="0.25">
      <c r="A71" s="14">
        <v>53</v>
      </c>
      <c r="B71" s="50" t="s">
        <v>397</v>
      </c>
      <c r="C71" s="15">
        <f>$X$33</f>
        <v>7453</v>
      </c>
      <c r="D71" s="4">
        <v>380</v>
      </c>
      <c r="E71" s="53">
        <v>250</v>
      </c>
      <c r="F71" s="53"/>
      <c r="G71" s="53"/>
      <c r="H71" s="53"/>
      <c r="I71" s="53"/>
      <c r="J71" s="53"/>
      <c r="K71" s="53"/>
      <c r="L71" s="53"/>
    </row>
    <row r="72" spans="1:12" x14ac:dyDescent="0.25">
      <c r="A72" s="11">
        <v>54</v>
      </c>
      <c r="B72" s="46" t="s">
        <v>324</v>
      </c>
      <c r="C72" s="47">
        <f>$X$34</f>
        <v>7918.75</v>
      </c>
      <c r="D72" s="46">
        <v>20</v>
      </c>
      <c r="E72" s="12">
        <f>COLUMN(CG42)</f>
        <v>85</v>
      </c>
      <c r="F72" s="12">
        <f>COLUMN(CH42)</f>
        <v>86</v>
      </c>
      <c r="G72" s="12">
        <f>COLUMN(GK42)</f>
        <v>193</v>
      </c>
      <c r="H72" s="12">
        <f>COLUMN(GL42)</f>
        <v>194</v>
      </c>
      <c r="I72" s="12">
        <f>COLUMN(GM42)</f>
        <v>195</v>
      </c>
      <c r="J72" s="12"/>
      <c r="K72" s="12"/>
      <c r="L72" s="13"/>
    </row>
    <row r="73" spans="1:12" x14ac:dyDescent="0.25">
      <c r="A73" s="11">
        <v>55</v>
      </c>
      <c r="B73" s="46" t="s">
        <v>325</v>
      </c>
      <c r="C73" s="47">
        <f>$X$34</f>
        <v>7918.75</v>
      </c>
      <c r="D73" s="46">
        <f>D72+180</f>
        <v>200</v>
      </c>
      <c r="E73" s="12">
        <f>COLUMN(GN43)</f>
        <v>196</v>
      </c>
      <c r="F73" s="12"/>
      <c r="G73" s="12"/>
      <c r="H73" s="12"/>
      <c r="I73" s="12"/>
      <c r="J73" s="12"/>
      <c r="K73" s="12"/>
      <c r="L73" s="13"/>
    </row>
    <row r="74" spans="1:12" x14ac:dyDescent="0.25">
      <c r="A74" s="11">
        <v>56</v>
      </c>
      <c r="B74" s="46" t="s">
        <v>326</v>
      </c>
      <c r="C74" s="47">
        <f>$X$34</f>
        <v>7918.75</v>
      </c>
      <c r="D74" s="46">
        <f>D73+180</f>
        <v>380</v>
      </c>
      <c r="E74" s="12">
        <f>COLUMN(CT44)</f>
        <v>98</v>
      </c>
      <c r="F74" s="12"/>
      <c r="G74" s="12"/>
      <c r="H74" s="12"/>
      <c r="I74" s="12"/>
      <c r="J74" s="12"/>
      <c r="K74" s="12"/>
      <c r="L74" s="13"/>
    </row>
    <row r="75" spans="1:12" x14ac:dyDescent="0.25">
      <c r="A75" s="11">
        <v>57</v>
      </c>
      <c r="B75" s="46" t="s">
        <v>327</v>
      </c>
      <c r="C75" s="47">
        <f>$X$34</f>
        <v>7918.75</v>
      </c>
      <c r="D75" s="46">
        <f>D74+180</f>
        <v>560</v>
      </c>
      <c r="E75" s="12">
        <f>COLUMN(ER45)</f>
        <v>148</v>
      </c>
      <c r="F75" s="12">
        <f>COLUMN(EQ45)</f>
        <v>147</v>
      </c>
      <c r="G75" s="12">
        <f>COLUMN(EP45)</f>
        <v>146</v>
      </c>
      <c r="H75" s="12">
        <f>COLUMN(GO45)</f>
        <v>197</v>
      </c>
      <c r="I75" s="12"/>
      <c r="J75" s="12"/>
      <c r="K75" s="12"/>
      <c r="L75" s="13"/>
    </row>
    <row r="76" spans="1:12" x14ac:dyDescent="0.25">
      <c r="A76" s="14">
        <v>58</v>
      </c>
      <c r="B76" s="15" t="s">
        <v>329</v>
      </c>
      <c r="C76" s="21">
        <f>$X$35</f>
        <v>8384.5</v>
      </c>
      <c r="D76" s="15">
        <v>20</v>
      </c>
      <c r="E76" s="12">
        <f>COLUMN(GQ46)</f>
        <v>199</v>
      </c>
      <c r="F76" s="12">
        <f>COLUMN(ES46)</f>
        <v>149</v>
      </c>
      <c r="G76" s="12">
        <f>COLUMN(GP46)</f>
        <v>198</v>
      </c>
      <c r="H76" s="12"/>
      <c r="I76" s="12"/>
      <c r="J76" s="12"/>
      <c r="K76" s="12"/>
      <c r="L76" s="13"/>
    </row>
    <row r="77" spans="1:12" x14ac:dyDescent="0.25">
      <c r="A77" s="14">
        <v>59</v>
      </c>
      <c r="B77" s="15" t="s">
        <v>330</v>
      </c>
      <c r="C77" s="21">
        <f t="shared" ref="C77:C79" si="4">$X$35</f>
        <v>8384.5</v>
      </c>
      <c r="D77" s="15">
        <f>D76+180</f>
        <v>200</v>
      </c>
      <c r="E77" s="12">
        <f>COLUMN(GS47)</f>
        <v>201</v>
      </c>
      <c r="F77" s="12">
        <f>COLUMN(ET47)</f>
        <v>150</v>
      </c>
      <c r="G77" s="12">
        <f>COLUMN(GR47)</f>
        <v>200</v>
      </c>
      <c r="H77" s="12"/>
      <c r="I77" s="12"/>
      <c r="J77" s="12"/>
      <c r="K77" s="12"/>
      <c r="L77" s="13"/>
    </row>
    <row r="78" spans="1:12" x14ac:dyDescent="0.25">
      <c r="A78" s="14">
        <v>60</v>
      </c>
      <c r="B78" s="15" t="s">
        <v>331</v>
      </c>
      <c r="C78" s="21">
        <f t="shared" si="4"/>
        <v>8384.5</v>
      </c>
      <c r="D78" s="15">
        <f>D77+180</f>
        <v>380</v>
      </c>
      <c r="E78" s="12">
        <f>COLUMN(GU48)</f>
        <v>203</v>
      </c>
      <c r="F78" s="12">
        <f>COLUMN(EU48)</f>
        <v>151</v>
      </c>
      <c r="G78" s="12">
        <f>COLUMN(GT48)</f>
        <v>202</v>
      </c>
      <c r="H78" s="12"/>
      <c r="I78" s="12"/>
      <c r="J78" s="12"/>
      <c r="K78" s="12"/>
      <c r="L78" s="13"/>
    </row>
    <row r="79" spans="1:12" x14ac:dyDescent="0.25">
      <c r="A79" s="14">
        <v>61</v>
      </c>
      <c r="B79" s="15" t="s">
        <v>328</v>
      </c>
      <c r="C79" s="21">
        <f t="shared" si="4"/>
        <v>8384.5</v>
      </c>
      <c r="D79" s="15">
        <f>D78+180</f>
        <v>560</v>
      </c>
      <c r="E79" s="12">
        <f t="shared" ref="E79:J79" si="5">COLUMN(GV49)</f>
        <v>204</v>
      </c>
      <c r="F79" s="12">
        <f t="shared" si="5"/>
        <v>205</v>
      </c>
      <c r="G79" s="12">
        <f t="shared" si="5"/>
        <v>206</v>
      </c>
      <c r="H79" s="12">
        <f t="shared" si="5"/>
        <v>207</v>
      </c>
      <c r="I79" s="12">
        <f t="shared" si="5"/>
        <v>208</v>
      </c>
      <c r="J79" s="12">
        <f t="shared" si="5"/>
        <v>209</v>
      </c>
      <c r="K79" s="12"/>
      <c r="L79" s="13"/>
    </row>
    <row r="80" spans="1:12" x14ac:dyDescent="0.25">
      <c r="A80" s="11">
        <v>62</v>
      </c>
      <c r="B80" s="46" t="s">
        <v>332</v>
      </c>
      <c r="C80" s="54">
        <f>$X$36</f>
        <v>8850.25</v>
      </c>
      <c r="D80" s="53">
        <v>20</v>
      </c>
      <c r="E80" s="12">
        <f>COLUMN(BS1)</f>
        <v>71</v>
      </c>
      <c r="F80" s="12">
        <f>COLUMN(EJ1)</f>
        <v>140</v>
      </c>
      <c r="G80" s="12">
        <f>COLUMN(FB1)</f>
        <v>158</v>
      </c>
      <c r="H80" s="12"/>
      <c r="I80" s="12"/>
      <c r="J80" s="12"/>
      <c r="K80" s="12"/>
      <c r="L80" s="13"/>
    </row>
    <row r="81" spans="1:12" x14ac:dyDescent="0.25">
      <c r="A81" s="11">
        <v>63</v>
      </c>
      <c r="B81" s="46" t="s">
        <v>333</v>
      </c>
      <c r="C81" s="54">
        <f t="shared" ref="C81:C83" si="6">$X$36</f>
        <v>8850.25</v>
      </c>
      <c r="D81" s="46">
        <f>D80+180</f>
        <v>200</v>
      </c>
      <c r="E81" s="12">
        <f>COLUMN(HB51)</f>
        <v>210</v>
      </c>
      <c r="F81" s="12">
        <f>COLUMN(HC51)</f>
        <v>211</v>
      </c>
      <c r="G81" s="12">
        <f>COLUMN(HD51)</f>
        <v>212</v>
      </c>
      <c r="H81" s="12"/>
      <c r="I81" s="12"/>
      <c r="J81" s="12"/>
      <c r="K81" s="12"/>
      <c r="L81" s="13"/>
    </row>
    <row r="82" spans="1:12" x14ac:dyDescent="0.25">
      <c r="A82" s="11">
        <v>64</v>
      </c>
      <c r="B82" s="46" t="s">
        <v>334</v>
      </c>
      <c r="C82" s="54">
        <f t="shared" si="6"/>
        <v>8850.25</v>
      </c>
      <c r="D82" s="46">
        <f>D81+180</f>
        <v>380</v>
      </c>
      <c r="E82" s="12">
        <f t="shared" ref="E82:K82" si="7">COLUMN(HE52)</f>
        <v>213</v>
      </c>
      <c r="F82" s="12">
        <f t="shared" si="7"/>
        <v>214</v>
      </c>
      <c r="G82" s="12">
        <f t="shared" si="7"/>
        <v>215</v>
      </c>
      <c r="H82" s="12">
        <f t="shared" si="7"/>
        <v>216</v>
      </c>
      <c r="I82" s="12">
        <f t="shared" si="7"/>
        <v>217</v>
      </c>
      <c r="J82" s="12">
        <f t="shared" si="7"/>
        <v>218</v>
      </c>
      <c r="K82" s="12">
        <f t="shared" si="7"/>
        <v>219</v>
      </c>
      <c r="L82" s="13"/>
    </row>
    <row r="83" spans="1:12" ht="15.75" thickBot="1" x14ac:dyDescent="0.3">
      <c r="A83" s="11">
        <v>65</v>
      </c>
      <c r="B83" s="55" t="s">
        <v>335</v>
      </c>
      <c r="C83" s="54">
        <f t="shared" si="6"/>
        <v>8850.25</v>
      </c>
      <c r="D83" s="46">
        <f>D82+180</f>
        <v>560</v>
      </c>
      <c r="E83" s="17">
        <f t="shared" ref="E83:L83" si="8">COLUMN(HL53)</f>
        <v>220</v>
      </c>
      <c r="F83" s="17">
        <f t="shared" si="8"/>
        <v>221</v>
      </c>
      <c r="G83" s="17">
        <f t="shared" si="8"/>
        <v>222</v>
      </c>
      <c r="H83" s="17">
        <f t="shared" si="8"/>
        <v>223</v>
      </c>
      <c r="I83" s="17">
        <f t="shared" si="8"/>
        <v>224</v>
      </c>
      <c r="J83" s="17">
        <f t="shared" si="8"/>
        <v>225</v>
      </c>
      <c r="K83" s="17">
        <f t="shared" si="8"/>
        <v>226</v>
      </c>
      <c r="L83" s="18">
        <f t="shared" si="8"/>
        <v>227</v>
      </c>
    </row>
    <row r="84" spans="1:12" x14ac:dyDescent="0.25">
      <c r="A84" s="14">
        <v>66</v>
      </c>
      <c r="B84" s="4" t="s">
        <v>336</v>
      </c>
      <c r="C84" s="4">
        <f>$X$37</f>
        <v>9316</v>
      </c>
      <c r="D84" s="4">
        <v>20</v>
      </c>
      <c r="E84">
        <f>COLUMN(HT54)</f>
        <v>228</v>
      </c>
      <c r="F84">
        <f>COLUMN(HU54)</f>
        <v>229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view="pageLayout" topLeftCell="FO7" zoomScaleNormal="50" zoomScaleSheetLayoutView="90" workbookViewId="0">
      <selection activeCell="FY15" sqref="FY15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T147"/>
  <sheetViews>
    <sheetView zoomScale="70" zoomScaleNormal="70" workbookViewId="0">
      <pane xSplit="1" topLeftCell="HJ1" activePane="topRight" state="frozen"/>
      <selection pane="topRight" activeCell="HL50" sqref="HL50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11" max="211" width="25.140625" customWidth="1"/>
    <col min="212" max="212" width="18" customWidth="1"/>
    <col min="231" max="231" width="13.28515625" customWidth="1"/>
    <col min="232" max="232" width="14" customWidth="1"/>
  </cols>
  <sheetData>
    <row r="2" spans="1:254" x14ac:dyDescent="0.25">
      <c r="B2" s="4" t="s">
        <v>44</v>
      </c>
      <c r="C2">
        <f>MAX(C8:C108)</f>
        <v>0</v>
      </c>
      <c r="D2" s="5">
        <f>MAX(D8:D108)*3600*24</f>
        <v>2172.1800000000003</v>
      </c>
      <c r="E2">
        <f t="shared" ref="E2:BP2" si="0">MAX(E8:E108)</f>
        <v>2172.1750000000002</v>
      </c>
      <c r="F2">
        <f t="shared" si="0"/>
        <v>332.11</v>
      </c>
      <c r="G2">
        <f t="shared" si="0"/>
        <v>6.13</v>
      </c>
      <c r="H2">
        <f t="shared" si="0"/>
        <v>29.3</v>
      </c>
      <c r="I2">
        <f t="shared" si="0"/>
        <v>2.73</v>
      </c>
      <c r="J2">
        <f t="shared" si="0"/>
        <v>1945.6</v>
      </c>
      <c r="K2">
        <f t="shared" si="0"/>
        <v>8</v>
      </c>
      <c r="L2">
        <f t="shared" si="0"/>
        <v>9</v>
      </c>
      <c r="M2">
        <f t="shared" si="0"/>
        <v>9</v>
      </c>
      <c r="N2">
        <f t="shared" si="0"/>
        <v>3</v>
      </c>
      <c r="O2">
        <f t="shared" si="0"/>
        <v>3</v>
      </c>
      <c r="P2">
        <f t="shared" si="0"/>
        <v>1.3080000000000001</v>
      </c>
      <c r="Q2">
        <f t="shared" si="0"/>
        <v>2.0920000000000001</v>
      </c>
      <c r="R2">
        <f t="shared" si="0"/>
        <v>1.5289999999999999</v>
      </c>
      <c r="S2">
        <f t="shared" si="0"/>
        <v>1.2370000000000001</v>
      </c>
      <c r="T2">
        <f t="shared" si="0"/>
        <v>90.9</v>
      </c>
      <c r="U2">
        <f t="shared" si="0"/>
        <v>61.606999999999999</v>
      </c>
      <c r="V2">
        <f t="shared" si="0"/>
        <v>310</v>
      </c>
      <c r="W2">
        <f t="shared" si="0"/>
        <v>290</v>
      </c>
      <c r="X2">
        <f t="shared" si="0"/>
        <v>323</v>
      </c>
      <c r="Y2">
        <f t="shared" si="0"/>
        <v>324</v>
      </c>
      <c r="Z2">
        <f t="shared" si="0"/>
        <v>438.81</v>
      </c>
      <c r="AA2">
        <f t="shared" si="0"/>
        <v>453.69</v>
      </c>
      <c r="AB2">
        <f t="shared" si="0"/>
        <v>443.92</v>
      </c>
      <c r="AC2">
        <f t="shared" si="0"/>
        <v>446.46</v>
      </c>
      <c r="AD2">
        <f t="shared" si="0"/>
        <v>1.895</v>
      </c>
      <c r="AE2">
        <f t="shared" si="0"/>
        <v>1.9710000000000001</v>
      </c>
      <c r="AF2">
        <f t="shared" si="0"/>
        <v>1.887</v>
      </c>
      <c r="AG2">
        <f t="shared" si="0"/>
        <v>2.2349999999999999</v>
      </c>
      <c r="AH2">
        <f t="shared" si="0"/>
        <v>82.15</v>
      </c>
      <c r="AI2">
        <f t="shared" si="0"/>
        <v>79.14</v>
      </c>
      <c r="AJ2">
        <f t="shared" si="0"/>
        <v>121.66</v>
      </c>
      <c r="AK2">
        <f t="shared" si="0"/>
        <v>109.74</v>
      </c>
      <c r="AL2">
        <f t="shared" si="0"/>
        <v>720.16600000000005</v>
      </c>
      <c r="AM2">
        <f t="shared" si="0"/>
        <v>715</v>
      </c>
      <c r="AN2">
        <f t="shared" si="0"/>
        <v>825.62300000000005</v>
      </c>
      <c r="AO2">
        <f t="shared" si="0"/>
        <v>818.95899999999995</v>
      </c>
      <c r="AP2">
        <f t="shared" si="0"/>
        <v>2.74</v>
      </c>
      <c r="AQ2">
        <f t="shared" si="0"/>
        <v>2.008</v>
      </c>
      <c r="AR2">
        <f t="shared" si="0"/>
        <v>45.914999999999999</v>
      </c>
      <c r="AS2">
        <f t="shared" si="0"/>
        <v>40.087000000000003</v>
      </c>
      <c r="AT2">
        <f t="shared" si="0"/>
        <v>85</v>
      </c>
      <c r="AU2">
        <f t="shared" si="0"/>
        <v>110</v>
      </c>
      <c r="AV2">
        <f t="shared" si="0"/>
        <v>3.8254999999999999</v>
      </c>
      <c r="AW2">
        <f t="shared" si="0"/>
        <v>6.3087</v>
      </c>
      <c r="AX2">
        <f t="shared" si="0"/>
        <v>1010.8</v>
      </c>
      <c r="AY2">
        <f t="shared" si="0"/>
        <v>1.6</v>
      </c>
      <c r="AZ2">
        <f t="shared" si="0"/>
        <v>5.82</v>
      </c>
      <c r="BA2">
        <f t="shared" si="0"/>
        <v>138.40700000000001</v>
      </c>
      <c r="BB2">
        <f t="shared" si="0"/>
        <v>143.50399999999999</v>
      </c>
      <c r="BC2">
        <f t="shared" si="0"/>
        <v>8610</v>
      </c>
      <c r="BD2">
        <f t="shared" si="0"/>
        <v>90</v>
      </c>
      <c r="BE2">
        <f t="shared" si="0"/>
        <v>25.96</v>
      </c>
      <c r="BF2">
        <f t="shared" si="0"/>
        <v>16.074999999999999</v>
      </c>
      <c r="BG2">
        <f t="shared" si="0"/>
        <v>31.38</v>
      </c>
      <c r="BH2">
        <f t="shared" si="0"/>
        <v>31.25</v>
      </c>
      <c r="BI2">
        <f t="shared" si="0"/>
        <v>68.349999999999994</v>
      </c>
      <c r="BJ2">
        <f t="shared" si="0"/>
        <v>84.694999999999993</v>
      </c>
      <c r="BK2">
        <f t="shared" si="0"/>
        <v>66.622</v>
      </c>
      <c r="BL2">
        <f t="shared" si="0"/>
        <v>82.055999999999997</v>
      </c>
      <c r="BM2">
        <f t="shared" si="0"/>
        <v>82.108000000000004</v>
      </c>
      <c r="BN2">
        <f t="shared" si="0"/>
        <v>847.27200000000005</v>
      </c>
      <c r="BO2">
        <f t="shared" si="0"/>
        <v>847.27200000000005</v>
      </c>
      <c r="BP2">
        <f t="shared" si="0"/>
        <v>173.4</v>
      </c>
      <c r="BQ2">
        <f t="shared" ref="BQ2:EB2" si="1">MAX(BQ8:BQ108)</f>
        <v>165.06399999999999</v>
      </c>
      <c r="BR2">
        <f t="shared" si="1"/>
        <v>60.234999999999999</v>
      </c>
      <c r="BS2">
        <f t="shared" si="1"/>
        <v>29</v>
      </c>
      <c r="BT2">
        <f t="shared" si="1"/>
        <v>7486.527</v>
      </c>
      <c r="BU2">
        <f t="shared" si="1"/>
        <v>89.474000000000004</v>
      </c>
      <c r="BV2">
        <f t="shared" si="1"/>
        <v>69.158000000000001</v>
      </c>
      <c r="BW2">
        <f t="shared" si="1"/>
        <v>73.072000000000003</v>
      </c>
      <c r="BX2">
        <f t="shared" si="1"/>
        <v>79.477999999999994</v>
      </c>
      <c r="BY2">
        <f t="shared" si="1"/>
        <v>1.923</v>
      </c>
      <c r="BZ2">
        <f t="shared" si="1"/>
        <v>3.8809999999999998</v>
      </c>
      <c r="CA2">
        <f t="shared" si="1"/>
        <v>4.1760000000000002</v>
      </c>
      <c r="CB2">
        <f t="shared" si="1"/>
        <v>4.1769999999999996</v>
      </c>
      <c r="CC2">
        <f t="shared" si="1"/>
        <v>6.3639999999999999</v>
      </c>
      <c r="CD2">
        <f t="shared" si="1"/>
        <v>2.7149999999999999</v>
      </c>
      <c r="CE2">
        <f t="shared" si="1"/>
        <v>4.1260000000000003</v>
      </c>
      <c r="CF2">
        <f t="shared" si="1"/>
        <v>2.4020000000000001</v>
      </c>
      <c r="CG2">
        <f t="shared" si="1"/>
        <v>13.881</v>
      </c>
      <c r="CH2">
        <f t="shared" si="1"/>
        <v>13.731999999999999</v>
      </c>
      <c r="CI2">
        <f t="shared" si="1"/>
        <v>11.038</v>
      </c>
      <c r="CJ2">
        <f t="shared" si="1"/>
        <v>6.8</v>
      </c>
      <c r="CK2">
        <f t="shared" si="1"/>
        <v>1.7829999999999999</v>
      </c>
      <c r="CL2">
        <f t="shared" si="1"/>
        <v>0.4</v>
      </c>
      <c r="CM2">
        <f t="shared" si="1"/>
        <v>2.6</v>
      </c>
      <c r="CN2">
        <f t="shared" si="1"/>
        <v>0.8</v>
      </c>
      <c r="CO2">
        <f t="shared" si="1"/>
        <v>0.8</v>
      </c>
      <c r="CP2">
        <f t="shared" si="1"/>
        <v>222.697</v>
      </c>
      <c r="CQ2">
        <f t="shared" si="1"/>
        <v>748.36500000000001</v>
      </c>
      <c r="CR2">
        <f t="shared" si="1"/>
        <v>151.76499999999999</v>
      </c>
      <c r="CS2">
        <f t="shared" si="1"/>
        <v>147.50299999999999</v>
      </c>
      <c r="CT2">
        <f t="shared" si="1"/>
        <v>0.57599999999999996</v>
      </c>
      <c r="CU2">
        <f t="shared" si="1"/>
        <v>4.6379999999999999</v>
      </c>
      <c r="CV2">
        <f t="shared" si="1"/>
        <v>4.04</v>
      </c>
      <c r="CW2">
        <f t="shared" si="1"/>
        <v>4.242</v>
      </c>
      <c r="CX2">
        <f t="shared" si="1"/>
        <v>4.1390000000000002</v>
      </c>
      <c r="CY2">
        <f t="shared" si="1"/>
        <v>4.3819999999999997</v>
      </c>
      <c r="CZ2">
        <f t="shared" si="1"/>
        <v>4.242</v>
      </c>
      <c r="DA2">
        <f t="shared" si="1"/>
        <v>4.4370000000000003</v>
      </c>
      <c r="DB2">
        <f t="shared" si="1"/>
        <v>4.4420000000000002</v>
      </c>
      <c r="DC2">
        <f t="shared" si="1"/>
        <v>8.0000000000000002E-3</v>
      </c>
      <c r="DD2">
        <f t="shared" si="1"/>
        <v>0</v>
      </c>
      <c r="DE2">
        <f t="shared" si="1"/>
        <v>0.42499999999999999</v>
      </c>
      <c r="DF2">
        <f t="shared" si="1"/>
        <v>0.22</v>
      </c>
      <c r="DG2">
        <f t="shared" si="1"/>
        <v>1.607</v>
      </c>
      <c r="DH2">
        <f t="shared" si="1"/>
        <v>3.4529999999999998</v>
      </c>
      <c r="DI2">
        <f t="shared" si="1"/>
        <v>1.978</v>
      </c>
      <c r="DJ2">
        <f t="shared" si="1"/>
        <v>0.52900000000000003</v>
      </c>
      <c r="DK2">
        <f t="shared" si="1"/>
        <v>1.405</v>
      </c>
      <c r="DL2">
        <f t="shared" si="1"/>
        <v>0.66800000000000004</v>
      </c>
      <c r="DM2">
        <f t="shared" si="1"/>
        <v>0.80800000000000005</v>
      </c>
      <c r="DN2">
        <f t="shared" si="1"/>
        <v>0.81100000000000005</v>
      </c>
      <c r="DO2">
        <f t="shared" si="1"/>
        <v>0.77700000000000002</v>
      </c>
      <c r="DP2">
        <f t="shared" si="1"/>
        <v>72.768000000000001</v>
      </c>
      <c r="DQ2">
        <f t="shared" si="1"/>
        <v>68.813999999999993</v>
      </c>
      <c r="DR2">
        <f t="shared" si="1"/>
        <v>56.357999999999997</v>
      </c>
      <c r="DS2">
        <f t="shared" si="1"/>
        <v>58.405000000000001</v>
      </c>
      <c r="DT2">
        <f t="shared" si="1"/>
        <v>6.55</v>
      </c>
      <c r="DU2">
        <f t="shared" si="1"/>
        <v>6.86</v>
      </c>
      <c r="DV2">
        <f t="shared" si="1"/>
        <v>19.309999999999999</v>
      </c>
      <c r="DW2">
        <f t="shared" si="1"/>
        <v>16.11</v>
      </c>
      <c r="DX2">
        <f t="shared" si="1"/>
        <v>7.23</v>
      </c>
      <c r="DY2">
        <f t="shared" si="1"/>
        <v>7.35</v>
      </c>
      <c r="DZ2">
        <f t="shared" si="1"/>
        <v>18.75</v>
      </c>
      <c r="EA2">
        <f t="shared" si="1"/>
        <v>15.84</v>
      </c>
      <c r="EB2">
        <f t="shared" si="1"/>
        <v>43.62</v>
      </c>
      <c r="EC2">
        <f t="shared" ref="EC2:GN2" si="2">MAX(EC8:EC108)</f>
        <v>41.83</v>
      </c>
      <c r="ED2">
        <f t="shared" si="2"/>
        <v>38.11</v>
      </c>
      <c r="EE2">
        <f t="shared" si="2"/>
        <v>40.21</v>
      </c>
      <c r="EF2">
        <f t="shared" si="2"/>
        <v>93.54</v>
      </c>
      <c r="EG2">
        <f t="shared" si="2"/>
        <v>93.94</v>
      </c>
      <c r="EH2">
        <f t="shared" si="2"/>
        <v>93.01</v>
      </c>
      <c r="EI2">
        <f t="shared" si="2"/>
        <v>93.38</v>
      </c>
      <c r="EJ2">
        <f t="shared" si="2"/>
        <v>7.42</v>
      </c>
      <c r="EK2">
        <f t="shared" si="2"/>
        <v>64.381</v>
      </c>
      <c r="EL2">
        <f t="shared" si="2"/>
        <v>1.4</v>
      </c>
      <c r="EM2">
        <f t="shared" si="2"/>
        <v>0.8</v>
      </c>
      <c r="EN2">
        <f t="shared" si="2"/>
        <v>1.56</v>
      </c>
      <c r="EO2">
        <f t="shared" si="2"/>
        <v>1.55</v>
      </c>
      <c r="EP2">
        <f t="shared" si="2"/>
        <v>-81.11</v>
      </c>
      <c r="EQ2">
        <f t="shared" si="2"/>
        <v>-0.311</v>
      </c>
      <c r="ER2">
        <f t="shared" si="2"/>
        <v>121.83</v>
      </c>
      <c r="ES2">
        <f t="shared" si="2"/>
        <v>1.571</v>
      </c>
      <c r="ET2">
        <f t="shared" si="2"/>
        <v>1.651</v>
      </c>
      <c r="EU2">
        <f t="shared" si="2"/>
        <v>1.5169999999999999</v>
      </c>
      <c r="EV2">
        <f t="shared" si="2"/>
        <v>8.1780000000000008</v>
      </c>
      <c r="EW2">
        <f t="shared" si="2"/>
        <v>11.714</v>
      </c>
      <c r="EX2">
        <f t="shared" si="2"/>
        <v>76.78</v>
      </c>
      <c r="EY2">
        <f t="shared" si="2"/>
        <v>7.8209999999999997</v>
      </c>
      <c r="EZ2">
        <f t="shared" si="2"/>
        <v>77.850999999999999</v>
      </c>
      <c r="FA2">
        <f t="shared" si="2"/>
        <v>0</v>
      </c>
      <c r="FB2">
        <f t="shared" si="2"/>
        <v>9.39</v>
      </c>
      <c r="FC2">
        <f t="shared" si="2"/>
        <v>84.049000000000007</v>
      </c>
      <c r="FD2">
        <f t="shared" si="2"/>
        <v>85.991</v>
      </c>
      <c r="FE2">
        <f t="shared" si="2"/>
        <v>90.873999999999995</v>
      </c>
      <c r="FF2">
        <f t="shared" si="2"/>
        <v>88.275999999999996</v>
      </c>
      <c r="FG2">
        <f t="shared" si="2"/>
        <v>1.167</v>
      </c>
      <c r="FH2">
        <f t="shared" si="2"/>
        <v>1.1539999999999999</v>
      </c>
      <c r="FI2">
        <f t="shared" si="2"/>
        <v>1.0169999999999999</v>
      </c>
      <c r="FJ2">
        <f t="shared" si="2"/>
        <v>1.014</v>
      </c>
      <c r="FK2">
        <f t="shared" si="2"/>
        <v>0.79900000000000004</v>
      </c>
      <c r="FL2">
        <f t="shared" si="2"/>
        <v>86</v>
      </c>
      <c r="FM2">
        <f t="shared" si="2"/>
        <v>3.27</v>
      </c>
      <c r="FN2">
        <f t="shared" si="2"/>
        <v>1.44</v>
      </c>
      <c r="FO2">
        <f t="shared" si="2"/>
        <v>5.66</v>
      </c>
      <c r="FP2">
        <f t="shared" si="2"/>
        <v>4.5</v>
      </c>
      <c r="FQ2">
        <f t="shared" si="2"/>
        <v>4.75</v>
      </c>
      <c r="FR2">
        <f t="shared" si="2"/>
        <v>5.3</v>
      </c>
      <c r="FS2">
        <f t="shared" si="2"/>
        <v>7.3730000000000002</v>
      </c>
      <c r="FT2">
        <f t="shared" si="2"/>
        <v>1079.9000000000001</v>
      </c>
      <c r="FU2">
        <f t="shared" si="2"/>
        <v>7.85</v>
      </c>
      <c r="FV2">
        <f t="shared" si="2"/>
        <v>66.150000000000006</v>
      </c>
      <c r="FW2">
        <f t="shared" si="2"/>
        <v>16383.5</v>
      </c>
      <c r="FX2">
        <f t="shared" si="2"/>
        <v>173500</v>
      </c>
      <c r="FY2">
        <f t="shared" si="2"/>
        <v>173500</v>
      </c>
      <c r="FZ2">
        <f t="shared" si="2"/>
        <v>71.778000000000006</v>
      </c>
      <c r="GA2">
        <f t="shared" si="2"/>
        <v>51.033999999999999</v>
      </c>
      <c r="GB2">
        <f t="shared" si="2"/>
        <v>2319.6999999999998</v>
      </c>
      <c r="GC2">
        <f t="shared" si="2"/>
        <v>2314.4</v>
      </c>
      <c r="GD2">
        <f t="shared" si="2"/>
        <v>2363</v>
      </c>
      <c r="GE2">
        <f t="shared" si="2"/>
        <v>2526.8000000000002</v>
      </c>
      <c r="GF2">
        <f t="shared" si="2"/>
        <v>1588.6405999999999</v>
      </c>
      <c r="GG2">
        <f t="shared" si="2"/>
        <v>41</v>
      </c>
      <c r="GH2">
        <f t="shared" si="2"/>
        <v>41.5</v>
      </c>
      <c r="GI2">
        <f t="shared" si="2"/>
        <v>82</v>
      </c>
      <c r="GJ2">
        <f t="shared" si="2"/>
        <v>84.3</v>
      </c>
      <c r="GK2">
        <f t="shared" si="2"/>
        <v>99.5</v>
      </c>
      <c r="GL2">
        <f t="shared" si="2"/>
        <v>122.8</v>
      </c>
      <c r="GM2">
        <f t="shared" si="2"/>
        <v>0</v>
      </c>
      <c r="GN2">
        <f t="shared" si="2"/>
        <v>24.183</v>
      </c>
      <c r="GO2">
        <f t="shared" ref="GO2:IA2" si="3">MAX(GO8:GO108)</f>
        <v>121.83</v>
      </c>
      <c r="GP2">
        <f t="shared" si="3"/>
        <v>0.94399999999999995</v>
      </c>
      <c r="GQ2">
        <f t="shared" si="3"/>
        <v>5.9</v>
      </c>
      <c r="GR2">
        <f t="shared" si="3"/>
        <v>1.298</v>
      </c>
      <c r="GS2">
        <f t="shared" si="3"/>
        <v>6.0179999999999998</v>
      </c>
      <c r="GT2">
        <f t="shared" si="3"/>
        <v>0.70799999999999996</v>
      </c>
      <c r="GU2">
        <f t="shared" si="3"/>
        <v>6.0179999999999998</v>
      </c>
      <c r="GV2">
        <f t="shared" si="3"/>
        <v>13.132</v>
      </c>
      <c r="GW2">
        <f t="shared" si="3"/>
        <v>14.186</v>
      </c>
      <c r="GX2">
        <f t="shared" si="3"/>
        <v>24.99</v>
      </c>
      <c r="GY2">
        <f t="shared" si="3"/>
        <v>0</v>
      </c>
      <c r="GZ2">
        <f t="shared" si="3"/>
        <v>0</v>
      </c>
      <c r="HA2">
        <f t="shared" si="3"/>
        <v>0</v>
      </c>
      <c r="HB2">
        <f t="shared" si="3"/>
        <v>1</v>
      </c>
      <c r="HC2">
        <f t="shared" si="3"/>
        <v>56.475999999999999</v>
      </c>
      <c r="HD2">
        <f t="shared" si="3"/>
        <v>106</v>
      </c>
      <c r="HE2">
        <f t="shared" si="3"/>
        <v>0</v>
      </c>
      <c r="HF2">
        <f t="shared" si="3"/>
        <v>0</v>
      </c>
      <c r="HG2">
        <f t="shared" si="3"/>
        <v>90.64</v>
      </c>
      <c r="HH2">
        <f t="shared" si="3"/>
        <v>100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68</v>
      </c>
      <c r="HM2">
        <f t="shared" si="3"/>
        <v>59</v>
      </c>
      <c r="HN2">
        <f t="shared" si="3"/>
        <v>68</v>
      </c>
      <c r="HO2">
        <f t="shared" si="3"/>
        <v>61</v>
      </c>
      <c r="HP2">
        <f t="shared" si="3"/>
        <v>65</v>
      </c>
      <c r="HQ2">
        <f t="shared" si="3"/>
        <v>62</v>
      </c>
      <c r="HR2">
        <f t="shared" si="3"/>
        <v>54</v>
      </c>
      <c r="HS2">
        <f t="shared" si="3"/>
        <v>70</v>
      </c>
      <c r="HT2">
        <f t="shared" si="3"/>
        <v>0.22900000000000001</v>
      </c>
      <c r="HU2">
        <f t="shared" si="3"/>
        <v>0</v>
      </c>
      <c r="HV2">
        <f t="shared" si="3"/>
        <v>1.5409999999999999</v>
      </c>
      <c r="HW2">
        <f t="shared" si="3"/>
        <v>65.66</v>
      </c>
      <c r="HX2">
        <f t="shared" si="3"/>
        <v>76.239999999999995</v>
      </c>
      <c r="HY2">
        <f t="shared" si="3"/>
        <v>54.55</v>
      </c>
      <c r="HZ2">
        <f t="shared" si="3"/>
        <v>54.55</v>
      </c>
      <c r="IA2">
        <f t="shared" si="3"/>
        <v>3.3119999999999998</v>
      </c>
    </row>
    <row r="3" spans="1:254" x14ac:dyDescent="0.25">
      <c r="B3" s="4" t="s">
        <v>45</v>
      </c>
      <c r="C3">
        <f>MIN(C8:C108)</f>
        <v>0</v>
      </c>
      <c r="D3" s="5">
        <f>MIN(D8:D108)*3600*24</f>
        <v>206.88</v>
      </c>
      <c r="E3">
        <f t="shared" ref="E3:BP3" si="4">MIN(E8:E108)</f>
        <v>206.91</v>
      </c>
      <c r="F3">
        <f t="shared" si="4"/>
        <v>288.31</v>
      </c>
      <c r="G3">
        <f t="shared" si="4"/>
        <v>-17.7</v>
      </c>
      <c r="H3">
        <f t="shared" si="4"/>
        <v>22.8</v>
      </c>
      <c r="I3">
        <f t="shared" si="4"/>
        <v>0</v>
      </c>
      <c r="J3">
        <f t="shared" si="4"/>
        <v>7.9</v>
      </c>
      <c r="K3">
        <f t="shared" si="4"/>
        <v>4</v>
      </c>
      <c r="L3">
        <f t="shared" si="4"/>
        <v>4</v>
      </c>
      <c r="M3">
        <f t="shared" si="4"/>
        <v>4</v>
      </c>
      <c r="N3">
        <f t="shared" si="4"/>
        <v>3</v>
      </c>
      <c r="O3">
        <f t="shared" si="4"/>
        <v>3</v>
      </c>
      <c r="P3">
        <f t="shared" si="4"/>
        <v>0.56000000000000005</v>
      </c>
      <c r="Q3">
        <f t="shared" si="4"/>
        <v>0.79400000000000004</v>
      </c>
      <c r="R3">
        <f t="shared" si="4"/>
        <v>0.53900000000000003</v>
      </c>
      <c r="S3">
        <f t="shared" si="4"/>
        <v>0.434</v>
      </c>
      <c r="T3">
        <f t="shared" si="4"/>
        <v>52.16</v>
      </c>
      <c r="U3">
        <f t="shared" si="4"/>
        <v>59.613999999999997</v>
      </c>
      <c r="V3">
        <f t="shared" si="4"/>
        <v>70</v>
      </c>
      <c r="W3">
        <f t="shared" si="4"/>
        <v>40</v>
      </c>
      <c r="X3">
        <f t="shared" si="4"/>
        <v>40</v>
      </c>
      <c r="Y3">
        <f t="shared" si="4"/>
        <v>30</v>
      </c>
      <c r="Z3">
        <f t="shared" si="4"/>
        <v>166.46</v>
      </c>
      <c r="AA3">
        <f t="shared" si="4"/>
        <v>153.88</v>
      </c>
      <c r="AB3">
        <f t="shared" si="4"/>
        <v>133.38</v>
      </c>
      <c r="AC3">
        <f t="shared" si="4"/>
        <v>132.74</v>
      </c>
      <c r="AD3">
        <f t="shared" si="4"/>
        <v>1.5780000000000001</v>
      </c>
      <c r="AE3">
        <f t="shared" si="4"/>
        <v>1.6419999999999999</v>
      </c>
      <c r="AF3">
        <f t="shared" si="4"/>
        <v>1.51</v>
      </c>
      <c r="AG3">
        <f t="shared" si="4"/>
        <v>1.5329999999999999</v>
      </c>
      <c r="AH3">
        <f t="shared" si="4"/>
        <v>51.65</v>
      </c>
      <c r="AI3">
        <f t="shared" si="4"/>
        <v>14.34</v>
      </c>
      <c r="AJ3">
        <f t="shared" si="4"/>
        <v>58.13</v>
      </c>
      <c r="AK3">
        <f t="shared" si="4"/>
        <v>17.27</v>
      </c>
      <c r="AL3">
        <f t="shared" si="4"/>
        <v>564.63900000000001</v>
      </c>
      <c r="AM3">
        <f t="shared" si="4"/>
        <v>578.38800000000003</v>
      </c>
      <c r="AN3">
        <f t="shared" si="4"/>
        <v>648.42499999999995</v>
      </c>
      <c r="AO3">
        <f t="shared" si="4"/>
        <v>666.34400000000005</v>
      </c>
      <c r="AP3">
        <f t="shared" si="4"/>
        <v>2.4119999999999999</v>
      </c>
      <c r="AQ3">
        <f t="shared" si="4"/>
        <v>1.8140000000000001</v>
      </c>
      <c r="AR3">
        <f t="shared" si="4"/>
        <v>37.429000000000002</v>
      </c>
      <c r="AS3">
        <f t="shared" si="4"/>
        <v>33.771999999999998</v>
      </c>
      <c r="AT3">
        <f t="shared" si="4"/>
        <v>82</v>
      </c>
      <c r="AU3">
        <f t="shared" si="4"/>
        <v>86</v>
      </c>
      <c r="AV3">
        <f t="shared" si="4"/>
        <v>2.5059999999999998</v>
      </c>
      <c r="AW3">
        <f t="shared" si="4"/>
        <v>5.0823</v>
      </c>
      <c r="AX3">
        <f t="shared" si="4"/>
        <v>983.3</v>
      </c>
      <c r="AY3">
        <f t="shared" si="4"/>
        <v>0.84</v>
      </c>
      <c r="AZ3">
        <f t="shared" si="4"/>
        <v>0.47</v>
      </c>
      <c r="BA3">
        <f t="shared" si="4"/>
        <v>5.7</v>
      </c>
      <c r="BB3">
        <f t="shared" si="4"/>
        <v>6.1020000000000003</v>
      </c>
      <c r="BC3">
        <f t="shared" si="4"/>
        <v>7502</v>
      </c>
      <c r="BD3">
        <f t="shared" si="4"/>
        <v>87.25</v>
      </c>
      <c r="BE3">
        <f t="shared" si="4"/>
        <v>21.53</v>
      </c>
      <c r="BF3">
        <f t="shared" si="4"/>
        <v>9.42</v>
      </c>
      <c r="BG3">
        <f t="shared" si="4"/>
        <v>24.55</v>
      </c>
      <c r="BH3">
        <f t="shared" si="4"/>
        <v>20.77</v>
      </c>
      <c r="BI3">
        <f t="shared" si="4"/>
        <v>65.308000000000007</v>
      </c>
      <c r="BJ3">
        <f t="shared" si="4"/>
        <v>76.054000000000002</v>
      </c>
      <c r="BK3">
        <f t="shared" si="4"/>
        <v>64.129000000000005</v>
      </c>
      <c r="BL3">
        <f t="shared" si="4"/>
        <v>74.171999999999997</v>
      </c>
      <c r="BM3">
        <f t="shared" si="4"/>
        <v>74.617000000000004</v>
      </c>
      <c r="BN3">
        <f t="shared" si="4"/>
        <v>74.680000000000007</v>
      </c>
      <c r="BO3">
        <f t="shared" si="4"/>
        <v>73.751999999999995</v>
      </c>
      <c r="BP3">
        <f t="shared" si="4"/>
        <v>89.176000000000002</v>
      </c>
      <c r="BQ3">
        <f t="shared" ref="BQ3:EB3" si="5">MIN(BQ8:BQ108)</f>
        <v>84.328000000000003</v>
      </c>
      <c r="BR3">
        <f t="shared" si="5"/>
        <v>57.213000000000001</v>
      </c>
      <c r="BS3">
        <f t="shared" si="5"/>
        <v>22</v>
      </c>
      <c r="BT3">
        <f t="shared" si="5"/>
        <v>5798.6369999999997</v>
      </c>
      <c r="BU3">
        <f t="shared" si="5"/>
        <v>78.790000000000006</v>
      </c>
      <c r="BV3">
        <f t="shared" si="5"/>
        <v>60.786000000000001</v>
      </c>
      <c r="BW3">
        <f t="shared" si="5"/>
        <v>54.552</v>
      </c>
      <c r="BX3">
        <f t="shared" si="5"/>
        <v>59.564999999999998</v>
      </c>
      <c r="BY3">
        <f t="shared" si="5"/>
        <v>1.2569999999999999</v>
      </c>
      <c r="BZ3">
        <f t="shared" si="5"/>
        <v>2.0819999999999999</v>
      </c>
      <c r="CA3">
        <f t="shared" si="5"/>
        <v>2.5840000000000001</v>
      </c>
      <c r="CB3">
        <f t="shared" si="5"/>
        <v>2.6280000000000001</v>
      </c>
      <c r="CC3">
        <f t="shared" si="5"/>
        <v>5.484</v>
      </c>
      <c r="CD3">
        <f t="shared" si="5"/>
        <v>2.1469999999999998</v>
      </c>
      <c r="CE3">
        <f t="shared" si="5"/>
        <v>3.6669999999999998</v>
      </c>
      <c r="CF3">
        <f t="shared" si="5"/>
        <v>2.0249999999999999</v>
      </c>
      <c r="CG3">
        <f t="shared" si="5"/>
        <v>12.930999999999999</v>
      </c>
      <c r="CH3">
        <f t="shared" si="5"/>
        <v>9.6829999999999998</v>
      </c>
      <c r="CI3">
        <f t="shared" si="5"/>
        <v>2.5979999999999999</v>
      </c>
      <c r="CJ3">
        <f t="shared" si="5"/>
        <v>2.524</v>
      </c>
      <c r="CK3">
        <f t="shared" si="5"/>
        <v>1.232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36.610999999999997</v>
      </c>
      <c r="CQ3">
        <f t="shared" si="5"/>
        <v>37.530999999999999</v>
      </c>
      <c r="CR3">
        <f t="shared" si="5"/>
        <v>50.116999999999997</v>
      </c>
      <c r="CS3">
        <f t="shared" si="5"/>
        <v>47.676000000000002</v>
      </c>
      <c r="CT3">
        <f t="shared" si="5"/>
        <v>0.15</v>
      </c>
      <c r="CU3">
        <f t="shared" si="5"/>
        <v>0.5</v>
      </c>
      <c r="CV3">
        <f t="shared" si="5"/>
        <v>0.2</v>
      </c>
      <c r="CW3">
        <f t="shared" si="5"/>
        <v>0.29899999999999999</v>
      </c>
      <c r="CX3">
        <f t="shared" si="5"/>
        <v>0.79600000000000004</v>
      </c>
      <c r="CY3">
        <f t="shared" si="5"/>
        <v>0.20100000000000001</v>
      </c>
      <c r="CZ3">
        <f t="shared" si="5"/>
        <v>0.5</v>
      </c>
      <c r="DA3">
        <f t="shared" si="5"/>
        <v>0.39900000000000002</v>
      </c>
      <c r="DB3">
        <f t="shared" si="5"/>
        <v>0.39700000000000002</v>
      </c>
      <c r="DC3">
        <f t="shared" si="5"/>
        <v>0</v>
      </c>
      <c r="DD3">
        <f t="shared" si="5"/>
        <v>0</v>
      </c>
      <c r="DE3">
        <f t="shared" si="5"/>
        <v>8.5000000000000006E-2</v>
      </c>
      <c r="DF3">
        <f t="shared" si="5"/>
        <v>3.1E-2</v>
      </c>
      <c r="DG3">
        <f t="shared" si="5"/>
        <v>0.129</v>
      </c>
      <c r="DH3">
        <f t="shared" si="5"/>
        <v>0.754</v>
      </c>
      <c r="DI3">
        <f t="shared" si="5"/>
        <v>0.66100000000000003</v>
      </c>
      <c r="DJ3">
        <f t="shared" si="5"/>
        <v>8.1000000000000003E-2</v>
      </c>
      <c r="DK3">
        <f t="shared" si="5"/>
        <v>0.69299999999999995</v>
      </c>
      <c r="DL3">
        <f t="shared" si="5"/>
        <v>0.60299999999999998</v>
      </c>
      <c r="DM3">
        <f t="shared" si="5"/>
        <v>0.69099999999999995</v>
      </c>
      <c r="DN3">
        <f t="shared" si="5"/>
        <v>0.55200000000000005</v>
      </c>
      <c r="DO3">
        <f t="shared" si="5"/>
        <v>0.68700000000000006</v>
      </c>
      <c r="DP3">
        <f t="shared" si="5"/>
        <v>58.139000000000003</v>
      </c>
      <c r="DQ3">
        <f t="shared" si="5"/>
        <v>55.534999999999997</v>
      </c>
      <c r="DR3">
        <f t="shared" si="5"/>
        <v>50.249000000000002</v>
      </c>
      <c r="DS3">
        <f t="shared" si="5"/>
        <v>46.811999999999998</v>
      </c>
      <c r="DT3">
        <f t="shared" si="5"/>
        <v>0.48</v>
      </c>
      <c r="DU3">
        <f t="shared" si="5"/>
        <v>0.57999999999999996</v>
      </c>
      <c r="DV3">
        <f t="shared" si="5"/>
        <v>1.23</v>
      </c>
      <c r="DW3">
        <f t="shared" si="5"/>
        <v>1</v>
      </c>
      <c r="DX3">
        <f t="shared" si="5"/>
        <v>0.56000000000000005</v>
      </c>
      <c r="DY3">
        <f t="shared" si="5"/>
        <v>0.56999999999999995</v>
      </c>
      <c r="DZ3">
        <f t="shared" si="5"/>
        <v>1.1599999999999999</v>
      </c>
      <c r="EA3">
        <f t="shared" si="5"/>
        <v>0.93</v>
      </c>
      <c r="EB3">
        <f t="shared" si="5"/>
        <v>5.41</v>
      </c>
      <c r="EC3">
        <f t="shared" ref="EC3:GN3" si="6">MIN(EC8:EC108)</f>
        <v>4.91</v>
      </c>
      <c r="ED3">
        <f t="shared" si="6"/>
        <v>4.16</v>
      </c>
      <c r="EE3">
        <f t="shared" si="6"/>
        <v>4.3</v>
      </c>
      <c r="EF3">
        <f t="shared" si="6"/>
        <v>43.62</v>
      </c>
      <c r="EG3">
        <f t="shared" si="6"/>
        <v>44.99</v>
      </c>
      <c r="EH3">
        <f t="shared" si="6"/>
        <v>32.57</v>
      </c>
      <c r="EI3">
        <f t="shared" si="6"/>
        <v>35.29</v>
      </c>
      <c r="EJ3">
        <f t="shared" si="6"/>
        <v>4.766</v>
      </c>
      <c r="EK3">
        <f t="shared" si="6"/>
        <v>45.356000000000002</v>
      </c>
      <c r="EL3">
        <f t="shared" si="6"/>
        <v>0.65</v>
      </c>
      <c r="EM3">
        <f t="shared" si="6"/>
        <v>0.25</v>
      </c>
      <c r="EN3">
        <f t="shared" si="6"/>
        <v>0.88</v>
      </c>
      <c r="EO3">
        <f t="shared" si="6"/>
        <v>0.88</v>
      </c>
      <c r="EP3">
        <f t="shared" si="6"/>
        <v>-119.07</v>
      </c>
      <c r="EQ3">
        <f t="shared" si="6"/>
        <v>-3.22</v>
      </c>
      <c r="ER3">
        <f t="shared" si="6"/>
        <v>59.05</v>
      </c>
      <c r="ES3">
        <f t="shared" si="6"/>
        <v>0.624</v>
      </c>
      <c r="ET3">
        <f t="shared" si="6"/>
        <v>0.49399999999999999</v>
      </c>
      <c r="EU3">
        <f t="shared" si="6"/>
        <v>0.48299999999999998</v>
      </c>
      <c r="EV3">
        <f t="shared" si="6"/>
        <v>7.0990000000000002</v>
      </c>
      <c r="EW3">
        <f t="shared" si="6"/>
        <v>2.7080000000000002</v>
      </c>
      <c r="EX3">
        <f t="shared" si="6"/>
        <v>-711.16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3.9319999999999999</v>
      </c>
      <c r="FC3">
        <f t="shared" si="6"/>
        <v>51.177</v>
      </c>
      <c r="FD3">
        <f t="shared" si="6"/>
        <v>37.957999999999998</v>
      </c>
      <c r="FE3">
        <f t="shared" si="6"/>
        <v>54.884999999999998</v>
      </c>
      <c r="FF3">
        <f t="shared" si="6"/>
        <v>37.308999999999997</v>
      </c>
      <c r="FG3">
        <f t="shared" si="6"/>
        <v>0.871</v>
      </c>
      <c r="FH3">
        <f t="shared" si="6"/>
        <v>0.871</v>
      </c>
      <c r="FI3">
        <f t="shared" si="6"/>
        <v>0.95599999999999996</v>
      </c>
      <c r="FJ3">
        <f t="shared" si="6"/>
        <v>0.95399999999999996</v>
      </c>
      <c r="FK3">
        <f t="shared" si="6"/>
        <v>0</v>
      </c>
      <c r="FL3">
        <f t="shared" si="6"/>
        <v>82</v>
      </c>
      <c r="FM3">
        <f t="shared" si="6"/>
        <v>2.2000000000000002</v>
      </c>
      <c r="FN3">
        <f t="shared" si="6"/>
        <v>0.37</v>
      </c>
      <c r="FO3">
        <f t="shared" si="6"/>
        <v>0.48</v>
      </c>
      <c r="FP3">
        <f t="shared" si="6"/>
        <v>0</v>
      </c>
      <c r="FQ3">
        <f t="shared" si="6"/>
        <v>1.75</v>
      </c>
      <c r="FR3">
        <f t="shared" si="6"/>
        <v>4.8499999999999996</v>
      </c>
      <c r="FS3">
        <f t="shared" si="6"/>
        <v>6.4960000000000004</v>
      </c>
      <c r="FT3">
        <f t="shared" si="6"/>
        <v>1037.7</v>
      </c>
      <c r="FU3">
        <f t="shared" si="6"/>
        <v>3.51</v>
      </c>
      <c r="FV3">
        <f t="shared" si="6"/>
        <v>5.59</v>
      </c>
      <c r="FW3">
        <f t="shared" si="6"/>
        <v>2987</v>
      </c>
      <c r="FX3">
        <f t="shared" si="6"/>
        <v>154700</v>
      </c>
      <c r="FY3">
        <f t="shared" si="6"/>
        <v>160800</v>
      </c>
      <c r="FZ3">
        <f t="shared" si="6"/>
        <v>43.177</v>
      </c>
      <c r="GA3">
        <f t="shared" si="6"/>
        <v>42.551000000000002</v>
      </c>
      <c r="GB3">
        <f t="shared" si="6"/>
        <v>2055.4</v>
      </c>
      <c r="GC3">
        <f t="shared" si="6"/>
        <v>2071.9</v>
      </c>
      <c r="GD3">
        <f t="shared" si="6"/>
        <v>2059.9</v>
      </c>
      <c r="GE3">
        <f t="shared" si="6"/>
        <v>2119.3000000000002</v>
      </c>
      <c r="GF3">
        <f t="shared" si="6"/>
        <v>966.76559999999995</v>
      </c>
      <c r="GG3">
        <f t="shared" si="6"/>
        <v>26</v>
      </c>
      <c r="GH3">
        <f t="shared" si="6"/>
        <v>26.5</v>
      </c>
      <c r="GI3">
        <f t="shared" si="6"/>
        <v>43.8</v>
      </c>
      <c r="GJ3">
        <f t="shared" si="6"/>
        <v>49.9</v>
      </c>
      <c r="GK3">
        <f t="shared" si="6"/>
        <v>53.5</v>
      </c>
      <c r="GL3">
        <f t="shared" si="6"/>
        <v>76.3</v>
      </c>
      <c r="GM3">
        <f t="shared" si="6"/>
        <v>0</v>
      </c>
      <c r="GN3">
        <f t="shared" si="6"/>
        <v>20.609000000000002</v>
      </c>
      <c r="GO3">
        <f t="shared" ref="GO3:HM3" si="7">MIN(GO8:GO108)</f>
        <v>84.322000000000003</v>
      </c>
      <c r="GP3">
        <f t="shared" si="7"/>
        <v>0</v>
      </c>
      <c r="GQ3">
        <f t="shared" si="7"/>
        <v>1.7110000000000001</v>
      </c>
      <c r="GR3">
        <f t="shared" si="7"/>
        <v>0</v>
      </c>
      <c r="GS3">
        <f t="shared" si="7"/>
        <v>1.829</v>
      </c>
      <c r="GT3">
        <f t="shared" si="7"/>
        <v>0</v>
      </c>
      <c r="GU3">
        <f t="shared" si="7"/>
        <v>1.7110000000000001</v>
      </c>
      <c r="GV3">
        <f t="shared" si="7"/>
        <v>0</v>
      </c>
      <c r="GW3">
        <f t="shared" si="7"/>
        <v>7.0149999999999997</v>
      </c>
      <c r="GX3">
        <f t="shared" si="7"/>
        <v>14.994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23.606000000000002</v>
      </c>
      <c r="HD3">
        <f t="shared" si="7"/>
        <v>82</v>
      </c>
      <c r="HE3">
        <f t="shared" si="7"/>
        <v>0</v>
      </c>
      <c r="HF3">
        <f t="shared" si="7"/>
        <v>0</v>
      </c>
      <c r="HG3">
        <f t="shared" si="7"/>
        <v>69.22</v>
      </c>
      <c r="HH3">
        <f t="shared" si="7"/>
        <v>76.69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45</v>
      </c>
      <c r="HM3">
        <f t="shared" si="7"/>
        <v>39</v>
      </c>
      <c r="HN3">
        <f t="shared" ref="HN3:HZ3" si="8">MIN(HN8:HN108)</f>
        <v>56</v>
      </c>
      <c r="HO3">
        <f t="shared" si="8"/>
        <v>49</v>
      </c>
      <c r="HP3">
        <f t="shared" si="8"/>
        <v>52</v>
      </c>
      <c r="HQ3">
        <f t="shared" si="8"/>
        <v>50</v>
      </c>
      <c r="HR3">
        <f t="shared" si="8"/>
        <v>47</v>
      </c>
      <c r="HS3">
        <f t="shared" si="8"/>
        <v>56</v>
      </c>
      <c r="HT3">
        <f t="shared" si="8"/>
        <v>-0.28999999999999998</v>
      </c>
      <c r="HU3">
        <f t="shared" si="8"/>
        <v>0</v>
      </c>
      <c r="HV3">
        <f t="shared" si="8"/>
        <v>0.61299999999999999</v>
      </c>
      <c r="HW3">
        <f t="shared" si="8"/>
        <v>33.409999999999997</v>
      </c>
      <c r="HX3">
        <f t="shared" si="8"/>
        <v>34.1</v>
      </c>
      <c r="HY3">
        <f t="shared" si="8"/>
        <v>46.9</v>
      </c>
      <c r="HZ3">
        <f t="shared" si="8"/>
        <v>46.9</v>
      </c>
      <c r="IA3">
        <f>MIN(IA8:IA108)</f>
        <v>2.331</v>
      </c>
    </row>
    <row r="4" spans="1:254" x14ac:dyDescent="0.25">
      <c r="B4">
        <f>COLUMN(B1)</f>
        <v>2</v>
      </c>
      <c r="C4">
        <f t="shared" ref="C4:BN4" si="9">COLUMN(C1)</f>
        <v>3</v>
      </c>
      <c r="D4">
        <f t="shared" si="9"/>
        <v>4</v>
      </c>
      <c r="E4">
        <f t="shared" si="9"/>
        <v>5</v>
      </c>
      <c r="F4">
        <f t="shared" si="9"/>
        <v>6</v>
      </c>
      <c r="G4">
        <f t="shared" si="9"/>
        <v>7</v>
      </c>
      <c r="H4">
        <f t="shared" si="9"/>
        <v>8</v>
      </c>
      <c r="I4">
        <f t="shared" si="9"/>
        <v>9</v>
      </c>
      <c r="J4">
        <f t="shared" si="9"/>
        <v>10</v>
      </c>
      <c r="K4">
        <f t="shared" si="9"/>
        <v>11</v>
      </c>
      <c r="L4">
        <f t="shared" si="9"/>
        <v>12</v>
      </c>
      <c r="M4">
        <f t="shared" si="9"/>
        <v>13</v>
      </c>
      <c r="N4">
        <f t="shared" si="9"/>
        <v>14</v>
      </c>
      <c r="O4">
        <f t="shared" si="9"/>
        <v>15</v>
      </c>
      <c r="P4">
        <f t="shared" si="9"/>
        <v>16</v>
      </c>
      <c r="Q4">
        <f t="shared" si="9"/>
        <v>17</v>
      </c>
      <c r="R4">
        <f t="shared" si="9"/>
        <v>18</v>
      </c>
      <c r="S4">
        <f t="shared" si="9"/>
        <v>19</v>
      </c>
      <c r="T4">
        <f t="shared" si="9"/>
        <v>20</v>
      </c>
      <c r="U4">
        <f t="shared" si="9"/>
        <v>21</v>
      </c>
      <c r="V4">
        <f t="shared" si="9"/>
        <v>22</v>
      </c>
      <c r="W4">
        <f t="shared" si="9"/>
        <v>23</v>
      </c>
      <c r="X4">
        <f t="shared" si="9"/>
        <v>24</v>
      </c>
      <c r="Y4">
        <f t="shared" si="9"/>
        <v>25</v>
      </c>
      <c r="Z4">
        <f t="shared" si="9"/>
        <v>26</v>
      </c>
      <c r="AA4">
        <f t="shared" si="9"/>
        <v>27</v>
      </c>
      <c r="AB4">
        <f t="shared" si="9"/>
        <v>28</v>
      </c>
      <c r="AC4">
        <f t="shared" si="9"/>
        <v>29</v>
      </c>
      <c r="AD4">
        <f t="shared" si="9"/>
        <v>30</v>
      </c>
      <c r="AE4">
        <f t="shared" si="9"/>
        <v>31</v>
      </c>
      <c r="AF4">
        <f t="shared" si="9"/>
        <v>32</v>
      </c>
      <c r="AG4">
        <f t="shared" si="9"/>
        <v>33</v>
      </c>
      <c r="AH4">
        <f t="shared" si="9"/>
        <v>34</v>
      </c>
      <c r="AI4">
        <f t="shared" si="9"/>
        <v>35</v>
      </c>
      <c r="AJ4">
        <f t="shared" si="9"/>
        <v>36</v>
      </c>
      <c r="AK4">
        <f t="shared" si="9"/>
        <v>37</v>
      </c>
      <c r="AL4">
        <f t="shared" si="9"/>
        <v>38</v>
      </c>
      <c r="AM4">
        <f t="shared" si="9"/>
        <v>39</v>
      </c>
      <c r="AN4">
        <f t="shared" si="9"/>
        <v>40</v>
      </c>
      <c r="AO4">
        <f t="shared" si="9"/>
        <v>41</v>
      </c>
      <c r="AP4">
        <f t="shared" si="9"/>
        <v>42</v>
      </c>
      <c r="AQ4">
        <f t="shared" si="9"/>
        <v>43</v>
      </c>
      <c r="AR4">
        <f t="shared" si="9"/>
        <v>44</v>
      </c>
      <c r="AS4">
        <f t="shared" si="9"/>
        <v>45</v>
      </c>
      <c r="AT4">
        <f t="shared" si="9"/>
        <v>46</v>
      </c>
      <c r="AU4">
        <f t="shared" si="9"/>
        <v>47</v>
      </c>
      <c r="AV4">
        <f t="shared" si="9"/>
        <v>48</v>
      </c>
      <c r="AW4">
        <f t="shared" si="9"/>
        <v>49</v>
      </c>
      <c r="AX4">
        <f t="shared" si="9"/>
        <v>50</v>
      </c>
      <c r="AY4">
        <f t="shared" si="9"/>
        <v>51</v>
      </c>
      <c r="AZ4">
        <f t="shared" si="9"/>
        <v>52</v>
      </c>
      <c r="BA4">
        <f t="shared" si="9"/>
        <v>53</v>
      </c>
      <c r="BB4">
        <f t="shared" si="9"/>
        <v>54</v>
      </c>
      <c r="BC4">
        <f t="shared" si="9"/>
        <v>55</v>
      </c>
      <c r="BD4">
        <f t="shared" si="9"/>
        <v>56</v>
      </c>
      <c r="BE4">
        <f t="shared" si="9"/>
        <v>57</v>
      </c>
      <c r="BF4">
        <f t="shared" si="9"/>
        <v>58</v>
      </c>
      <c r="BG4">
        <f t="shared" si="9"/>
        <v>59</v>
      </c>
      <c r="BH4">
        <f t="shared" si="9"/>
        <v>60</v>
      </c>
      <c r="BI4">
        <f t="shared" si="9"/>
        <v>61</v>
      </c>
      <c r="BJ4">
        <f t="shared" si="9"/>
        <v>62</v>
      </c>
      <c r="BK4">
        <f t="shared" si="9"/>
        <v>63</v>
      </c>
      <c r="BL4">
        <f t="shared" si="9"/>
        <v>64</v>
      </c>
      <c r="BM4">
        <f t="shared" si="9"/>
        <v>65</v>
      </c>
      <c r="BN4">
        <f t="shared" si="9"/>
        <v>66</v>
      </c>
      <c r="BO4">
        <f t="shared" ref="BO4:DZ4" si="10">COLUMN(BO1)</f>
        <v>67</v>
      </c>
      <c r="BP4">
        <f t="shared" si="10"/>
        <v>68</v>
      </c>
      <c r="BQ4">
        <f t="shared" si="10"/>
        <v>69</v>
      </c>
      <c r="BR4">
        <f t="shared" si="10"/>
        <v>70</v>
      </c>
      <c r="BS4">
        <f t="shared" si="10"/>
        <v>71</v>
      </c>
      <c r="BT4">
        <f t="shared" si="10"/>
        <v>72</v>
      </c>
      <c r="BU4">
        <f t="shared" si="10"/>
        <v>73</v>
      </c>
      <c r="BV4">
        <f t="shared" si="10"/>
        <v>74</v>
      </c>
      <c r="BW4">
        <f t="shared" si="10"/>
        <v>75</v>
      </c>
      <c r="BX4">
        <f t="shared" si="10"/>
        <v>76</v>
      </c>
      <c r="BY4">
        <f t="shared" si="10"/>
        <v>77</v>
      </c>
      <c r="BZ4">
        <f t="shared" si="10"/>
        <v>78</v>
      </c>
      <c r="CA4">
        <f t="shared" si="10"/>
        <v>79</v>
      </c>
      <c r="CB4">
        <f t="shared" si="10"/>
        <v>80</v>
      </c>
      <c r="CC4">
        <f t="shared" si="10"/>
        <v>81</v>
      </c>
      <c r="CD4">
        <f t="shared" si="10"/>
        <v>82</v>
      </c>
      <c r="CE4">
        <f t="shared" si="10"/>
        <v>83</v>
      </c>
      <c r="CF4">
        <f t="shared" si="10"/>
        <v>84</v>
      </c>
      <c r="CG4">
        <f t="shared" si="10"/>
        <v>85</v>
      </c>
      <c r="CH4">
        <f t="shared" si="10"/>
        <v>86</v>
      </c>
      <c r="CI4">
        <f t="shared" si="10"/>
        <v>87</v>
      </c>
      <c r="CJ4">
        <f t="shared" si="10"/>
        <v>88</v>
      </c>
      <c r="CK4">
        <f t="shared" si="10"/>
        <v>89</v>
      </c>
      <c r="CL4">
        <f t="shared" si="10"/>
        <v>90</v>
      </c>
      <c r="CM4">
        <f t="shared" si="10"/>
        <v>91</v>
      </c>
      <c r="CN4">
        <f t="shared" si="10"/>
        <v>92</v>
      </c>
      <c r="CO4">
        <f t="shared" si="10"/>
        <v>93</v>
      </c>
      <c r="CP4">
        <f t="shared" si="10"/>
        <v>94</v>
      </c>
      <c r="CQ4">
        <f t="shared" si="10"/>
        <v>95</v>
      </c>
      <c r="CR4">
        <f t="shared" si="10"/>
        <v>96</v>
      </c>
      <c r="CS4">
        <f t="shared" si="10"/>
        <v>97</v>
      </c>
      <c r="CT4">
        <f t="shared" si="10"/>
        <v>98</v>
      </c>
      <c r="CU4">
        <f t="shared" si="10"/>
        <v>99</v>
      </c>
      <c r="CV4">
        <f t="shared" si="10"/>
        <v>100</v>
      </c>
      <c r="CW4">
        <f t="shared" si="10"/>
        <v>101</v>
      </c>
      <c r="CX4">
        <f t="shared" si="10"/>
        <v>102</v>
      </c>
      <c r="CY4">
        <f t="shared" si="10"/>
        <v>103</v>
      </c>
      <c r="CZ4">
        <f t="shared" si="10"/>
        <v>104</v>
      </c>
      <c r="DA4">
        <f t="shared" si="10"/>
        <v>105</v>
      </c>
      <c r="DB4">
        <f t="shared" si="10"/>
        <v>106</v>
      </c>
      <c r="DC4">
        <f t="shared" si="10"/>
        <v>107</v>
      </c>
      <c r="DD4">
        <f t="shared" si="10"/>
        <v>108</v>
      </c>
      <c r="DE4">
        <f t="shared" si="10"/>
        <v>109</v>
      </c>
      <c r="DF4">
        <f t="shared" si="10"/>
        <v>110</v>
      </c>
      <c r="DG4">
        <f t="shared" si="10"/>
        <v>111</v>
      </c>
      <c r="DH4">
        <f t="shared" si="10"/>
        <v>112</v>
      </c>
      <c r="DI4">
        <f t="shared" si="10"/>
        <v>113</v>
      </c>
      <c r="DJ4">
        <f t="shared" si="10"/>
        <v>114</v>
      </c>
      <c r="DK4">
        <f t="shared" si="10"/>
        <v>115</v>
      </c>
      <c r="DL4">
        <f t="shared" si="10"/>
        <v>116</v>
      </c>
      <c r="DM4">
        <f t="shared" si="10"/>
        <v>117</v>
      </c>
      <c r="DN4">
        <f t="shared" si="10"/>
        <v>118</v>
      </c>
      <c r="DO4">
        <f t="shared" si="10"/>
        <v>119</v>
      </c>
      <c r="DP4">
        <f t="shared" si="10"/>
        <v>120</v>
      </c>
      <c r="DQ4">
        <f t="shared" si="10"/>
        <v>121</v>
      </c>
      <c r="DR4">
        <f t="shared" si="10"/>
        <v>122</v>
      </c>
      <c r="DS4">
        <f t="shared" si="10"/>
        <v>123</v>
      </c>
      <c r="DT4">
        <f t="shared" si="10"/>
        <v>124</v>
      </c>
      <c r="DU4">
        <f t="shared" si="10"/>
        <v>125</v>
      </c>
      <c r="DV4">
        <f t="shared" si="10"/>
        <v>126</v>
      </c>
      <c r="DW4">
        <f t="shared" si="10"/>
        <v>127</v>
      </c>
      <c r="DX4">
        <f t="shared" si="10"/>
        <v>128</v>
      </c>
      <c r="DY4">
        <f t="shared" si="10"/>
        <v>129</v>
      </c>
      <c r="DZ4">
        <f t="shared" si="10"/>
        <v>130</v>
      </c>
      <c r="EA4">
        <f t="shared" ref="EA4:GL4" si="11">COLUMN(EA1)</f>
        <v>131</v>
      </c>
      <c r="EB4">
        <f t="shared" si="11"/>
        <v>132</v>
      </c>
      <c r="EC4">
        <f t="shared" si="11"/>
        <v>133</v>
      </c>
      <c r="ED4">
        <f t="shared" si="11"/>
        <v>134</v>
      </c>
      <c r="EE4">
        <f t="shared" si="11"/>
        <v>135</v>
      </c>
      <c r="EF4">
        <f t="shared" si="11"/>
        <v>136</v>
      </c>
      <c r="EG4">
        <f t="shared" si="11"/>
        <v>137</v>
      </c>
      <c r="EH4">
        <f t="shared" si="11"/>
        <v>138</v>
      </c>
      <c r="EI4">
        <f t="shared" si="11"/>
        <v>139</v>
      </c>
      <c r="EJ4">
        <f t="shared" si="11"/>
        <v>140</v>
      </c>
      <c r="EK4">
        <f t="shared" si="11"/>
        <v>141</v>
      </c>
      <c r="EL4">
        <f t="shared" si="11"/>
        <v>142</v>
      </c>
      <c r="EM4">
        <f t="shared" si="11"/>
        <v>143</v>
      </c>
      <c r="EN4">
        <f t="shared" si="11"/>
        <v>144</v>
      </c>
      <c r="EO4">
        <f t="shared" si="11"/>
        <v>145</v>
      </c>
      <c r="EP4">
        <f t="shared" si="11"/>
        <v>146</v>
      </c>
      <c r="EQ4">
        <f t="shared" si="11"/>
        <v>147</v>
      </c>
      <c r="ER4">
        <f t="shared" si="11"/>
        <v>148</v>
      </c>
      <c r="ES4">
        <f t="shared" si="11"/>
        <v>149</v>
      </c>
      <c r="ET4">
        <f t="shared" si="11"/>
        <v>150</v>
      </c>
      <c r="EU4">
        <f t="shared" si="11"/>
        <v>151</v>
      </c>
      <c r="EV4">
        <f t="shared" si="11"/>
        <v>152</v>
      </c>
      <c r="EW4">
        <f t="shared" si="11"/>
        <v>153</v>
      </c>
      <c r="EX4">
        <f t="shared" si="11"/>
        <v>154</v>
      </c>
      <c r="EY4">
        <f t="shared" si="11"/>
        <v>155</v>
      </c>
      <c r="EZ4">
        <f t="shared" si="11"/>
        <v>156</v>
      </c>
      <c r="FA4">
        <f t="shared" si="11"/>
        <v>157</v>
      </c>
      <c r="FB4">
        <f t="shared" si="11"/>
        <v>158</v>
      </c>
      <c r="FC4">
        <f t="shared" si="11"/>
        <v>159</v>
      </c>
      <c r="FD4">
        <f t="shared" si="11"/>
        <v>160</v>
      </c>
      <c r="FE4">
        <f t="shared" si="11"/>
        <v>161</v>
      </c>
      <c r="FF4">
        <f t="shared" si="11"/>
        <v>162</v>
      </c>
      <c r="FG4">
        <f t="shared" si="11"/>
        <v>163</v>
      </c>
      <c r="FH4">
        <f t="shared" si="11"/>
        <v>164</v>
      </c>
      <c r="FI4">
        <f t="shared" si="11"/>
        <v>165</v>
      </c>
      <c r="FJ4">
        <f t="shared" si="11"/>
        <v>166</v>
      </c>
      <c r="FK4">
        <f t="shared" si="11"/>
        <v>167</v>
      </c>
      <c r="FL4">
        <f t="shared" si="11"/>
        <v>168</v>
      </c>
      <c r="FM4">
        <f t="shared" si="11"/>
        <v>169</v>
      </c>
      <c r="FN4">
        <f t="shared" si="11"/>
        <v>170</v>
      </c>
      <c r="FO4">
        <f t="shared" si="11"/>
        <v>171</v>
      </c>
      <c r="FP4">
        <f t="shared" si="11"/>
        <v>172</v>
      </c>
      <c r="FQ4">
        <f t="shared" si="11"/>
        <v>173</v>
      </c>
      <c r="FR4">
        <f t="shared" si="11"/>
        <v>174</v>
      </c>
      <c r="FS4">
        <f t="shared" si="11"/>
        <v>175</v>
      </c>
      <c r="FT4">
        <f t="shared" si="11"/>
        <v>176</v>
      </c>
      <c r="FU4">
        <f t="shared" si="11"/>
        <v>177</v>
      </c>
      <c r="FV4">
        <f t="shared" si="11"/>
        <v>178</v>
      </c>
      <c r="FW4">
        <f t="shared" si="11"/>
        <v>179</v>
      </c>
      <c r="FX4">
        <f t="shared" si="11"/>
        <v>180</v>
      </c>
      <c r="FY4">
        <f t="shared" si="11"/>
        <v>181</v>
      </c>
      <c r="FZ4">
        <f t="shared" si="11"/>
        <v>182</v>
      </c>
      <c r="GA4">
        <f t="shared" si="11"/>
        <v>183</v>
      </c>
      <c r="GB4">
        <f t="shared" si="11"/>
        <v>184</v>
      </c>
      <c r="GC4">
        <f t="shared" si="11"/>
        <v>185</v>
      </c>
      <c r="GD4">
        <f t="shared" si="11"/>
        <v>186</v>
      </c>
      <c r="GE4">
        <f t="shared" si="11"/>
        <v>187</v>
      </c>
      <c r="GF4">
        <f t="shared" si="11"/>
        <v>188</v>
      </c>
      <c r="GG4">
        <f t="shared" si="11"/>
        <v>189</v>
      </c>
      <c r="GH4">
        <f t="shared" si="11"/>
        <v>190</v>
      </c>
      <c r="GI4">
        <f t="shared" si="11"/>
        <v>191</v>
      </c>
      <c r="GJ4">
        <f t="shared" si="11"/>
        <v>192</v>
      </c>
      <c r="GK4">
        <f t="shared" si="11"/>
        <v>193</v>
      </c>
      <c r="GL4">
        <f t="shared" si="11"/>
        <v>194</v>
      </c>
      <c r="GM4">
        <f t="shared" ref="GM4:IT4" si="12">COLUMN(GM1)</f>
        <v>195</v>
      </c>
      <c r="GN4">
        <f t="shared" si="12"/>
        <v>196</v>
      </c>
      <c r="GO4">
        <f t="shared" si="12"/>
        <v>197</v>
      </c>
      <c r="GP4">
        <f t="shared" si="12"/>
        <v>198</v>
      </c>
      <c r="GQ4">
        <f t="shared" si="12"/>
        <v>199</v>
      </c>
      <c r="GR4">
        <f t="shared" si="12"/>
        <v>200</v>
      </c>
      <c r="GS4">
        <f t="shared" si="12"/>
        <v>201</v>
      </c>
      <c r="GT4">
        <f t="shared" si="12"/>
        <v>202</v>
      </c>
      <c r="GU4">
        <f t="shared" si="12"/>
        <v>203</v>
      </c>
      <c r="GV4">
        <f t="shared" si="12"/>
        <v>204</v>
      </c>
      <c r="GW4">
        <f t="shared" si="12"/>
        <v>205</v>
      </c>
      <c r="GX4">
        <f t="shared" si="12"/>
        <v>206</v>
      </c>
      <c r="GY4">
        <f t="shared" si="12"/>
        <v>207</v>
      </c>
      <c r="GZ4">
        <f t="shared" si="12"/>
        <v>208</v>
      </c>
      <c r="HA4">
        <f t="shared" si="12"/>
        <v>209</v>
      </c>
      <c r="HB4">
        <f t="shared" si="12"/>
        <v>210</v>
      </c>
      <c r="HC4">
        <f t="shared" si="12"/>
        <v>211</v>
      </c>
      <c r="HD4">
        <f t="shared" si="12"/>
        <v>212</v>
      </c>
      <c r="HE4">
        <f t="shared" si="12"/>
        <v>213</v>
      </c>
      <c r="HF4">
        <f t="shared" si="12"/>
        <v>214</v>
      </c>
      <c r="HG4">
        <f t="shared" si="12"/>
        <v>215</v>
      </c>
      <c r="HH4">
        <f t="shared" si="12"/>
        <v>216</v>
      </c>
      <c r="HI4">
        <f t="shared" si="12"/>
        <v>217</v>
      </c>
      <c r="HJ4">
        <f t="shared" si="12"/>
        <v>218</v>
      </c>
      <c r="HK4">
        <f t="shared" si="12"/>
        <v>219</v>
      </c>
      <c r="HL4">
        <f t="shared" si="12"/>
        <v>220</v>
      </c>
      <c r="HM4">
        <f t="shared" si="12"/>
        <v>221</v>
      </c>
      <c r="HN4">
        <f t="shared" si="12"/>
        <v>222</v>
      </c>
      <c r="HO4">
        <f t="shared" si="12"/>
        <v>223</v>
      </c>
      <c r="HP4">
        <f t="shared" si="12"/>
        <v>224</v>
      </c>
      <c r="HQ4">
        <f t="shared" si="12"/>
        <v>225</v>
      </c>
      <c r="HR4">
        <f t="shared" si="12"/>
        <v>226</v>
      </c>
      <c r="HS4">
        <f t="shared" si="12"/>
        <v>227</v>
      </c>
      <c r="HT4">
        <f t="shared" si="12"/>
        <v>228</v>
      </c>
      <c r="HU4">
        <f t="shared" si="12"/>
        <v>229</v>
      </c>
      <c r="HV4">
        <f t="shared" si="12"/>
        <v>230</v>
      </c>
      <c r="HW4">
        <f t="shared" si="12"/>
        <v>231</v>
      </c>
      <c r="HX4">
        <f t="shared" si="12"/>
        <v>232</v>
      </c>
      <c r="HY4">
        <f t="shared" si="12"/>
        <v>233</v>
      </c>
      <c r="HZ4">
        <f t="shared" si="12"/>
        <v>234</v>
      </c>
      <c r="IA4">
        <f t="shared" si="12"/>
        <v>235</v>
      </c>
      <c r="IB4">
        <f t="shared" si="12"/>
        <v>236</v>
      </c>
      <c r="IC4">
        <f t="shared" si="12"/>
        <v>237</v>
      </c>
      <c r="ID4">
        <f t="shared" si="12"/>
        <v>238</v>
      </c>
      <c r="IE4">
        <f t="shared" si="12"/>
        <v>239</v>
      </c>
      <c r="IF4">
        <f t="shared" si="12"/>
        <v>240</v>
      </c>
      <c r="IG4">
        <f t="shared" si="12"/>
        <v>241</v>
      </c>
      <c r="IH4">
        <f t="shared" si="12"/>
        <v>242</v>
      </c>
      <c r="II4">
        <f t="shared" si="12"/>
        <v>243</v>
      </c>
      <c r="IJ4">
        <f t="shared" si="12"/>
        <v>244</v>
      </c>
      <c r="IK4">
        <f t="shared" si="12"/>
        <v>245</v>
      </c>
      <c r="IL4">
        <f t="shared" si="12"/>
        <v>246</v>
      </c>
      <c r="IM4">
        <f t="shared" si="12"/>
        <v>247</v>
      </c>
      <c r="IN4">
        <f t="shared" si="12"/>
        <v>248</v>
      </c>
      <c r="IO4">
        <f t="shared" si="12"/>
        <v>249</v>
      </c>
      <c r="IP4">
        <f t="shared" si="12"/>
        <v>250</v>
      </c>
      <c r="IQ4">
        <f t="shared" si="12"/>
        <v>251</v>
      </c>
      <c r="IR4">
        <f t="shared" si="12"/>
        <v>252</v>
      </c>
      <c r="IS4">
        <f t="shared" si="12"/>
        <v>253</v>
      </c>
      <c r="IT4">
        <f t="shared" si="12"/>
        <v>254</v>
      </c>
    </row>
    <row r="5" spans="1:254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256</v>
      </c>
      <c r="AQ5" s="1" t="s">
        <v>257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246</v>
      </c>
      <c r="BW5" s="1" t="s">
        <v>247</v>
      </c>
      <c r="BX5" s="1" t="s">
        <v>248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249</v>
      </c>
      <c r="DF5" s="1" t="s">
        <v>250</v>
      </c>
      <c r="DG5" s="1" t="s">
        <v>251</v>
      </c>
      <c r="DH5" s="1" t="s">
        <v>252</v>
      </c>
      <c r="DI5" s="1" t="s">
        <v>253</v>
      </c>
      <c r="DJ5" s="1" t="s">
        <v>254</v>
      </c>
      <c r="DK5" s="1" t="s">
        <v>255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396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  <c r="IS5" s="56" t="s">
        <v>405</v>
      </c>
      <c r="IT5" s="56" t="s">
        <v>406</v>
      </c>
    </row>
    <row r="6" spans="1:254" x14ac:dyDescent="0.25">
      <c r="A6" s="6" t="s">
        <v>134</v>
      </c>
      <c r="B6" s="2" t="s">
        <v>407</v>
      </c>
      <c r="C6" s="2" t="s">
        <v>41</v>
      </c>
      <c r="D6" s="57">
        <v>3.1347222222222221E-2</v>
      </c>
      <c r="E6" s="49">
        <v>2708.4029999999998</v>
      </c>
      <c r="F6" s="49">
        <v>303.69</v>
      </c>
      <c r="G6" s="49">
        <v>2.93</v>
      </c>
      <c r="H6" s="49">
        <v>25.2</v>
      </c>
      <c r="I6" s="49">
        <v>0</v>
      </c>
      <c r="J6" s="49">
        <v>2208.6</v>
      </c>
      <c r="K6" s="49">
        <v>6</v>
      </c>
      <c r="L6" s="49">
        <v>8</v>
      </c>
      <c r="M6" s="49">
        <v>7</v>
      </c>
      <c r="N6" s="49">
        <v>3</v>
      </c>
      <c r="O6" s="49">
        <v>3</v>
      </c>
      <c r="P6" s="49">
        <v>0.93899999999999995</v>
      </c>
      <c r="Q6" s="49">
        <v>0.95699999999999996</v>
      </c>
      <c r="R6" s="49">
        <v>0.89</v>
      </c>
      <c r="S6" s="3"/>
      <c r="T6" s="49">
        <v>60.13</v>
      </c>
      <c r="U6" s="49">
        <v>61.55</v>
      </c>
      <c r="V6" s="49">
        <v>70</v>
      </c>
      <c r="W6" s="49">
        <v>40</v>
      </c>
      <c r="X6" s="49">
        <v>40</v>
      </c>
      <c r="Y6" s="49">
        <v>30</v>
      </c>
      <c r="Z6" s="49">
        <v>86.46</v>
      </c>
      <c r="AA6" s="49">
        <v>73.62</v>
      </c>
      <c r="AB6" s="49">
        <v>48.98</v>
      </c>
      <c r="AC6" s="49">
        <v>40.909999999999997</v>
      </c>
      <c r="AD6" s="49">
        <v>0.82899999999999996</v>
      </c>
      <c r="AE6" s="49">
        <v>0.878</v>
      </c>
      <c r="AF6" s="49">
        <v>0.74399999999999999</v>
      </c>
      <c r="AG6" s="49">
        <v>0.752</v>
      </c>
      <c r="AH6" s="49">
        <v>10.41</v>
      </c>
      <c r="AI6" s="49">
        <v>11.18</v>
      </c>
      <c r="AJ6" s="49">
        <v>10.83</v>
      </c>
      <c r="AK6" s="49">
        <v>9.4499999999999993</v>
      </c>
      <c r="AL6" s="49">
        <v>496.59399999999999</v>
      </c>
      <c r="AM6" s="49">
        <v>477.98</v>
      </c>
      <c r="AN6" s="49">
        <v>552.41800000000001</v>
      </c>
      <c r="AO6" s="49">
        <v>535.47699999999998</v>
      </c>
      <c r="AP6" s="3"/>
      <c r="AQ6" s="3"/>
      <c r="AR6" s="3"/>
      <c r="AS6" s="3"/>
      <c r="AT6" s="49">
        <v>86</v>
      </c>
      <c r="AU6" s="49">
        <v>68</v>
      </c>
      <c r="AV6" s="49">
        <v>5.4595000000000002</v>
      </c>
      <c r="AW6" s="49">
        <v>6.3640999999999996</v>
      </c>
      <c r="AX6" s="49">
        <v>1017.5</v>
      </c>
      <c r="AY6" s="49">
        <v>1.25</v>
      </c>
      <c r="AZ6" s="49">
        <v>0.39</v>
      </c>
      <c r="BA6" s="49">
        <v>65.093000000000004</v>
      </c>
      <c r="BB6" s="49">
        <v>67.707999999999998</v>
      </c>
      <c r="BC6" s="49">
        <v>7312</v>
      </c>
      <c r="BD6" s="49">
        <v>89.75</v>
      </c>
      <c r="BE6" s="49">
        <v>18.73</v>
      </c>
      <c r="BF6" s="49">
        <v>10.07</v>
      </c>
      <c r="BG6" s="49">
        <v>22.22</v>
      </c>
      <c r="BH6" s="49">
        <v>23.08</v>
      </c>
      <c r="BI6" s="49">
        <v>65.835999999999999</v>
      </c>
      <c r="BJ6" s="49">
        <v>76.316000000000003</v>
      </c>
      <c r="BK6" s="49">
        <v>64.727999999999994</v>
      </c>
      <c r="BL6" s="49">
        <v>74.558000000000007</v>
      </c>
      <c r="BM6" s="49">
        <v>74.722999999999999</v>
      </c>
      <c r="BN6" s="49">
        <v>53.192</v>
      </c>
      <c r="BO6" s="49">
        <v>53.223999999999997</v>
      </c>
      <c r="BP6" s="49">
        <v>60.392000000000003</v>
      </c>
      <c r="BQ6" s="49">
        <v>59.8</v>
      </c>
      <c r="BR6" s="49">
        <v>59.262999999999998</v>
      </c>
      <c r="BS6" s="49">
        <v>23.4</v>
      </c>
      <c r="BT6" s="49">
        <v>4520.2839999999997</v>
      </c>
      <c r="BU6" s="49">
        <v>95.543999999999997</v>
      </c>
      <c r="BV6" s="49">
        <v>69.213999999999999</v>
      </c>
      <c r="BW6" s="49">
        <v>77.774000000000001</v>
      </c>
      <c r="BX6" s="3"/>
      <c r="BY6" s="49">
        <v>1.1060000000000001</v>
      </c>
      <c r="BZ6" s="49">
        <v>1.49</v>
      </c>
      <c r="CA6" s="49">
        <v>1.9470000000000001</v>
      </c>
      <c r="CB6" s="49">
        <v>1.921</v>
      </c>
      <c r="CC6" s="49">
        <v>6.1740000000000004</v>
      </c>
      <c r="CD6" s="49">
        <v>2.4470000000000001</v>
      </c>
      <c r="CE6" s="49">
        <v>3.7080000000000002</v>
      </c>
      <c r="CF6" s="49">
        <v>2.1469999999999998</v>
      </c>
      <c r="CG6" s="49">
        <v>13.27</v>
      </c>
      <c r="CH6" s="49">
        <v>9.7940000000000005</v>
      </c>
      <c r="CI6" s="3"/>
      <c r="CJ6" s="3"/>
      <c r="CK6" s="3"/>
      <c r="CL6" s="49">
        <v>0</v>
      </c>
      <c r="CM6" s="49">
        <v>0</v>
      </c>
      <c r="CN6" s="49">
        <v>0</v>
      </c>
      <c r="CO6" s="49">
        <v>0</v>
      </c>
      <c r="CP6" s="49">
        <v>28.617999999999999</v>
      </c>
      <c r="CQ6" s="49">
        <v>28.388999999999999</v>
      </c>
      <c r="CR6" s="49">
        <v>32.186</v>
      </c>
      <c r="CS6" s="49">
        <v>30.959</v>
      </c>
      <c r="CT6" s="49">
        <v>0.36599999999999999</v>
      </c>
      <c r="CU6" s="49">
        <v>0.29699999999999999</v>
      </c>
      <c r="CV6" s="49">
        <v>0.497</v>
      </c>
      <c r="CW6" s="49">
        <v>9.9000000000000005E-2</v>
      </c>
      <c r="CX6" s="49">
        <v>0.1</v>
      </c>
      <c r="CY6" s="49">
        <v>0.3</v>
      </c>
      <c r="CZ6" s="49">
        <v>0.19900000000000001</v>
      </c>
      <c r="DA6" s="49">
        <v>0.59799999999999998</v>
      </c>
      <c r="DB6" s="49">
        <v>0.19900000000000001</v>
      </c>
      <c r="DC6" s="49">
        <v>0</v>
      </c>
      <c r="DD6" s="49">
        <v>0</v>
      </c>
      <c r="DE6" s="49">
        <v>2.7E-2</v>
      </c>
      <c r="DF6" s="49">
        <v>0.02</v>
      </c>
      <c r="DG6" s="49">
        <v>8.1000000000000003E-2</v>
      </c>
      <c r="DH6" s="49">
        <v>0.95399999999999996</v>
      </c>
      <c r="DI6" s="49">
        <v>0.89700000000000002</v>
      </c>
      <c r="DJ6" s="49">
        <v>0.27600000000000002</v>
      </c>
      <c r="DK6" s="49">
        <v>0.92800000000000005</v>
      </c>
      <c r="DL6" s="49">
        <v>0.61</v>
      </c>
      <c r="DM6" s="49">
        <v>0.755</v>
      </c>
      <c r="DN6" s="49">
        <v>0.747</v>
      </c>
      <c r="DO6" s="49">
        <v>0.753</v>
      </c>
      <c r="DP6" s="49">
        <v>60.936</v>
      </c>
      <c r="DQ6" s="49">
        <v>63.749000000000002</v>
      </c>
      <c r="DR6" s="49">
        <v>51.802</v>
      </c>
      <c r="DS6" s="49">
        <v>47.378999999999998</v>
      </c>
      <c r="DT6" s="49">
        <v>0.13</v>
      </c>
      <c r="DU6" s="49">
        <v>0.15</v>
      </c>
      <c r="DV6" s="49">
        <v>0.21</v>
      </c>
      <c r="DW6" s="49">
        <v>0.17</v>
      </c>
      <c r="DX6" s="49">
        <v>0.14000000000000001</v>
      </c>
      <c r="DY6" s="49">
        <v>0.15</v>
      </c>
      <c r="DZ6" s="49">
        <v>0.19</v>
      </c>
      <c r="EA6" s="49">
        <v>0.16</v>
      </c>
      <c r="EB6" s="49">
        <v>9.3699999999999992</v>
      </c>
      <c r="EC6" s="49">
        <v>26.8</v>
      </c>
      <c r="ED6" s="49">
        <v>60.25</v>
      </c>
      <c r="EE6" s="49">
        <v>7.77</v>
      </c>
      <c r="EF6" s="49">
        <v>90.35</v>
      </c>
      <c r="EG6" s="49">
        <v>72.91</v>
      </c>
      <c r="EH6" s="49">
        <v>39.35</v>
      </c>
      <c r="EI6" s="49">
        <v>91.9</v>
      </c>
      <c r="EJ6" s="49">
        <v>2.8959999999999999</v>
      </c>
      <c r="EK6" s="49">
        <v>52.95</v>
      </c>
      <c r="EL6" s="49">
        <v>1.25</v>
      </c>
      <c r="EM6" s="49">
        <v>0.25</v>
      </c>
      <c r="EN6" s="49">
        <v>1.21</v>
      </c>
      <c r="EO6" s="49">
        <v>1.0900000000000001</v>
      </c>
      <c r="EP6" s="49">
        <v>-67.97</v>
      </c>
      <c r="EQ6" s="49">
        <v>-0.155</v>
      </c>
      <c r="ER6" s="49">
        <v>62.262</v>
      </c>
      <c r="ES6" s="49">
        <v>0.39</v>
      </c>
      <c r="ET6" s="49">
        <v>0.41099999999999998</v>
      </c>
      <c r="EU6" s="49">
        <v>0.378</v>
      </c>
      <c r="EV6" s="3"/>
      <c r="EW6" s="3"/>
      <c r="EX6" s="49">
        <v>-225.5</v>
      </c>
      <c r="EY6" s="49">
        <v>0</v>
      </c>
      <c r="EZ6" s="49">
        <v>0</v>
      </c>
      <c r="FA6" s="49">
        <v>0</v>
      </c>
      <c r="FB6" s="49">
        <v>5.45</v>
      </c>
      <c r="FC6" s="49">
        <v>36.066000000000003</v>
      </c>
      <c r="FD6" s="49">
        <v>37.192999999999998</v>
      </c>
      <c r="FE6" s="49">
        <v>36.786000000000001</v>
      </c>
      <c r="FF6" s="49">
        <v>36.271000000000001</v>
      </c>
      <c r="FG6" s="49">
        <v>1.157</v>
      </c>
      <c r="FH6" s="49">
        <v>1.022</v>
      </c>
      <c r="FI6" s="49">
        <v>0.997</v>
      </c>
      <c r="FJ6" s="49">
        <v>0.998</v>
      </c>
      <c r="FK6" s="49">
        <v>1.0009999999999999</v>
      </c>
      <c r="FL6" s="49">
        <v>86</v>
      </c>
      <c r="FM6" s="49">
        <v>2.2000000000000002</v>
      </c>
      <c r="FN6" s="49">
        <v>0.31</v>
      </c>
      <c r="FO6" s="49">
        <v>0.39</v>
      </c>
      <c r="FP6" s="49">
        <v>0.45</v>
      </c>
      <c r="FQ6" s="49">
        <v>4.2</v>
      </c>
      <c r="FR6" s="49">
        <v>5.7</v>
      </c>
      <c r="FS6" s="49">
        <v>7.3505000000000003</v>
      </c>
      <c r="FT6" s="49">
        <v>1051.8</v>
      </c>
      <c r="FU6" s="49">
        <v>2.23</v>
      </c>
      <c r="FV6" s="49">
        <v>3.16</v>
      </c>
      <c r="FW6" s="49">
        <v>16383.5</v>
      </c>
      <c r="FX6" s="49">
        <v>160300</v>
      </c>
      <c r="FY6" s="49">
        <v>168600</v>
      </c>
      <c r="FZ6" s="49">
        <v>53.737000000000002</v>
      </c>
      <c r="GA6" s="49">
        <v>49.744999999999997</v>
      </c>
      <c r="GB6" s="49">
        <v>2131.1999999999998</v>
      </c>
      <c r="GC6" s="49">
        <v>2136.6999999999998</v>
      </c>
      <c r="GD6" s="49">
        <v>2168.3000000000002</v>
      </c>
      <c r="GE6" s="49">
        <v>2142</v>
      </c>
      <c r="GF6" s="49">
        <v>1465.3438000000001</v>
      </c>
      <c r="GG6" s="49">
        <v>34</v>
      </c>
      <c r="GH6" s="49">
        <v>34.4</v>
      </c>
      <c r="GI6" s="49">
        <v>68.8</v>
      </c>
      <c r="GJ6" s="49">
        <v>68.900000000000006</v>
      </c>
      <c r="GK6" s="49">
        <v>79.5</v>
      </c>
      <c r="GL6" s="49">
        <v>91.9</v>
      </c>
      <c r="GM6" s="49">
        <v>0</v>
      </c>
      <c r="GN6" s="49">
        <v>21.251999999999999</v>
      </c>
      <c r="GO6" s="49">
        <v>67.97</v>
      </c>
      <c r="GP6" s="49">
        <v>0</v>
      </c>
      <c r="GQ6" s="49">
        <v>6.077</v>
      </c>
      <c r="GR6" s="49">
        <v>0</v>
      </c>
      <c r="GS6" s="49">
        <v>5.5460000000000003</v>
      </c>
      <c r="GT6" s="49">
        <v>0</v>
      </c>
      <c r="GU6" s="49">
        <v>5.782</v>
      </c>
      <c r="GV6" s="49">
        <v>0</v>
      </c>
      <c r="GW6" s="49">
        <v>3.7090000000000001</v>
      </c>
      <c r="GX6" s="49">
        <v>24.99</v>
      </c>
      <c r="GY6" s="49">
        <v>0</v>
      </c>
      <c r="GZ6" s="49">
        <v>0</v>
      </c>
      <c r="HA6" s="49">
        <v>0</v>
      </c>
      <c r="HB6" s="49">
        <v>1</v>
      </c>
      <c r="HC6" s="49">
        <v>17.434000000000001</v>
      </c>
      <c r="HD6" s="49">
        <v>82</v>
      </c>
      <c r="HE6" s="49">
        <v>0</v>
      </c>
      <c r="HF6" s="49">
        <v>0</v>
      </c>
      <c r="HG6" s="49">
        <v>87</v>
      </c>
      <c r="HH6" s="49">
        <v>81.16</v>
      </c>
      <c r="HI6" s="49">
        <v>0</v>
      </c>
      <c r="HJ6" s="49">
        <v>0</v>
      </c>
      <c r="HK6" s="49">
        <v>0</v>
      </c>
      <c r="HL6" s="49">
        <v>49</v>
      </c>
      <c r="HM6" s="49">
        <v>51</v>
      </c>
      <c r="HN6" s="49">
        <v>55</v>
      </c>
      <c r="HO6" s="49">
        <v>47</v>
      </c>
      <c r="HP6" s="49">
        <v>48</v>
      </c>
      <c r="HQ6" s="49">
        <v>47</v>
      </c>
      <c r="HR6" s="49">
        <v>45</v>
      </c>
      <c r="HS6" s="49">
        <v>62</v>
      </c>
      <c r="HT6" s="49">
        <v>0.39800000000000002</v>
      </c>
      <c r="HU6" s="49">
        <v>0</v>
      </c>
      <c r="HV6" s="49">
        <v>7.9000000000000001E-2</v>
      </c>
      <c r="HW6" s="49">
        <v>60.38</v>
      </c>
      <c r="HX6" s="49">
        <v>73.27</v>
      </c>
      <c r="HY6" s="3"/>
      <c r="HZ6" s="3"/>
      <c r="IA6" s="49">
        <v>1.7310000000000001</v>
      </c>
      <c r="IB6" s="49">
        <v>74</v>
      </c>
      <c r="IC6" s="49">
        <v>5.37</v>
      </c>
      <c r="ID6" s="49">
        <v>0</v>
      </c>
      <c r="IE6" s="49">
        <v>0</v>
      </c>
      <c r="IF6" s="49">
        <v>854</v>
      </c>
      <c r="IG6" s="49">
        <v>237.3</v>
      </c>
      <c r="IH6" s="49">
        <v>884.5</v>
      </c>
      <c r="II6" s="49">
        <v>252.5</v>
      </c>
      <c r="IJ6" s="49">
        <v>0</v>
      </c>
      <c r="IK6" s="49">
        <v>0</v>
      </c>
      <c r="IL6" s="49">
        <v>2404.585</v>
      </c>
      <c r="IM6" s="49">
        <v>2405.0059999999999</v>
      </c>
      <c r="IN6" s="49">
        <v>15.177</v>
      </c>
      <c r="IO6" s="49">
        <v>1.7999999999999999E-2</v>
      </c>
      <c r="IP6" s="49">
        <v>11</v>
      </c>
      <c r="IQ6" s="49">
        <v>0</v>
      </c>
      <c r="IR6" s="49">
        <v>0</v>
      </c>
      <c r="IS6" s="49">
        <v>0</v>
      </c>
      <c r="IT6" s="49">
        <v>0</v>
      </c>
    </row>
    <row r="7" spans="1:254" x14ac:dyDescent="0.25">
      <c r="IS7">
        <v>0.22500000000000001</v>
      </c>
      <c r="IT7">
        <v>9.9000000000000005E-2</v>
      </c>
    </row>
    <row r="8" spans="1:254" x14ac:dyDescent="0.25">
      <c r="IS8">
        <v>0.22500000000000001</v>
      </c>
      <c r="IT8">
        <v>9.9000000000000005E-2</v>
      </c>
    </row>
    <row r="9" spans="1:254" x14ac:dyDescent="0.25">
      <c r="IS9">
        <v>0.22500000000000001</v>
      </c>
      <c r="IT9">
        <v>9.9000000000000005E-2</v>
      </c>
    </row>
    <row r="10" spans="1:254" x14ac:dyDescent="0.25">
      <c r="B10" s="2" t="s">
        <v>407</v>
      </c>
      <c r="C10" s="2" t="s">
        <v>41</v>
      </c>
      <c r="D10" s="57">
        <v>1.3421759259259258E-2</v>
      </c>
      <c r="E10" s="49">
        <v>1159.636</v>
      </c>
      <c r="F10" s="48">
        <v>321.56</v>
      </c>
      <c r="G10" s="48">
        <v>5.41</v>
      </c>
      <c r="H10" s="48">
        <v>26.4</v>
      </c>
      <c r="I10" s="49">
        <v>0</v>
      </c>
      <c r="J10" s="49">
        <v>937</v>
      </c>
      <c r="K10" s="49">
        <v>6</v>
      </c>
      <c r="L10" s="49">
        <v>8</v>
      </c>
      <c r="M10" s="49">
        <v>9</v>
      </c>
      <c r="N10" s="49">
        <v>3</v>
      </c>
      <c r="O10" s="49">
        <v>3</v>
      </c>
      <c r="P10" s="48">
        <v>0.99299999999999999</v>
      </c>
      <c r="Q10" s="49">
        <v>1.3149999999999999</v>
      </c>
      <c r="R10" s="48">
        <v>1.018</v>
      </c>
      <c r="S10" s="48">
        <v>0.92400000000000004</v>
      </c>
      <c r="T10" s="48">
        <v>53.49</v>
      </c>
      <c r="U10" s="49">
        <v>60.713999999999999</v>
      </c>
      <c r="V10" s="49">
        <v>70</v>
      </c>
      <c r="W10" s="49">
        <v>40</v>
      </c>
      <c r="X10" s="49">
        <v>40</v>
      </c>
      <c r="Y10" s="49">
        <v>30</v>
      </c>
      <c r="Z10" s="48">
        <v>248.85</v>
      </c>
      <c r="AA10" s="48">
        <v>248.32</v>
      </c>
      <c r="AB10" s="48">
        <v>181.51</v>
      </c>
      <c r="AC10" s="48">
        <v>165.67</v>
      </c>
      <c r="AD10" s="48">
        <v>1.601</v>
      </c>
      <c r="AE10" s="48">
        <v>1.667</v>
      </c>
      <c r="AF10" s="48">
        <v>1.5269999999999999</v>
      </c>
      <c r="AG10" s="48">
        <v>1.546</v>
      </c>
      <c r="AH10" s="48">
        <v>57.55</v>
      </c>
      <c r="AI10" s="48">
        <v>55.18</v>
      </c>
      <c r="AJ10" s="48">
        <v>65.91</v>
      </c>
      <c r="AK10" s="48">
        <v>62.69</v>
      </c>
      <c r="AL10" s="48">
        <v>591.35299999999995</v>
      </c>
      <c r="AM10" s="48">
        <v>584.52</v>
      </c>
      <c r="AN10" s="48">
        <v>692.23599999999999</v>
      </c>
      <c r="AO10" s="48">
        <v>684.25599999999997</v>
      </c>
      <c r="AP10" s="48">
        <v>2.589</v>
      </c>
      <c r="AQ10" s="48">
        <v>1.9490000000000001</v>
      </c>
      <c r="AR10" s="49">
        <v>43.863</v>
      </c>
      <c r="AS10" s="48">
        <v>36.921999999999997</v>
      </c>
      <c r="AT10" s="49">
        <v>82</v>
      </c>
      <c r="AU10" s="48">
        <v>89</v>
      </c>
      <c r="AV10" s="48">
        <v>3.8254999999999999</v>
      </c>
      <c r="AW10" s="49">
        <v>6.3087</v>
      </c>
      <c r="AX10" s="48">
        <v>988.6</v>
      </c>
      <c r="AY10" s="49">
        <v>0.88</v>
      </c>
      <c r="AZ10" s="48">
        <v>5.67</v>
      </c>
      <c r="BA10" s="49">
        <v>69</v>
      </c>
      <c r="BB10" s="48">
        <v>69.8</v>
      </c>
      <c r="BC10" s="48">
        <v>7724</v>
      </c>
      <c r="BD10" s="48">
        <v>88</v>
      </c>
      <c r="BE10" s="48">
        <v>22.315000000000001</v>
      </c>
      <c r="BF10" s="48">
        <v>11.9</v>
      </c>
      <c r="BG10" s="48">
        <v>27.18</v>
      </c>
      <c r="BH10" s="48">
        <v>27.99</v>
      </c>
      <c r="BI10" s="48">
        <v>65.924000000000007</v>
      </c>
      <c r="BJ10" s="48">
        <v>76.054000000000002</v>
      </c>
      <c r="BK10" s="48">
        <v>64.852999999999994</v>
      </c>
      <c r="BL10" s="48">
        <v>74.171999999999997</v>
      </c>
      <c r="BM10" s="48">
        <v>74.695999999999998</v>
      </c>
      <c r="BN10" s="48">
        <v>75.927999999999997</v>
      </c>
      <c r="BO10" s="48">
        <v>76.424000000000007</v>
      </c>
      <c r="BP10" s="48">
        <v>89.176000000000002</v>
      </c>
      <c r="BQ10" s="48">
        <v>84.328000000000003</v>
      </c>
      <c r="BR10" s="48">
        <v>57.45</v>
      </c>
      <c r="BS10" s="48">
        <v>25.7</v>
      </c>
      <c r="BT10" s="48">
        <v>7198.0450000000001</v>
      </c>
      <c r="BU10" s="49">
        <v>82.730999999999995</v>
      </c>
      <c r="BV10" s="49">
        <v>67.445999999999998</v>
      </c>
      <c r="BW10" s="49">
        <v>68.766000000000005</v>
      </c>
      <c r="BX10" s="48">
        <v>59.564999999999998</v>
      </c>
      <c r="BY10" s="48">
        <v>1.3680000000000001</v>
      </c>
      <c r="BZ10" s="48">
        <v>2.0819999999999999</v>
      </c>
      <c r="CA10" s="48">
        <v>3.16</v>
      </c>
      <c r="CB10" s="48">
        <v>2.6280000000000001</v>
      </c>
      <c r="CC10" s="48">
        <v>6.0119999999999996</v>
      </c>
      <c r="CD10" s="48">
        <v>2.5640000000000001</v>
      </c>
      <c r="CE10" s="48">
        <v>3.9239999999999999</v>
      </c>
      <c r="CF10" s="49">
        <v>2.4020000000000001</v>
      </c>
      <c r="CG10" s="48">
        <v>13.680999999999999</v>
      </c>
      <c r="CH10" s="49">
        <v>9.8000000000000007</v>
      </c>
      <c r="CI10" s="48">
        <v>3.9430000000000001</v>
      </c>
      <c r="CJ10" s="48">
        <v>4.1070000000000002</v>
      </c>
      <c r="CK10" s="48">
        <v>1.4830000000000001</v>
      </c>
      <c r="CL10" s="48">
        <v>0</v>
      </c>
      <c r="CM10" s="49">
        <v>0.2</v>
      </c>
      <c r="CN10" s="49">
        <v>0</v>
      </c>
      <c r="CO10" s="49">
        <v>0</v>
      </c>
      <c r="CP10" s="48">
        <v>47.302999999999997</v>
      </c>
      <c r="CQ10" s="48">
        <v>47.58</v>
      </c>
      <c r="CR10" s="48">
        <v>57.427</v>
      </c>
      <c r="CS10" s="48">
        <v>55.790999999999997</v>
      </c>
      <c r="CT10" s="48">
        <v>0.253</v>
      </c>
      <c r="CU10" s="48">
        <v>0.70199999999999996</v>
      </c>
      <c r="CV10" s="49">
        <v>1.899</v>
      </c>
      <c r="CW10" s="48">
        <v>0.69899999999999995</v>
      </c>
      <c r="CX10" s="49">
        <v>1.605</v>
      </c>
      <c r="CY10" s="49">
        <v>1.002</v>
      </c>
      <c r="CZ10" s="49">
        <v>1.004</v>
      </c>
      <c r="DA10" s="49">
        <v>1.196</v>
      </c>
      <c r="DB10" s="49">
        <v>1.7030000000000001</v>
      </c>
      <c r="DC10" s="49">
        <v>6.0000000000000001E-3</v>
      </c>
      <c r="DD10" s="49">
        <v>0</v>
      </c>
      <c r="DE10" s="48">
        <v>0.33800000000000002</v>
      </c>
      <c r="DF10" s="48">
        <v>0.12</v>
      </c>
      <c r="DG10" s="48">
        <v>0.73299999999999998</v>
      </c>
      <c r="DH10" s="49">
        <v>2.95</v>
      </c>
      <c r="DI10" s="49">
        <v>1.5369999999999999</v>
      </c>
      <c r="DJ10" s="48">
        <v>0.30299999999999999</v>
      </c>
      <c r="DK10" s="48">
        <v>0.98</v>
      </c>
      <c r="DL10" s="48">
        <v>0.60299999999999998</v>
      </c>
      <c r="DM10" s="49">
        <v>0.75800000000000001</v>
      </c>
      <c r="DN10" s="48">
        <v>0.73699999999999999</v>
      </c>
      <c r="DO10" s="49">
        <v>0.71299999999999997</v>
      </c>
      <c r="DP10" s="48">
        <v>62.162999999999997</v>
      </c>
      <c r="DQ10" s="49">
        <v>57.893999999999998</v>
      </c>
      <c r="DR10" s="48">
        <v>53.933999999999997</v>
      </c>
      <c r="DS10" s="48">
        <v>46.811999999999998</v>
      </c>
      <c r="DT10" s="48">
        <v>0.81</v>
      </c>
      <c r="DU10" s="48">
        <v>0.87</v>
      </c>
      <c r="DV10" s="48">
        <v>1.63</v>
      </c>
      <c r="DW10" s="48">
        <v>1.28</v>
      </c>
      <c r="DX10" s="48">
        <v>0.82</v>
      </c>
      <c r="DY10" s="48">
        <v>0.85</v>
      </c>
      <c r="DZ10" s="48">
        <v>1.54</v>
      </c>
      <c r="EA10" s="48">
        <v>1.21</v>
      </c>
      <c r="EB10" s="48">
        <v>9.24</v>
      </c>
      <c r="EC10" s="48">
        <v>9.31</v>
      </c>
      <c r="ED10" s="48">
        <v>7.73</v>
      </c>
      <c r="EE10" s="48">
        <v>8.3000000000000007</v>
      </c>
      <c r="EF10" s="49">
        <v>89.14</v>
      </c>
      <c r="EG10" s="49">
        <v>88.96</v>
      </c>
      <c r="EH10" s="49">
        <v>89.11</v>
      </c>
      <c r="EI10" s="49">
        <v>89.21</v>
      </c>
      <c r="EJ10" s="48">
        <v>5.13</v>
      </c>
      <c r="EK10" s="48">
        <v>58.116999999999997</v>
      </c>
      <c r="EL10" s="49">
        <v>0.75</v>
      </c>
      <c r="EM10" s="49">
        <v>0.3</v>
      </c>
      <c r="EN10" s="49">
        <v>0.94</v>
      </c>
      <c r="EO10" s="49">
        <v>0.94</v>
      </c>
      <c r="EP10" s="49">
        <v>-109.142</v>
      </c>
      <c r="EQ10" s="49">
        <v>-1.0629999999999999</v>
      </c>
      <c r="ER10" s="49">
        <v>106.646</v>
      </c>
      <c r="ES10" s="48">
        <v>1.4690000000000001</v>
      </c>
      <c r="ET10" s="48">
        <v>1.504</v>
      </c>
      <c r="EU10" s="48">
        <v>1.4239999999999999</v>
      </c>
      <c r="EV10" s="48">
        <v>7.7709999999999999</v>
      </c>
      <c r="EW10" s="48">
        <v>3.0739999999999998</v>
      </c>
      <c r="EX10" s="48">
        <v>63.84</v>
      </c>
      <c r="EY10" s="49">
        <v>0</v>
      </c>
      <c r="EZ10" s="48">
        <v>0</v>
      </c>
      <c r="FA10" s="49">
        <v>0</v>
      </c>
      <c r="FB10" s="48">
        <v>9.0470000000000006</v>
      </c>
      <c r="FC10" s="48">
        <v>51.177</v>
      </c>
      <c r="FD10" s="48">
        <v>48.773000000000003</v>
      </c>
      <c r="FE10" s="48">
        <v>54.884999999999998</v>
      </c>
      <c r="FF10" s="48">
        <v>55.912999999999997</v>
      </c>
      <c r="FG10" s="49">
        <v>0.90200000000000002</v>
      </c>
      <c r="FH10" s="49">
        <v>0.90200000000000002</v>
      </c>
      <c r="FI10" s="49">
        <v>0.98</v>
      </c>
      <c r="FJ10" s="49">
        <v>0.97499999999999998</v>
      </c>
      <c r="FK10" s="49">
        <v>0.40200000000000002</v>
      </c>
      <c r="FL10" s="49">
        <v>83</v>
      </c>
      <c r="FM10" s="49">
        <v>2.37</v>
      </c>
      <c r="FN10" s="49">
        <v>0.37</v>
      </c>
      <c r="FO10" s="48">
        <v>5.56</v>
      </c>
      <c r="FP10" s="49">
        <v>0.05</v>
      </c>
      <c r="FQ10" s="49">
        <v>3.05</v>
      </c>
      <c r="FR10" s="48">
        <v>5.25</v>
      </c>
      <c r="FS10" s="49">
        <v>7.3730000000000002</v>
      </c>
      <c r="FT10" s="48">
        <v>1059</v>
      </c>
      <c r="FU10" s="48">
        <v>7.35</v>
      </c>
      <c r="FV10" s="48">
        <v>8.57</v>
      </c>
      <c r="FW10" s="48">
        <v>3178</v>
      </c>
      <c r="FX10" s="48">
        <v>163600</v>
      </c>
      <c r="FY10" s="48">
        <v>165500</v>
      </c>
      <c r="FZ10" s="49">
        <v>48.8</v>
      </c>
      <c r="GA10" s="49">
        <v>48.055999999999997</v>
      </c>
      <c r="GB10" s="48">
        <v>2133.6</v>
      </c>
      <c r="GC10" s="48">
        <v>2128</v>
      </c>
      <c r="GD10" s="48">
        <v>2175.1</v>
      </c>
      <c r="GE10" s="48">
        <v>2174</v>
      </c>
      <c r="GF10" s="48">
        <v>1325.625</v>
      </c>
      <c r="GG10" s="49">
        <v>30</v>
      </c>
      <c r="GH10" s="49">
        <v>30.3</v>
      </c>
      <c r="GI10" s="49">
        <v>71.400000000000006</v>
      </c>
      <c r="GJ10" s="49">
        <v>73.8</v>
      </c>
      <c r="GK10" s="49">
        <v>97</v>
      </c>
      <c r="GL10" s="48">
        <v>88.1</v>
      </c>
      <c r="GM10" s="49">
        <v>0</v>
      </c>
      <c r="GN10" s="48">
        <v>20.609000000000002</v>
      </c>
      <c r="GO10" s="49">
        <v>109.142</v>
      </c>
      <c r="GP10" s="49">
        <v>0</v>
      </c>
      <c r="GQ10" s="49">
        <v>4.0119999999999996</v>
      </c>
      <c r="GR10" s="49">
        <v>0</v>
      </c>
      <c r="GS10" s="49">
        <v>4.13</v>
      </c>
      <c r="GT10" s="49">
        <v>0</v>
      </c>
      <c r="GU10" s="49">
        <v>3.54</v>
      </c>
      <c r="GV10" s="49">
        <v>0</v>
      </c>
      <c r="GW10" s="48">
        <v>12.845000000000001</v>
      </c>
      <c r="GX10" s="49">
        <v>19.893999999999998</v>
      </c>
      <c r="GY10" s="49">
        <v>0</v>
      </c>
      <c r="GZ10" s="49">
        <v>0</v>
      </c>
      <c r="HA10" s="49">
        <v>0</v>
      </c>
      <c r="HB10" s="49">
        <v>1</v>
      </c>
      <c r="HC10" s="49">
        <v>24.934000000000001</v>
      </c>
      <c r="HD10" s="48">
        <v>82</v>
      </c>
      <c r="HE10" s="49">
        <v>0</v>
      </c>
      <c r="HF10" s="49">
        <v>0</v>
      </c>
      <c r="HG10" s="48">
        <v>79.89</v>
      </c>
      <c r="HH10" s="48">
        <v>83.12</v>
      </c>
      <c r="HI10" s="49">
        <v>0</v>
      </c>
      <c r="HJ10" s="49">
        <v>0</v>
      </c>
      <c r="HK10" s="49">
        <v>0</v>
      </c>
      <c r="HL10" s="48">
        <v>54</v>
      </c>
      <c r="HM10" s="49">
        <v>52</v>
      </c>
      <c r="HN10" s="48">
        <v>58</v>
      </c>
      <c r="HO10" s="48">
        <v>52</v>
      </c>
      <c r="HP10" s="48">
        <v>55</v>
      </c>
      <c r="HQ10" s="48">
        <v>53</v>
      </c>
      <c r="HR10" s="48">
        <v>48</v>
      </c>
      <c r="HS10" s="48">
        <v>62</v>
      </c>
      <c r="HT10" s="48">
        <v>0.22900000000000001</v>
      </c>
      <c r="HU10" s="49">
        <v>0</v>
      </c>
      <c r="HV10" s="48">
        <v>1.1319999999999999</v>
      </c>
      <c r="HW10" s="48">
        <v>40.299999999999997</v>
      </c>
      <c r="HX10" s="48">
        <v>52.16</v>
      </c>
      <c r="HY10" s="49">
        <v>51.95</v>
      </c>
      <c r="HZ10" s="49">
        <v>51.95</v>
      </c>
      <c r="IA10" s="48">
        <v>2.4470000000000001</v>
      </c>
      <c r="IB10" s="48">
        <v>93</v>
      </c>
      <c r="IC10" s="48">
        <v>14.351000000000001</v>
      </c>
      <c r="ID10" s="49">
        <v>-6.2E-2</v>
      </c>
      <c r="IE10" s="48">
        <v>-8.0000000000000002E-3</v>
      </c>
      <c r="IF10" s="48">
        <v>921.2</v>
      </c>
      <c r="IG10" s="48">
        <v>671.6</v>
      </c>
      <c r="IH10" s="48">
        <v>967.7</v>
      </c>
      <c r="II10" s="48">
        <v>701.4</v>
      </c>
      <c r="IJ10" s="49">
        <v>-3.5999999999999997E-2</v>
      </c>
      <c r="IK10" s="49">
        <v>-9.8000000000000004E-2</v>
      </c>
      <c r="IL10" s="49">
        <v>981.31100000000004</v>
      </c>
      <c r="IM10" s="49">
        <v>981.55200000000002</v>
      </c>
      <c r="IN10" s="48">
        <v>29.852</v>
      </c>
      <c r="IO10" s="48">
        <v>0.308</v>
      </c>
      <c r="IP10" s="48">
        <v>10.210000000000001</v>
      </c>
      <c r="IQ10" s="49">
        <v>1.4999999999999999E-2</v>
      </c>
      <c r="IR10" s="49">
        <v>0.03</v>
      </c>
      <c r="IS10">
        <v>0.22500000000000001</v>
      </c>
      <c r="IT10">
        <v>9.9000000000000005E-2</v>
      </c>
    </row>
    <row r="11" spans="1:254" x14ac:dyDescent="0.25">
      <c r="B11" s="2" t="s">
        <v>407</v>
      </c>
      <c r="C11" s="58" t="s">
        <v>42</v>
      </c>
      <c r="D11" s="59">
        <v>2.5340277777777778E-3</v>
      </c>
      <c r="E11" s="48">
        <v>218.98</v>
      </c>
      <c r="F11" s="48">
        <v>325.17</v>
      </c>
      <c r="G11" s="49">
        <v>5.67</v>
      </c>
      <c r="H11" s="48">
        <v>27.4</v>
      </c>
      <c r="I11" s="49">
        <v>0</v>
      </c>
      <c r="J11" s="48">
        <v>19.399999999999999</v>
      </c>
      <c r="K11" s="49">
        <v>6</v>
      </c>
      <c r="L11" s="49">
        <v>8</v>
      </c>
      <c r="M11" s="48">
        <v>8</v>
      </c>
      <c r="N11" s="49">
        <v>3</v>
      </c>
      <c r="O11" s="49">
        <v>3</v>
      </c>
      <c r="P11" s="49">
        <v>1.04</v>
      </c>
      <c r="Q11" s="48">
        <v>1.2669999999999999</v>
      </c>
      <c r="R11" s="49">
        <v>1.34</v>
      </c>
      <c r="S11" s="49">
        <v>0.93500000000000005</v>
      </c>
      <c r="T11" s="49">
        <v>67.89</v>
      </c>
      <c r="U11" s="48">
        <v>60.656999999999996</v>
      </c>
      <c r="V11" s="48">
        <v>216.66</v>
      </c>
      <c r="W11" s="48">
        <v>241.66</v>
      </c>
      <c r="X11" s="48">
        <v>213.34</v>
      </c>
      <c r="Y11" s="48">
        <v>201.66</v>
      </c>
      <c r="Z11" s="48">
        <v>404</v>
      </c>
      <c r="AA11" s="48">
        <v>434.73</v>
      </c>
      <c r="AB11" s="48">
        <v>312.82</v>
      </c>
      <c r="AC11" s="48">
        <v>312.27</v>
      </c>
      <c r="AD11" s="48">
        <v>1.6890000000000001</v>
      </c>
      <c r="AE11" s="48">
        <v>1.7490000000000001</v>
      </c>
      <c r="AF11" s="48">
        <v>1.718</v>
      </c>
      <c r="AG11" s="48">
        <v>1.706</v>
      </c>
      <c r="AH11" s="48">
        <v>74.319999999999993</v>
      </c>
      <c r="AI11" s="48">
        <v>73.48</v>
      </c>
      <c r="AJ11" s="48">
        <v>93.31</v>
      </c>
      <c r="AK11" s="48">
        <v>87</v>
      </c>
      <c r="AL11" s="49">
        <v>660.67</v>
      </c>
      <c r="AM11" s="48">
        <v>647.84199999999998</v>
      </c>
      <c r="AN11" s="48">
        <v>759.93200000000002</v>
      </c>
      <c r="AO11" s="48">
        <v>749.12300000000005</v>
      </c>
      <c r="AP11" s="48">
        <v>2.544</v>
      </c>
      <c r="AQ11" s="48">
        <v>1.9279999999999999</v>
      </c>
      <c r="AR11" s="48">
        <v>41.576999999999998</v>
      </c>
      <c r="AS11" s="48">
        <v>37.744</v>
      </c>
      <c r="AT11" s="49">
        <v>82</v>
      </c>
      <c r="AU11" s="48">
        <v>101</v>
      </c>
      <c r="AV11" s="49">
        <v>3.3365</v>
      </c>
      <c r="AW11" s="48">
        <v>5.9778000000000002</v>
      </c>
      <c r="AX11" s="48">
        <v>992</v>
      </c>
      <c r="AY11" s="48">
        <v>0.85</v>
      </c>
      <c r="AZ11" s="49">
        <v>5.29</v>
      </c>
      <c r="BA11" s="48">
        <v>96.727000000000004</v>
      </c>
      <c r="BB11" s="48">
        <v>95.728999999999999</v>
      </c>
      <c r="BC11" s="48">
        <v>7712</v>
      </c>
      <c r="BD11" s="48">
        <v>89.25</v>
      </c>
      <c r="BE11" s="48">
        <v>23.385000000000002</v>
      </c>
      <c r="BF11" s="48">
        <v>12.69</v>
      </c>
      <c r="BG11" s="49">
        <v>30.7</v>
      </c>
      <c r="BH11" s="49">
        <v>29.18</v>
      </c>
      <c r="BI11" s="3"/>
      <c r="BJ11" s="3"/>
      <c r="BK11" s="3"/>
      <c r="BL11" s="3"/>
      <c r="BM11" s="3"/>
      <c r="BN11" s="48">
        <v>91.896000000000001</v>
      </c>
      <c r="BO11" s="48">
        <v>94.456000000000003</v>
      </c>
      <c r="BP11" s="48">
        <v>116.968</v>
      </c>
      <c r="BQ11" s="48">
        <v>115.78400000000001</v>
      </c>
      <c r="BR11" s="3"/>
      <c r="BS11" s="48">
        <v>26.9</v>
      </c>
      <c r="BT11" s="48">
        <v>7427.0330000000004</v>
      </c>
      <c r="BU11" s="48">
        <v>79.781999999999996</v>
      </c>
      <c r="BV11" s="48">
        <v>63.332000000000001</v>
      </c>
      <c r="BW11" s="48">
        <v>62.201000000000001</v>
      </c>
      <c r="BX11" s="49">
        <v>67.712999999999994</v>
      </c>
      <c r="BY11" s="48">
        <v>1.425</v>
      </c>
      <c r="BZ11" s="49">
        <v>2.5609999999999999</v>
      </c>
      <c r="CA11" s="48">
        <v>3.3279999999999998</v>
      </c>
      <c r="CB11" s="49">
        <v>3.0859999999999999</v>
      </c>
      <c r="CC11" s="48">
        <v>5.702</v>
      </c>
      <c r="CD11" s="48">
        <v>2.7109999999999999</v>
      </c>
      <c r="CE11" s="49">
        <v>4.0990000000000002</v>
      </c>
      <c r="CF11" s="48">
        <v>2.395</v>
      </c>
      <c r="CG11" s="48">
        <v>13.845000000000001</v>
      </c>
      <c r="CH11" s="48">
        <v>13.692</v>
      </c>
      <c r="CI11" s="49">
        <v>4.5860000000000003</v>
      </c>
      <c r="CJ11" s="49">
        <v>4.2960000000000003</v>
      </c>
      <c r="CK11" s="49">
        <v>1.6659999999999999</v>
      </c>
      <c r="CL11" s="49">
        <v>0.2</v>
      </c>
      <c r="CM11" s="49">
        <v>0.2</v>
      </c>
      <c r="CN11" s="49">
        <v>0</v>
      </c>
      <c r="CO11" s="49">
        <v>0</v>
      </c>
      <c r="CP11" s="48">
        <v>83.33</v>
      </c>
      <c r="CQ11" s="48">
        <v>86.070999999999998</v>
      </c>
      <c r="CR11" s="48">
        <v>102.05</v>
      </c>
      <c r="CS11" s="48">
        <v>99.504000000000005</v>
      </c>
      <c r="CT11" s="49">
        <v>0.377</v>
      </c>
      <c r="CU11" s="49">
        <v>1.1040000000000001</v>
      </c>
      <c r="CV11" s="48">
        <v>0.999</v>
      </c>
      <c r="CW11" s="49">
        <v>0.7</v>
      </c>
      <c r="CX11" s="48">
        <v>0.90200000000000002</v>
      </c>
      <c r="CY11" s="48">
        <v>0.60199999999999998</v>
      </c>
      <c r="CZ11" s="48">
        <v>0.5</v>
      </c>
      <c r="DA11" s="48">
        <v>0.89900000000000002</v>
      </c>
      <c r="DB11" s="48">
        <v>1.2</v>
      </c>
      <c r="DC11" s="48">
        <v>0</v>
      </c>
      <c r="DD11" s="49">
        <v>0</v>
      </c>
      <c r="DE11" s="49">
        <v>0.42499999999999999</v>
      </c>
      <c r="DF11" s="48">
        <v>0.191</v>
      </c>
      <c r="DG11" s="49">
        <v>0.95599999999999996</v>
      </c>
      <c r="DH11" s="48">
        <v>2.8410000000000002</v>
      </c>
      <c r="DI11" s="48">
        <v>1.214</v>
      </c>
      <c r="DJ11" s="49">
        <v>0.38800000000000001</v>
      </c>
      <c r="DK11" s="49">
        <v>1.405</v>
      </c>
      <c r="DL11" s="48">
        <v>0.60599999999999998</v>
      </c>
      <c r="DM11" s="48">
        <v>0.752</v>
      </c>
      <c r="DN11" s="48">
        <v>0.73399999999999999</v>
      </c>
      <c r="DO11" s="48">
        <v>0.69799999999999995</v>
      </c>
      <c r="DP11" s="49">
        <v>66.802999999999997</v>
      </c>
      <c r="DQ11" s="48">
        <v>57.15</v>
      </c>
      <c r="DR11" s="49">
        <v>55.759</v>
      </c>
      <c r="DS11" s="49">
        <v>49.616</v>
      </c>
      <c r="DT11" s="49">
        <v>5.8</v>
      </c>
      <c r="DU11" s="49">
        <v>6.03</v>
      </c>
      <c r="DV11" s="49">
        <v>11.44</v>
      </c>
      <c r="DW11" s="49">
        <v>8.6</v>
      </c>
      <c r="DX11" s="49">
        <v>6.09</v>
      </c>
      <c r="DY11" s="49">
        <v>6.18</v>
      </c>
      <c r="DZ11" s="49">
        <v>11.15</v>
      </c>
      <c r="EA11" s="49">
        <v>8.39</v>
      </c>
      <c r="EB11" s="48">
        <v>42.36</v>
      </c>
      <c r="EC11" s="48">
        <v>41.49</v>
      </c>
      <c r="ED11" s="49">
        <v>34.619999999999997</v>
      </c>
      <c r="EE11" s="49">
        <v>37.06</v>
      </c>
      <c r="EF11" s="48">
        <v>45.75</v>
      </c>
      <c r="EG11" s="48">
        <v>46.3</v>
      </c>
      <c r="EH11" s="48">
        <v>42.79</v>
      </c>
      <c r="EI11" s="48">
        <v>45.95</v>
      </c>
      <c r="EJ11" s="48">
        <v>5.8840000000000003</v>
      </c>
      <c r="EK11" s="49">
        <v>59.991</v>
      </c>
      <c r="EL11" s="48">
        <v>0.7</v>
      </c>
      <c r="EM11" s="49">
        <v>0.3</v>
      </c>
      <c r="EN11" s="48">
        <v>0.88</v>
      </c>
      <c r="EO11" s="48">
        <v>0.88</v>
      </c>
      <c r="EP11" s="48">
        <v>-108.85</v>
      </c>
      <c r="EQ11" s="48">
        <v>-2.7280000000000002</v>
      </c>
      <c r="ER11" s="48">
        <v>91.754000000000005</v>
      </c>
      <c r="ES11" s="49">
        <v>1.571</v>
      </c>
      <c r="ET11" s="49">
        <v>1.645</v>
      </c>
      <c r="EU11" s="49">
        <v>1.512</v>
      </c>
      <c r="EV11" s="49">
        <v>7.8959999999999999</v>
      </c>
      <c r="EW11" s="48">
        <v>2.819</v>
      </c>
      <c r="EX11" s="49">
        <v>70.16</v>
      </c>
      <c r="EY11" s="49">
        <v>0</v>
      </c>
      <c r="EZ11" s="49">
        <v>22.681000000000001</v>
      </c>
      <c r="FA11" s="49">
        <v>0</v>
      </c>
      <c r="FB11" s="48">
        <v>9.093</v>
      </c>
      <c r="FC11" s="48">
        <v>58.655999999999999</v>
      </c>
      <c r="FD11" s="48">
        <v>56.905999999999999</v>
      </c>
      <c r="FE11" s="48">
        <v>67.478999999999999</v>
      </c>
      <c r="FF11" s="48">
        <v>64.132999999999996</v>
      </c>
      <c r="FG11" s="48">
        <v>0.871</v>
      </c>
      <c r="FH11" s="48">
        <v>0.872</v>
      </c>
      <c r="FI11" s="48">
        <v>0.95699999999999996</v>
      </c>
      <c r="FJ11" s="48">
        <v>0.95399999999999996</v>
      </c>
      <c r="FK11" s="48">
        <v>0</v>
      </c>
      <c r="FL11" s="49">
        <v>83</v>
      </c>
      <c r="FM11" s="48">
        <v>2.34</v>
      </c>
      <c r="FN11" s="48">
        <v>1</v>
      </c>
      <c r="FO11" s="49">
        <v>5.27</v>
      </c>
      <c r="FP11" s="3"/>
      <c r="FQ11" s="48">
        <v>4.5999999999999996</v>
      </c>
      <c r="FR11" s="48">
        <v>5.15</v>
      </c>
      <c r="FS11" s="48">
        <v>7.0345000000000004</v>
      </c>
      <c r="FT11" s="48">
        <v>1077.3</v>
      </c>
      <c r="FU11" s="48">
        <v>7.51</v>
      </c>
      <c r="FV11" s="48">
        <v>14.24</v>
      </c>
      <c r="FW11" s="48">
        <v>3156.5</v>
      </c>
      <c r="FX11" s="49">
        <v>172700</v>
      </c>
      <c r="FY11" s="49">
        <v>172200</v>
      </c>
      <c r="FZ11" s="48">
        <v>47.186</v>
      </c>
      <c r="GA11" s="48">
        <v>45.820999999999998</v>
      </c>
      <c r="GB11" s="49">
        <v>2167.4</v>
      </c>
      <c r="GC11" s="49">
        <v>2153</v>
      </c>
      <c r="GD11" s="49">
        <v>2341.4</v>
      </c>
      <c r="GE11" s="48">
        <v>2226.6</v>
      </c>
      <c r="GF11" s="49">
        <v>1416.8280999999999</v>
      </c>
      <c r="GG11" s="48">
        <v>26</v>
      </c>
      <c r="GH11" s="48">
        <v>26.5</v>
      </c>
      <c r="GI11" s="48">
        <v>48.9</v>
      </c>
      <c r="GJ11" s="48">
        <v>54.2</v>
      </c>
      <c r="GK11" s="48">
        <v>99.5</v>
      </c>
      <c r="GL11" s="48">
        <v>90.5</v>
      </c>
      <c r="GM11" s="49">
        <v>0</v>
      </c>
      <c r="GN11" s="49">
        <v>22.244</v>
      </c>
      <c r="GO11" s="48">
        <v>108.85</v>
      </c>
      <c r="GP11" s="48">
        <v>0.94399999999999995</v>
      </c>
      <c r="GQ11" s="48">
        <v>1.8879999999999999</v>
      </c>
      <c r="GR11" s="48">
        <v>1.298</v>
      </c>
      <c r="GS11" s="48">
        <v>2.0059999999999998</v>
      </c>
      <c r="GT11" s="48">
        <v>0.70799999999999996</v>
      </c>
      <c r="GU11" s="48">
        <v>1.8879999999999999</v>
      </c>
      <c r="GV11" s="48">
        <v>12.544</v>
      </c>
      <c r="GW11" s="49">
        <v>13.928000000000001</v>
      </c>
      <c r="GX11" s="48">
        <v>15.778</v>
      </c>
      <c r="GY11" s="49">
        <v>0</v>
      </c>
      <c r="GZ11" s="49">
        <v>0</v>
      </c>
      <c r="HA11" s="49">
        <v>0</v>
      </c>
      <c r="HB11" s="48">
        <v>0</v>
      </c>
      <c r="HC11" s="48">
        <v>23.606000000000002</v>
      </c>
      <c r="HD11" s="48">
        <v>90</v>
      </c>
      <c r="HE11" s="49">
        <v>0</v>
      </c>
      <c r="HF11" s="49">
        <v>0</v>
      </c>
      <c r="HG11" s="49">
        <v>84.12</v>
      </c>
      <c r="HH11" s="49">
        <v>83.32</v>
      </c>
      <c r="HI11" s="49">
        <v>0</v>
      </c>
      <c r="HJ11" s="49">
        <v>0</v>
      </c>
      <c r="HK11" s="49">
        <v>0</v>
      </c>
      <c r="HL11" s="48">
        <v>60</v>
      </c>
      <c r="HM11" s="48">
        <v>51</v>
      </c>
      <c r="HN11" s="48">
        <v>60</v>
      </c>
      <c r="HO11" s="48">
        <v>54</v>
      </c>
      <c r="HP11" s="48">
        <v>57</v>
      </c>
      <c r="HQ11" s="48">
        <v>55</v>
      </c>
      <c r="HR11" s="48">
        <v>48</v>
      </c>
      <c r="HS11" s="49">
        <v>70</v>
      </c>
      <c r="HT11" s="48">
        <v>0.19950000000000001</v>
      </c>
      <c r="HU11" s="49">
        <v>0</v>
      </c>
      <c r="HV11" s="49">
        <v>1.3839999999999999</v>
      </c>
      <c r="HW11" s="49">
        <v>39.68</v>
      </c>
      <c r="HX11" s="49">
        <v>45.96</v>
      </c>
      <c r="HY11" s="48">
        <v>50.94</v>
      </c>
      <c r="HZ11" s="48">
        <v>50.94</v>
      </c>
      <c r="IA11" s="49">
        <v>2.7029999999999998</v>
      </c>
      <c r="IB11" s="49">
        <v>103</v>
      </c>
      <c r="IC11" s="48">
        <v>21.7</v>
      </c>
      <c r="ID11" s="48">
        <v>-9.5000000000000001E-2</v>
      </c>
      <c r="IE11" s="49">
        <v>3.5999999999999997E-2</v>
      </c>
      <c r="IF11" s="49">
        <v>921.8</v>
      </c>
      <c r="IG11" s="49">
        <v>800.9</v>
      </c>
      <c r="IH11" s="49">
        <v>987.8</v>
      </c>
      <c r="II11" s="49">
        <v>831</v>
      </c>
      <c r="IJ11" s="48">
        <v>-7.3999999999999996E-2</v>
      </c>
      <c r="IK11" s="48">
        <v>-0.23300000000000001</v>
      </c>
      <c r="IL11" s="48">
        <v>45.17</v>
      </c>
      <c r="IM11" s="48">
        <v>45.17</v>
      </c>
      <c r="IN11" s="48">
        <v>30.062000000000001</v>
      </c>
      <c r="IO11" s="49">
        <v>0.63300000000000001</v>
      </c>
      <c r="IP11" s="48">
        <v>13.13</v>
      </c>
      <c r="IQ11" s="48">
        <v>1.2E-2</v>
      </c>
      <c r="IR11" s="48">
        <v>3.0000000000000001E-3</v>
      </c>
      <c r="IS11">
        <v>0.23700000000000002</v>
      </c>
      <c r="IT11">
        <v>0.10200000000000001</v>
      </c>
    </row>
    <row r="12" spans="1:254" x14ac:dyDescent="0.25">
      <c r="B12" s="2" t="s">
        <v>407</v>
      </c>
      <c r="C12" s="2" t="s">
        <v>43</v>
      </c>
      <c r="D12" s="57">
        <v>2.8784722222222219E-3</v>
      </c>
      <c r="E12" s="48">
        <v>248.696</v>
      </c>
      <c r="F12" s="49">
        <v>330.04</v>
      </c>
      <c r="G12" s="48">
        <v>5.65</v>
      </c>
      <c r="H12" s="49">
        <v>28.1</v>
      </c>
      <c r="I12" s="49">
        <v>0</v>
      </c>
      <c r="J12" s="48">
        <v>18.100000000000001</v>
      </c>
      <c r="K12" s="49">
        <v>6</v>
      </c>
      <c r="L12" s="49">
        <v>8</v>
      </c>
      <c r="M12" s="48">
        <v>8</v>
      </c>
      <c r="N12" s="49">
        <v>3</v>
      </c>
      <c r="O12" s="49">
        <v>3</v>
      </c>
      <c r="P12" s="48">
        <v>0.85799999999999998</v>
      </c>
      <c r="Q12" s="48">
        <v>1.17</v>
      </c>
      <c r="R12" s="48">
        <v>1.0069999999999999</v>
      </c>
      <c r="S12" s="48">
        <v>0.92500000000000004</v>
      </c>
      <c r="T12" s="48">
        <v>67.53</v>
      </c>
      <c r="U12" s="48">
        <v>60.503999999999998</v>
      </c>
      <c r="V12" s="48">
        <v>238.34</v>
      </c>
      <c r="W12" s="48">
        <v>273.33999999999997</v>
      </c>
      <c r="X12" s="48">
        <v>241.66</v>
      </c>
      <c r="Y12" s="48">
        <v>258.33999999999997</v>
      </c>
      <c r="Z12" s="49">
        <v>414.13</v>
      </c>
      <c r="AA12" s="49">
        <v>441.46</v>
      </c>
      <c r="AB12" s="49">
        <v>346.62</v>
      </c>
      <c r="AC12" s="49">
        <v>371.29</v>
      </c>
      <c r="AD12" s="49">
        <v>1.736</v>
      </c>
      <c r="AE12" s="49">
        <v>1.7969999999999999</v>
      </c>
      <c r="AF12" s="49">
        <v>1.804</v>
      </c>
      <c r="AG12" s="49">
        <v>1.7989999999999999</v>
      </c>
      <c r="AH12" s="49">
        <v>78.2</v>
      </c>
      <c r="AI12" s="49">
        <v>78.599999999999994</v>
      </c>
      <c r="AJ12" s="49">
        <v>102.45</v>
      </c>
      <c r="AK12" s="49">
        <v>96.74</v>
      </c>
      <c r="AL12" s="48">
        <v>651.93600000000004</v>
      </c>
      <c r="AM12" s="49">
        <v>655.99</v>
      </c>
      <c r="AN12" s="49">
        <v>794.59199999999998</v>
      </c>
      <c r="AO12" s="49">
        <v>789.39800000000002</v>
      </c>
      <c r="AP12" s="49">
        <v>2.6160000000000001</v>
      </c>
      <c r="AQ12" s="49">
        <v>1.956</v>
      </c>
      <c r="AR12" s="48">
        <v>42.406999999999996</v>
      </c>
      <c r="AS12" s="49">
        <v>37.784999999999997</v>
      </c>
      <c r="AT12" s="49">
        <v>82</v>
      </c>
      <c r="AU12" s="49">
        <v>106</v>
      </c>
      <c r="AV12" s="48">
        <v>3.3574999999999999</v>
      </c>
      <c r="AW12" s="48">
        <v>5.7744</v>
      </c>
      <c r="AX12" s="49">
        <v>993.6</v>
      </c>
      <c r="AY12" s="48">
        <v>0.84</v>
      </c>
      <c r="AZ12" s="48">
        <v>5.75</v>
      </c>
      <c r="BA12" s="48">
        <v>69.153999999999996</v>
      </c>
      <c r="BB12" s="49">
        <v>69.400000000000006</v>
      </c>
      <c r="BC12" s="49">
        <v>7847</v>
      </c>
      <c r="BD12" s="49">
        <v>90</v>
      </c>
      <c r="BE12" s="49">
        <v>24.36</v>
      </c>
      <c r="BF12" s="49">
        <v>13.645</v>
      </c>
      <c r="BG12" s="48">
        <v>30.11</v>
      </c>
      <c r="BH12" s="48">
        <v>28.76</v>
      </c>
      <c r="BI12" s="49">
        <v>66.117999999999995</v>
      </c>
      <c r="BJ12" s="49">
        <v>77.69</v>
      </c>
      <c r="BK12" s="49">
        <v>64.894999999999996</v>
      </c>
      <c r="BL12" s="49">
        <v>75.884</v>
      </c>
      <c r="BM12" s="49">
        <v>75.796000000000006</v>
      </c>
      <c r="BN12" s="49">
        <v>107.52800000000001</v>
      </c>
      <c r="BO12" s="49">
        <v>110.36</v>
      </c>
      <c r="BP12" s="49">
        <v>144.84</v>
      </c>
      <c r="BQ12" s="49">
        <v>141.68799999999999</v>
      </c>
      <c r="BR12" s="49">
        <v>60.207000000000001</v>
      </c>
      <c r="BS12" s="49">
        <v>27.7</v>
      </c>
      <c r="BT12" s="49">
        <v>7444.3609999999999</v>
      </c>
      <c r="BU12" s="48">
        <v>81.096999999999994</v>
      </c>
      <c r="BV12" s="48">
        <v>65.378</v>
      </c>
      <c r="BW12" s="48">
        <v>59.012</v>
      </c>
      <c r="BX12" s="48">
        <v>64.213999999999999</v>
      </c>
      <c r="BY12" s="49">
        <v>1.4910000000000001</v>
      </c>
      <c r="BZ12" s="48">
        <v>2.5299999999999998</v>
      </c>
      <c r="CA12" s="49">
        <v>3.4009999999999998</v>
      </c>
      <c r="CB12" s="48">
        <v>3.0640000000000001</v>
      </c>
      <c r="CC12" s="49">
        <v>6.2549999999999999</v>
      </c>
      <c r="CD12" s="49">
        <v>2.7149999999999999</v>
      </c>
      <c r="CE12" s="48">
        <v>3.9119999999999999</v>
      </c>
      <c r="CF12" s="48">
        <v>2.1949999999999998</v>
      </c>
      <c r="CG12" s="49">
        <v>13.852</v>
      </c>
      <c r="CH12" s="48">
        <v>13.445</v>
      </c>
      <c r="CI12" s="3"/>
      <c r="CJ12" s="3"/>
      <c r="CK12" s="3"/>
      <c r="CL12" s="49">
        <v>0.2</v>
      </c>
      <c r="CM12" s="48">
        <v>0.1</v>
      </c>
      <c r="CN12" s="49">
        <v>0</v>
      </c>
      <c r="CO12" s="49">
        <v>0</v>
      </c>
      <c r="CP12" s="49">
        <v>92.268000000000001</v>
      </c>
      <c r="CQ12" s="49">
        <v>95.259</v>
      </c>
      <c r="CR12" s="49">
        <v>123.622</v>
      </c>
      <c r="CS12" s="49">
        <v>125.325</v>
      </c>
      <c r="CT12" s="48">
        <v>0.36299999999999999</v>
      </c>
      <c r="CU12" s="48">
        <v>0.69899999999999995</v>
      </c>
      <c r="CV12" s="48">
        <v>0.999</v>
      </c>
      <c r="CW12" s="48">
        <v>0.40100000000000002</v>
      </c>
      <c r="CX12" s="48">
        <v>1.1950000000000001</v>
      </c>
      <c r="CY12" s="48">
        <v>0.79900000000000004</v>
      </c>
      <c r="CZ12" s="48">
        <v>0.59899999999999998</v>
      </c>
      <c r="DA12" s="48">
        <v>0.59899999999999998</v>
      </c>
      <c r="DB12" s="48">
        <v>0.39800000000000002</v>
      </c>
      <c r="DC12" s="48">
        <v>0</v>
      </c>
      <c r="DD12" s="49">
        <v>0</v>
      </c>
      <c r="DE12" s="48">
        <v>0.32100000000000001</v>
      </c>
      <c r="DF12" s="49">
        <v>0.20799999999999999</v>
      </c>
      <c r="DG12" s="48">
        <v>0.38100000000000001</v>
      </c>
      <c r="DH12" s="48">
        <v>1.9450000000000001</v>
      </c>
      <c r="DI12" s="48">
        <v>1.022</v>
      </c>
      <c r="DJ12" s="48">
        <v>0.29599999999999999</v>
      </c>
      <c r="DK12" s="48">
        <v>1.357</v>
      </c>
      <c r="DL12" s="49">
        <v>0.61199999999999999</v>
      </c>
      <c r="DM12" s="48">
        <v>0.755</v>
      </c>
      <c r="DN12" s="49">
        <v>0.75700000000000001</v>
      </c>
      <c r="DO12" s="48">
        <v>0.68700000000000006</v>
      </c>
      <c r="DP12" s="48">
        <v>64.134</v>
      </c>
      <c r="DQ12" s="48">
        <v>55.534999999999997</v>
      </c>
      <c r="DR12" s="48">
        <v>54.06</v>
      </c>
      <c r="DS12" s="48">
        <v>49.064</v>
      </c>
      <c r="DT12" s="48">
        <v>5.35</v>
      </c>
      <c r="DU12" s="48">
        <v>5.79</v>
      </c>
      <c r="DV12" s="48">
        <v>10.95</v>
      </c>
      <c r="DW12" s="48">
        <v>8.16</v>
      </c>
      <c r="DX12" s="48">
        <v>5.58</v>
      </c>
      <c r="DY12" s="48">
        <v>5.96</v>
      </c>
      <c r="DZ12" s="48">
        <v>10.51</v>
      </c>
      <c r="EA12" s="48">
        <v>8.0299999999999994</v>
      </c>
      <c r="EB12" s="49">
        <v>42.77</v>
      </c>
      <c r="EC12" s="49">
        <v>41.56</v>
      </c>
      <c r="ED12" s="48">
        <v>34.200000000000003</v>
      </c>
      <c r="EE12" s="48">
        <v>36.47</v>
      </c>
      <c r="EF12" s="48">
        <v>46.29</v>
      </c>
      <c r="EG12" s="48">
        <v>46.68</v>
      </c>
      <c r="EH12" s="48">
        <v>44.33</v>
      </c>
      <c r="EI12" s="48">
        <v>47.33</v>
      </c>
      <c r="EJ12" s="49">
        <v>6.6360000000000001</v>
      </c>
      <c r="EK12" s="48">
        <v>59.844000000000001</v>
      </c>
      <c r="EL12" s="48">
        <v>0.65</v>
      </c>
      <c r="EM12" s="49">
        <v>0.3</v>
      </c>
      <c r="EN12" s="48">
        <v>0.9</v>
      </c>
      <c r="EO12" s="48">
        <v>0.9</v>
      </c>
      <c r="EP12" s="48">
        <v>-104.178</v>
      </c>
      <c r="EQ12" s="48">
        <v>-2.431</v>
      </c>
      <c r="ER12" s="48">
        <v>100.22199999999999</v>
      </c>
      <c r="ES12" s="48">
        <v>1.5249999999999999</v>
      </c>
      <c r="ET12" s="48">
        <v>1.633</v>
      </c>
      <c r="EU12" s="48">
        <v>1.4810000000000001</v>
      </c>
      <c r="EV12" s="48">
        <v>7.6509999999999998</v>
      </c>
      <c r="EW12" s="49">
        <v>3.08</v>
      </c>
      <c r="EX12" s="48">
        <v>69.099999999999994</v>
      </c>
      <c r="EY12" s="49">
        <v>0</v>
      </c>
      <c r="EZ12" s="48">
        <v>0.99099999999999999</v>
      </c>
      <c r="FA12" s="49">
        <v>0</v>
      </c>
      <c r="FB12" s="49">
        <v>9.1760000000000002</v>
      </c>
      <c r="FC12" s="49">
        <v>66.212999999999994</v>
      </c>
      <c r="FD12" s="49">
        <v>64.942999999999998</v>
      </c>
      <c r="FE12" s="49">
        <v>78.116</v>
      </c>
      <c r="FF12" s="49">
        <v>74.483000000000004</v>
      </c>
      <c r="FG12" s="48">
        <v>0.89200000000000002</v>
      </c>
      <c r="FH12" s="48">
        <v>0.89200000000000002</v>
      </c>
      <c r="FI12" s="48">
        <v>0.95899999999999996</v>
      </c>
      <c r="FJ12" s="48">
        <v>0.95699999999999996</v>
      </c>
      <c r="FK12" s="48">
        <v>0</v>
      </c>
      <c r="FL12" s="49">
        <v>83</v>
      </c>
      <c r="FM12" s="48">
        <v>2.31</v>
      </c>
      <c r="FN12" s="48">
        <v>0.54</v>
      </c>
      <c r="FO12" s="48">
        <v>5.66</v>
      </c>
      <c r="FP12" s="48">
        <v>3.35</v>
      </c>
      <c r="FQ12" s="48">
        <v>4.3</v>
      </c>
      <c r="FR12" s="49">
        <v>5.0999999999999996</v>
      </c>
      <c r="FS12" s="48">
        <v>7.0780000000000003</v>
      </c>
      <c r="FT12" s="49">
        <v>1079.9000000000001</v>
      </c>
      <c r="FU12" s="49">
        <v>7.85</v>
      </c>
      <c r="FV12" s="49">
        <v>19.89</v>
      </c>
      <c r="FW12" s="49">
        <v>3207.5</v>
      </c>
      <c r="FX12" s="48">
        <v>162900</v>
      </c>
      <c r="FY12" s="48">
        <v>163100</v>
      </c>
      <c r="FZ12" s="48">
        <v>47.582000000000001</v>
      </c>
      <c r="GA12" s="48">
        <v>46.113</v>
      </c>
      <c r="GB12" s="48">
        <v>2146.5</v>
      </c>
      <c r="GC12" s="48">
        <v>2129.3000000000002</v>
      </c>
      <c r="GD12" s="48">
        <v>2248.1</v>
      </c>
      <c r="GE12" s="49">
        <v>2248.8000000000002</v>
      </c>
      <c r="GF12" s="48">
        <v>1267.4375</v>
      </c>
      <c r="GG12" s="48">
        <v>27</v>
      </c>
      <c r="GH12" s="48">
        <v>27.3</v>
      </c>
      <c r="GI12" s="48">
        <v>46.3</v>
      </c>
      <c r="GJ12" s="48">
        <v>52.2</v>
      </c>
      <c r="GK12" s="48">
        <v>99.5</v>
      </c>
      <c r="GL12" s="49">
        <v>91.1</v>
      </c>
      <c r="GM12" s="49">
        <v>0</v>
      </c>
      <c r="GN12" s="48">
        <v>21.088000000000001</v>
      </c>
      <c r="GO12" s="48">
        <v>104.178</v>
      </c>
      <c r="GP12" s="49">
        <v>0</v>
      </c>
      <c r="GQ12" s="48">
        <v>1.8879999999999999</v>
      </c>
      <c r="GR12" s="49">
        <v>0</v>
      </c>
      <c r="GS12" s="48">
        <v>2.0649999999999999</v>
      </c>
      <c r="GT12" s="49">
        <v>0</v>
      </c>
      <c r="GU12" s="48">
        <v>1.8879999999999999</v>
      </c>
      <c r="GV12" s="49">
        <v>0</v>
      </c>
      <c r="GW12" s="48">
        <v>13.818</v>
      </c>
      <c r="GX12" s="48">
        <v>14.994</v>
      </c>
      <c r="GY12" s="49">
        <v>0</v>
      </c>
      <c r="GZ12" s="49">
        <v>0</v>
      </c>
      <c r="HA12" s="49">
        <v>0</v>
      </c>
      <c r="HB12" s="48">
        <v>0</v>
      </c>
      <c r="HC12" s="48">
        <v>24.215</v>
      </c>
      <c r="HD12" s="49">
        <v>98</v>
      </c>
      <c r="HE12" s="49">
        <v>0</v>
      </c>
      <c r="HF12" s="49">
        <v>0</v>
      </c>
      <c r="HG12" s="48">
        <v>83.56</v>
      </c>
      <c r="HH12" s="48">
        <v>82.88</v>
      </c>
      <c r="HI12" s="49">
        <v>0</v>
      </c>
      <c r="HJ12" s="49">
        <v>0</v>
      </c>
      <c r="HK12" s="49">
        <v>0</v>
      </c>
      <c r="HL12" s="49">
        <v>63</v>
      </c>
      <c r="HM12" s="48">
        <v>51</v>
      </c>
      <c r="HN12" s="49">
        <v>62</v>
      </c>
      <c r="HO12" s="49">
        <v>56</v>
      </c>
      <c r="HP12" s="49">
        <v>59</v>
      </c>
      <c r="HQ12" s="49">
        <v>57</v>
      </c>
      <c r="HR12" s="49">
        <v>49</v>
      </c>
      <c r="HS12" s="48">
        <v>62</v>
      </c>
      <c r="HT12" s="49">
        <v>0.1925</v>
      </c>
      <c r="HU12" s="49">
        <v>0</v>
      </c>
      <c r="HV12" s="48">
        <v>1.2549999999999999</v>
      </c>
      <c r="HW12" s="49">
        <v>39.68</v>
      </c>
      <c r="HX12" s="49">
        <v>45.96</v>
      </c>
      <c r="HY12" s="3"/>
      <c r="HZ12" s="3"/>
      <c r="IA12" s="48">
        <v>2.6509999999999998</v>
      </c>
      <c r="IB12" s="49">
        <v>103</v>
      </c>
      <c r="IC12" s="49">
        <v>22.167999999999999</v>
      </c>
      <c r="ID12" s="48">
        <v>-0.10299999999999999</v>
      </c>
      <c r="IE12" s="48">
        <v>3.5000000000000003E-2</v>
      </c>
      <c r="IF12" s="48">
        <v>914.1</v>
      </c>
      <c r="IG12" s="48">
        <v>787.9</v>
      </c>
      <c r="IH12" s="48">
        <v>973.7</v>
      </c>
      <c r="II12" s="48">
        <v>818.8</v>
      </c>
      <c r="IJ12" s="48">
        <v>-7.0999999999999994E-2</v>
      </c>
      <c r="IK12" s="48">
        <v>-0.25900000000000001</v>
      </c>
      <c r="IL12" s="48">
        <v>49.588000000000001</v>
      </c>
      <c r="IM12" s="48">
        <v>49.588000000000001</v>
      </c>
      <c r="IN12" s="49">
        <v>30.88</v>
      </c>
      <c r="IO12" s="48">
        <v>0.56599999999999995</v>
      </c>
      <c r="IP12" s="49">
        <v>14.62</v>
      </c>
      <c r="IQ12" s="48">
        <v>0</v>
      </c>
      <c r="IR12" s="48">
        <v>0</v>
      </c>
      <c r="IS12">
        <v>0.23700000000000002</v>
      </c>
      <c r="IT12">
        <v>0.10200000000000001</v>
      </c>
    </row>
    <row r="13" spans="1:254" x14ac:dyDescent="0.25">
      <c r="IS13">
        <v>0.23700000000000002</v>
      </c>
      <c r="IT13">
        <v>0.10200000000000001</v>
      </c>
    </row>
    <row r="14" spans="1:254" x14ac:dyDescent="0.25">
      <c r="IS14">
        <v>0.23700000000000002</v>
      </c>
      <c r="IT14">
        <v>0.10200000000000001</v>
      </c>
    </row>
    <row r="15" spans="1:254" x14ac:dyDescent="0.25">
      <c r="IS15">
        <v>0.23700000000000002</v>
      </c>
      <c r="IT15">
        <v>0.10200000000000001</v>
      </c>
    </row>
    <row r="16" spans="1:254" x14ac:dyDescent="0.25">
      <c r="B16" s="2" t="s">
        <v>407</v>
      </c>
      <c r="C16" s="2" t="s">
        <v>41</v>
      </c>
      <c r="D16" s="57">
        <v>3.3505787037037033E-3</v>
      </c>
      <c r="E16" s="49">
        <v>289.495</v>
      </c>
      <c r="F16" s="48">
        <v>325.08999999999997</v>
      </c>
      <c r="G16" s="48">
        <v>5.71</v>
      </c>
      <c r="H16" s="48">
        <v>28</v>
      </c>
      <c r="I16" s="49">
        <v>0.16</v>
      </c>
      <c r="J16" s="49">
        <v>20.5</v>
      </c>
      <c r="K16" s="49">
        <v>6</v>
      </c>
      <c r="L16" s="49">
        <v>9</v>
      </c>
      <c r="M16" s="49">
        <v>8</v>
      </c>
      <c r="N16" s="49">
        <v>3</v>
      </c>
      <c r="O16" s="49">
        <v>3</v>
      </c>
      <c r="P16" s="48">
        <v>0.90500000000000003</v>
      </c>
      <c r="Q16" s="48">
        <v>1.1539999999999999</v>
      </c>
      <c r="R16" s="49">
        <v>1.052</v>
      </c>
      <c r="S16" s="49">
        <v>0.86699999999999999</v>
      </c>
      <c r="T16" s="48">
        <v>73.45</v>
      </c>
      <c r="U16" s="49">
        <v>60.786999999999999</v>
      </c>
      <c r="V16" s="49">
        <v>172.5</v>
      </c>
      <c r="W16" s="49">
        <v>201.66</v>
      </c>
      <c r="X16" s="49">
        <v>208.34</v>
      </c>
      <c r="Y16" s="49">
        <v>201.66</v>
      </c>
      <c r="Z16" s="48">
        <v>354.96</v>
      </c>
      <c r="AA16" s="48">
        <v>389.16</v>
      </c>
      <c r="AB16" s="48">
        <v>323.3</v>
      </c>
      <c r="AC16" s="48">
        <v>333.48</v>
      </c>
      <c r="AD16" s="48">
        <v>1.7030000000000001</v>
      </c>
      <c r="AE16" s="48">
        <v>1.7709999999999999</v>
      </c>
      <c r="AF16" s="48">
        <v>1.7709999999999999</v>
      </c>
      <c r="AG16" s="48">
        <v>1.77</v>
      </c>
      <c r="AH16" s="48">
        <v>68.03</v>
      </c>
      <c r="AI16" s="48">
        <v>69.78</v>
      </c>
      <c r="AJ16" s="48">
        <v>92.58</v>
      </c>
      <c r="AK16" s="48">
        <v>88.23</v>
      </c>
      <c r="AL16" s="48">
        <v>612.56700000000001</v>
      </c>
      <c r="AM16" s="48">
        <v>605.47299999999996</v>
      </c>
      <c r="AN16" s="48">
        <v>735.97</v>
      </c>
      <c r="AO16" s="48">
        <v>763.529</v>
      </c>
      <c r="AP16" s="48">
        <v>2.5249999999999999</v>
      </c>
      <c r="AQ16" s="48">
        <v>1.865</v>
      </c>
      <c r="AR16" s="48">
        <v>42.89</v>
      </c>
      <c r="AS16" s="48">
        <v>38.753999999999998</v>
      </c>
      <c r="AT16" s="49">
        <v>84</v>
      </c>
      <c r="AU16" s="48">
        <v>105</v>
      </c>
      <c r="AV16" s="48">
        <v>3.2925</v>
      </c>
      <c r="AW16" s="48">
        <v>5.7693000000000003</v>
      </c>
      <c r="AX16" s="49">
        <v>997.9</v>
      </c>
      <c r="AY16" s="49">
        <v>0.97</v>
      </c>
      <c r="AZ16" s="49">
        <v>5.64</v>
      </c>
      <c r="BA16" s="49">
        <v>64.611999999999995</v>
      </c>
      <c r="BB16" s="49">
        <v>66.805999999999997</v>
      </c>
      <c r="BC16" s="48">
        <v>7672</v>
      </c>
      <c r="BD16" s="48">
        <v>88.5</v>
      </c>
      <c r="BE16" s="48">
        <v>22.38</v>
      </c>
      <c r="BF16" s="48">
        <v>12.34</v>
      </c>
      <c r="BG16" s="48">
        <v>30.56</v>
      </c>
      <c r="BH16" s="48">
        <v>30.13</v>
      </c>
      <c r="BI16" s="48">
        <v>65.308000000000007</v>
      </c>
      <c r="BJ16" s="48">
        <v>76.453000000000003</v>
      </c>
      <c r="BK16" s="48">
        <v>64.129000000000005</v>
      </c>
      <c r="BL16" s="48">
        <v>74.724999999999994</v>
      </c>
      <c r="BM16" s="48">
        <v>74.617000000000004</v>
      </c>
      <c r="BN16" s="49">
        <v>124.152</v>
      </c>
      <c r="BO16" s="49">
        <v>129.208</v>
      </c>
      <c r="BP16" s="48">
        <v>146.44</v>
      </c>
      <c r="BQ16" s="48">
        <v>144.744</v>
      </c>
      <c r="BR16" s="48">
        <v>58.405000000000001</v>
      </c>
      <c r="BS16" s="48">
        <v>27.8</v>
      </c>
      <c r="BT16" s="48">
        <v>7210.585</v>
      </c>
      <c r="BU16" s="49">
        <v>81.722999999999999</v>
      </c>
      <c r="BV16" s="49">
        <v>66.31</v>
      </c>
      <c r="BW16" s="49">
        <v>65.5</v>
      </c>
      <c r="BX16" s="48">
        <v>60.637</v>
      </c>
      <c r="BY16" s="49">
        <v>1.4490000000000001</v>
      </c>
      <c r="BZ16" s="48">
        <v>2.6349999999999998</v>
      </c>
      <c r="CA16" s="48">
        <v>3.3839999999999999</v>
      </c>
      <c r="CB16" s="48">
        <v>2.86</v>
      </c>
      <c r="CC16" s="48">
        <v>5.8630000000000004</v>
      </c>
      <c r="CD16" s="48">
        <v>2.3420000000000001</v>
      </c>
      <c r="CE16" s="48">
        <v>3.7250000000000001</v>
      </c>
      <c r="CF16" s="49">
        <v>2.1819999999999999</v>
      </c>
      <c r="CG16" s="48">
        <v>13.72</v>
      </c>
      <c r="CH16" s="49">
        <v>9.7929999999999993</v>
      </c>
      <c r="CI16" s="49">
        <v>4.0709999999999997</v>
      </c>
      <c r="CJ16" s="48">
        <v>3.4649999999999999</v>
      </c>
      <c r="CK16" s="49">
        <v>1.3009999999999999</v>
      </c>
      <c r="CL16" s="48">
        <v>0</v>
      </c>
      <c r="CM16" s="48">
        <v>0</v>
      </c>
      <c r="CN16" s="49">
        <v>0</v>
      </c>
      <c r="CO16" s="49">
        <v>0</v>
      </c>
      <c r="CP16" s="49">
        <v>97.998000000000005</v>
      </c>
      <c r="CQ16" s="49">
        <v>101.116</v>
      </c>
      <c r="CR16" s="48">
        <v>131.78200000000001</v>
      </c>
      <c r="CS16" s="48">
        <v>131.024</v>
      </c>
      <c r="CT16" s="48">
        <v>0.36</v>
      </c>
      <c r="CU16" s="49">
        <v>1.2</v>
      </c>
      <c r="CV16" s="48">
        <v>0.7</v>
      </c>
      <c r="CW16" s="49">
        <v>0.999</v>
      </c>
      <c r="CX16" s="49">
        <v>1.196</v>
      </c>
      <c r="CY16" s="49">
        <v>1.595</v>
      </c>
      <c r="CZ16" s="49">
        <v>1.196</v>
      </c>
      <c r="DA16" s="49">
        <v>0.89800000000000002</v>
      </c>
      <c r="DB16" s="48">
        <v>1.494</v>
      </c>
      <c r="DC16" s="49">
        <v>0</v>
      </c>
      <c r="DD16" s="49">
        <v>0</v>
      </c>
      <c r="DE16" s="48">
        <v>0.27200000000000002</v>
      </c>
      <c r="DF16" s="48">
        <v>0.128</v>
      </c>
      <c r="DG16" s="48">
        <v>0.17899999999999999</v>
      </c>
      <c r="DH16" s="48">
        <v>1.6240000000000001</v>
      </c>
      <c r="DI16" s="48">
        <v>0.94299999999999995</v>
      </c>
      <c r="DJ16" s="48">
        <v>0.27</v>
      </c>
      <c r="DK16" s="48">
        <v>1.016</v>
      </c>
      <c r="DL16" s="48">
        <v>0.60699999999999998</v>
      </c>
      <c r="DM16" s="48">
        <v>0.69099999999999995</v>
      </c>
      <c r="DN16" s="48">
        <v>0.55200000000000005</v>
      </c>
      <c r="DO16" s="48">
        <v>0.71099999999999997</v>
      </c>
      <c r="DP16" s="48">
        <v>64.718999999999994</v>
      </c>
      <c r="DQ16" s="49">
        <v>58.252000000000002</v>
      </c>
      <c r="DR16" s="48">
        <v>54.743000000000002</v>
      </c>
      <c r="DS16" s="48">
        <v>48.645000000000003</v>
      </c>
      <c r="DT16" s="48">
        <v>3.8</v>
      </c>
      <c r="DU16" s="48">
        <v>4.46</v>
      </c>
      <c r="DV16" s="48">
        <v>8.44</v>
      </c>
      <c r="DW16" s="48">
        <v>6.63</v>
      </c>
      <c r="DX16" s="48">
        <v>3.87</v>
      </c>
      <c r="DY16" s="48">
        <v>4.4400000000000004</v>
      </c>
      <c r="DZ16" s="48">
        <v>7.88</v>
      </c>
      <c r="EA16" s="48">
        <v>6.49</v>
      </c>
      <c r="EB16" s="48">
        <v>35.6</v>
      </c>
      <c r="EC16" s="48">
        <v>35.31</v>
      </c>
      <c r="ED16" s="48">
        <v>28.77</v>
      </c>
      <c r="EE16" s="48">
        <v>30.94</v>
      </c>
      <c r="EF16" s="49">
        <v>56.74</v>
      </c>
      <c r="EG16" s="49">
        <v>55.79</v>
      </c>
      <c r="EH16" s="49">
        <v>54.92</v>
      </c>
      <c r="EI16" s="49">
        <v>55.94</v>
      </c>
      <c r="EJ16" s="48">
        <v>6.6150000000000002</v>
      </c>
      <c r="EK16" s="48">
        <v>59.933</v>
      </c>
      <c r="EL16" s="49">
        <v>0.9</v>
      </c>
      <c r="EM16" s="49">
        <v>0.25</v>
      </c>
      <c r="EN16" s="49">
        <v>0.95</v>
      </c>
      <c r="EO16" s="49">
        <v>0.94</v>
      </c>
      <c r="EP16" s="48">
        <v>-100.96599999999999</v>
      </c>
      <c r="EQ16" s="49">
        <v>-1.266</v>
      </c>
      <c r="ER16" s="49">
        <v>107.81399999999999</v>
      </c>
      <c r="ES16" s="48">
        <v>1.389</v>
      </c>
      <c r="ET16" s="48">
        <v>1.496</v>
      </c>
      <c r="EU16" s="48">
        <v>1.341</v>
      </c>
      <c r="EV16" s="48">
        <v>7.968</v>
      </c>
      <c r="EW16" s="49">
        <v>3.0110000000000001</v>
      </c>
      <c r="EX16" s="48">
        <v>68.66</v>
      </c>
      <c r="EY16" s="49">
        <v>0.56100000000000005</v>
      </c>
      <c r="EZ16" s="48">
        <v>0</v>
      </c>
      <c r="FA16" s="49">
        <v>0</v>
      </c>
      <c r="FB16" s="48">
        <v>8.4120000000000008</v>
      </c>
      <c r="FC16" s="48">
        <v>66.549000000000007</v>
      </c>
      <c r="FD16" s="48">
        <v>65.661000000000001</v>
      </c>
      <c r="FE16" s="48">
        <v>78.382000000000005</v>
      </c>
      <c r="FF16" s="48">
        <v>75.531999999999996</v>
      </c>
      <c r="FG16" s="49">
        <v>0.92900000000000005</v>
      </c>
      <c r="FH16" s="49">
        <v>0.91900000000000004</v>
      </c>
      <c r="FI16" s="49">
        <v>0.97399999999999998</v>
      </c>
      <c r="FJ16" s="49">
        <v>0.97099999999999997</v>
      </c>
      <c r="FK16" s="49">
        <v>0.60099999999999998</v>
      </c>
      <c r="FL16" s="49">
        <v>85</v>
      </c>
      <c r="FM16" s="49">
        <v>2.52</v>
      </c>
      <c r="FN16" s="48">
        <v>0.57999999999999996</v>
      </c>
      <c r="FO16" s="48">
        <v>5.48</v>
      </c>
      <c r="FP16" s="48">
        <v>4.5</v>
      </c>
      <c r="FQ16" s="49">
        <v>2.25</v>
      </c>
      <c r="FR16" s="49">
        <v>4.95</v>
      </c>
      <c r="FS16" s="49">
        <v>6.9770000000000003</v>
      </c>
      <c r="FT16" s="49">
        <v>1071.0999999999999</v>
      </c>
      <c r="FU16" s="48">
        <v>7.19</v>
      </c>
      <c r="FV16" s="48">
        <v>25.6</v>
      </c>
      <c r="FW16" s="48">
        <v>3148</v>
      </c>
      <c r="FX16" s="48">
        <v>161800</v>
      </c>
      <c r="FY16" s="49">
        <v>164600</v>
      </c>
      <c r="FZ16" s="49">
        <v>47.703000000000003</v>
      </c>
      <c r="GA16" s="49">
        <v>46.156999999999996</v>
      </c>
      <c r="GB16" s="48">
        <v>2194.1</v>
      </c>
      <c r="GC16" s="48">
        <v>2119.4</v>
      </c>
      <c r="GD16" s="48">
        <v>2194.1</v>
      </c>
      <c r="GE16" s="48">
        <v>2147.1999999999998</v>
      </c>
      <c r="GF16" s="48">
        <v>1149.4219000000001</v>
      </c>
      <c r="GG16" s="48">
        <v>28</v>
      </c>
      <c r="GH16" s="48">
        <v>28</v>
      </c>
      <c r="GI16" s="49">
        <v>50.2</v>
      </c>
      <c r="GJ16" s="49">
        <v>56.5</v>
      </c>
      <c r="GK16" s="49">
        <v>97</v>
      </c>
      <c r="GL16" s="49">
        <v>80</v>
      </c>
      <c r="GM16" s="49">
        <v>0</v>
      </c>
      <c r="GN16" s="48">
        <v>21.311</v>
      </c>
      <c r="GO16" s="48">
        <v>107.81399999999999</v>
      </c>
      <c r="GP16" s="49">
        <v>0</v>
      </c>
      <c r="GQ16" s="49">
        <v>4.13</v>
      </c>
      <c r="GR16" s="49">
        <v>0</v>
      </c>
      <c r="GS16" s="49">
        <v>3.7759999999999998</v>
      </c>
      <c r="GT16" s="49">
        <v>0</v>
      </c>
      <c r="GU16" s="49">
        <v>4.6020000000000003</v>
      </c>
      <c r="GV16" s="49">
        <v>0</v>
      </c>
      <c r="GW16" s="48">
        <v>12.773999999999999</v>
      </c>
      <c r="GX16" s="49">
        <v>20.384</v>
      </c>
      <c r="GY16" s="49">
        <v>0</v>
      </c>
      <c r="GZ16" s="49">
        <v>0</v>
      </c>
      <c r="HA16" s="49">
        <v>0</v>
      </c>
      <c r="HB16" s="49">
        <v>1</v>
      </c>
      <c r="HC16" s="49">
        <v>25.643999999999998</v>
      </c>
      <c r="HD16" s="49">
        <v>102</v>
      </c>
      <c r="HE16" s="49">
        <v>0</v>
      </c>
      <c r="HF16" s="49">
        <v>0</v>
      </c>
      <c r="HG16" s="49">
        <v>75.06</v>
      </c>
      <c r="HH16" s="48">
        <v>82.89</v>
      </c>
      <c r="HI16" s="49">
        <v>0</v>
      </c>
      <c r="HJ16" s="49">
        <v>0</v>
      </c>
      <c r="HK16" s="49">
        <v>0</v>
      </c>
      <c r="HL16" s="48">
        <v>66</v>
      </c>
      <c r="HM16" s="49">
        <v>52</v>
      </c>
      <c r="HN16" s="48">
        <v>63</v>
      </c>
      <c r="HO16" s="48">
        <v>57</v>
      </c>
      <c r="HP16" s="48">
        <v>61</v>
      </c>
      <c r="HQ16" s="48">
        <v>58</v>
      </c>
      <c r="HR16" s="48">
        <v>50</v>
      </c>
      <c r="HS16" s="48">
        <v>62</v>
      </c>
      <c r="HT16" s="48">
        <v>0.124</v>
      </c>
      <c r="HU16" s="49">
        <v>0</v>
      </c>
      <c r="HV16" s="48">
        <v>1.1379999999999999</v>
      </c>
      <c r="HW16" s="49">
        <v>38.47</v>
      </c>
      <c r="HX16" s="48">
        <v>46.15</v>
      </c>
      <c r="HY16" s="3"/>
      <c r="HZ16" s="3"/>
      <c r="IA16" s="48">
        <v>2.5289999999999999</v>
      </c>
      <c r="IB16" s="48">
        <v>101</v>
      </c>
      <c r="IC16" s="48">
        <v>19.526</v>
      </c>
      <c r="ID16" s="49">
        <v>-7.1999999999999995E-2</v>
      </c>
      <c r="IE16" s="48">
        <v>3.6999999999999998E-2</v>
      </c>
      <c r="IF16" s="48">
        <v>900.8</v>
      </c>
      <c r="IG16" s="48">
        <v>746.9</v>
      </c>
      <c r="IH16" s="48">
        <v>957.8</v>
      </c>
      <c r="II16" s="48">
        <v>779.4</v>
      </c>
      <c r="IJ16" s="49">
        <v>-5.8999999999999997E-2</v>
      </c>
      <c r="IK16" s="49">
        <v>-0.22600000000000001</v>
      </c>
      <c r="IL16" s="49">
        <v>113.499</v>
      </c>
      <c r="IM16" s="49">
        <v>113.499</v>
      </c>
      <c r="IN16" s="49">
        <v>32.548000000000002</v>
      </c>
      <c r="IO16" s="48">
        <v>0.61899999999999999</v>
      </c>
      <c r="IP16" s="49">
        <v>15.09</v>
      </c>
      <c r="IQ16" s="48">
        <v>1.6E-2</v>
      </c>
      <c r="IR16" s="49">
        <v>1.0999999999999999E-2</v>
      </c>
      <c r="IS16">
        <v>0.23700000000000002</v>
      </c>
      <c r="IT16">
        <v>0.10200000000000001</v>
      </c>
    </row>
    <row r="17" spans="1:254" x14ac:dyDescent="0.25">
      <c r="B17" s="2" t="s">
        <v>407</v>
      </c>
      <c r="C17" s="58" t="s">
        <v>42</v>
      </c>
      <c r="D17" s="59">
        <v>2.5106481481481481E-3</v>
      </c>
      <c r="E17" s="48">
        <v>216.96</v>
      </c>
      <c r="F17" s="49">
        <v>331.84</v>
      </c>
      <c r="G17" s="48">
        <v>5.84</v>
      </c>
      <c r="H17" s="48">
        <v>28.3</v>
      </c>
      <c r="I17" s="48">
        <v>0</v>
      </c>
      <c r="J17" s="48">
        <v>17.2</v>
      </c>
      <c r="K17" s="49">
        <v>6</v>
      </c>
      <c r="L17" s="49">
        <v>9</v>
      </c>
      <c r="M17" s="49">
        <v>8</v>
      </c>
      <c r="N17" s="49">
        <v>3</v>
      </c>
      <c r="O17" s="49">
        <v>3</v>
      </c>
      <c r="P17" s="49">
        <v>0.95599999999999996</v>
      </c>
      <c r="Q17" s="48">
        <v>1.425</v>
      </c>
      <c r="R17" s="48">
        <v>0.92</v>
      </c>
      <c r="S17" s="48">
        <v>0.84899999999999998</v>
      </c>
      <c r="T17" s="48">
        <v>64.06</v>
      </c>
      <c r="U17" s="48">
        <v>60.470999999999997</v>
      </c>
      <c r="V17" s="48">
        <v>248.34</v>
      </c>
      <c r="W17" s="48">
        <v>290</v>
      </c>
      <c r="X17" s="48">
        <v>261.66000000000003</v>
      </c>
      <c r="Y17" s="48">
        <v>271.66000000000003</v>
      </c>
      <c r="Z17" s="48">
        <v>404.78</v>
      </c>
      <c r="AA17" s="48">
        <v>444.8</v>
      </c>
      <c r="AB17" s="48">
        <v>360</v>
      </c>
      <c r="AC17" s="48">
        <v>380.09</v>
      </c>
      <c r="AD17" s="48">
        <v>1.718</v>
      </c>
      <c r="AE17" s="48">
        <v>1.7849999999999999</v>
      </c>
      <c r="AF17" s="48">
        <v>1.82</v>
      </c>
      <c r="AG17" s="48">
        <v>1.8120000000000001</v>
      </c>
      <c r="AH17" s="48">
        <v>75.650000000000006</v>
      </c>
      <c r="AI17" s="48">
        <v>77.39</v>
      </c>
      <c r="AJ17" s="48">
        <v>102.99</v>
      </c>
      <c r="AK17" s="48">
        <v>97.04</v>
      </c>
      <c r="AL17" s="49">
        <v>663.18200000000002</v>
      </c>
      <c r="AM17" s="48">
        <v>643.14499999999998</v>
      </c>
      <c r="AN17" s="49">
        <v>789.29300000000001</v>
      </c>
      <c r="AO17" s="49">
        <v>789.83799999999997</v>
      </c>
      <c r="AP17" s="49">
        <v>2.5430000000000001</v>
      </c>
      <c r="AQ17" s="49">
        <v>1.8660000000000001</v>
      </c>
      <c r="AR17" s="49">
        <v>43.34</v>
      </c>
      <c r="AS17" s="49">
        <v>39.533000000000001</v>
      </c>
      <c r="AT17" s="48">
        <v>83</v>
      </c>
      <c r="AU17" s="48">
        <v>108</v>
      </c>
      <c r="AV17" s="49">
        <v>3.2309999999999999</v>
      </c>
      <c r="AW17" s="49">
        <v>5.7754000000000003</v>
      </c>
      <c r="AX17" s="48">
        <v>995.9</v>
      </c>
      <c r="AY17" s="48">
        <v>0.9</v>
      </c>
      <c r="AZ17" s="48">
        <v>5.72</v>
      </c>
      <c r="BA17" s="48">
        <v>135.696</v>
      </c>
      <c r="BB17" s="48">
        <v>135.12</v>
      </c>
      <c r="BC17" s="49">
        <v>7869</v>
      </c>
      <c r="BD17" s="49">
        <v>89.5</v>
      </c>
      <c r="BE17" s="48">
        <v>22.945</v>
      </c>
      <c r="BF17" s="49">
        <v>12.77</v>
      </c>
      <c r="BG17" s="48">
        <v>30.01</v>
      </c>
      <c r="BH17" s="48">
        <v>28.61</v>
      </c>
      <c r="BI17" s="3"/>
      <c r="BJ17" s="3"/>
      <c r="BK17" s="3"/>
      <c r="BL17" s="3"/>
      <c r="BM17" s="3"/>
      <c r="BN17" s="48">
        <v>93.031999999999996</v>
      </c>
      <c r="BO17" s="48">
        <v>95.703999999999994</v>
      </c>
      <c r="BP17" s="48">
        <v>135.44800000000001</v>
      </c>
      <c r="BQ17" s="48">
        <v>134.232</v>
      </c>
      <c r="BR17" s="3"/>
      <c r="BS17" s="48">
        <v>28</v>
      </c>
      <c r="BT17" s="48">
        <v>7317.3019999999997</v>
      </c>
      <c r="BU17" s="48">
        <v>79.105999999999995</v>
      </c>
      <c r="BV17" s="48">
        <v>61.832000000000001</v>
      </c>
      <c r="BW17" s="48">
        <v>60.75</v>
      </c>
      <c r="BX17" s="48">
        <v>65.094999999999999</v>
      </c>
      <c r="BY17" s="48">
        <v>1.4379999999999999</v>
      </c>
      <c r="BZ17" s="48">
        <v>2.9870000000000001</v>
      </c>
      <c r="CA17" s="49">
        <v>3.476</v>
      </c>
      <c r="CB17" s="48">
        <v>2.9780000000000002</v>
      </c>
      <c r="CC17" s="49">
        <v>5.95</v>
      </c>
      <c r="CD17" s="49">
        <v>2.5409999999999999</v>
      </c>
      <c r="CE17" s="49">
        <v>3.73</v>
      </c>
      <c r="CF17" s="48">
        <v>2.1339999999999999</v>
      </c>
      <c r="CG17" s="48">
        <v>13.869</v>
      </c>
      <c r="CH17" s="48">
        <v>13.731999999999999</v>
      </c>
      <c r="CI17" s="48">
        <v>3.47</v>
      </c>
      <c r="CJ17" s="49">
        <v>3.585</v>
      </c>
      <c r="CK17" s="48">
        <v>1.2549999999999999</v>
      </c>
      <c r="CL17" s="48">
        <v>0</v>
      </c>
      <c r="CM17" s="49">
        <v>0.2</v>
      </c>
      <c r="CN17" s="49">
        <v>0</v>
      </c>
      <c r="CO17" s="49">
        <v>0</v>
      </c>
      <c r="CP17" s="48">
        <v>88.796000000000006</v>
      </c>
      <c r="CQ17" s="48">
        <v>92.656000000000006</v>
      </c>
      <c r="CR17" s="48">
        <v>129.71</v>
      </c>
      <c r="CS17" s="48">
        <v>129.77099999999999</v>
      </c>
      <c r="CT17" s="49">
        <v>0.40100000000000002</v>
      </c>
      <c r="CU17" s="48">
        <v>0.8</v>
      </c>
      <c r="CV17" s="49">
        <v>0.80100000000000005</v>
      </c>
      <c r="CW17" s="48">
        <v>0.7</v>
      </c>
      <c r="CX17" s="48">
        <v>0.90200000000000002</v>
      </c>
      <c r="CY17" s="48">
        <v>0.999</v>
      </c>
      <c r="CZ17" s="48">
        <v>0.60099999999999998</v>
      </c>
      <c r="DA17" s="48">
        <v>0.70299999999999996</v>
      </c>
      <c r="DB17" s="48">
        <v>1.1020000000000001</v>
      </c>
      <c r="DC17" s="49">
        <v>0</v>
      </c>
      <c r="DD17" s="49">
        <v>0</v>
      </c>
      <c r="DE17" s="49">
        <v>0.33800000000000002</v>
      </c>
      <c r="DF17" s="49">
        <v>0.19400000000000001</v>
      </c>
      <c r="DG17" s="49">
        <v>0.61699999999999999</v>
      </c>
      <c r="DH17" s="48">
        <v>1.627</v>
      </c>
      <c r="DI17" s="48">
        <v>0.94799999999999995</v>
      </c>
      <c r="DJ17" s="48">
        <v>0.28999999999999998</v>
      </c>
      <c r="DK17" s="49">
        <v>1.2929999999999999</v>
      </c>
      <c r="DL17" s="49">
        <v>0.61</v>
      </c>
      <c r="DM17" s="49">
        <v>0.76200000000000001</v>
      </c>
      <c r="DN17" s="49">
        <v>0.76300000000000001</v>
      </c>
      <c r="DO17" s="49">
        <v>0.71399999999999997</v>
      </c>
      <c r="DP17" s="48">
        <v>67.944999999999993</v>
      </c>
      <c r="DQ17" s="48">
        <v>57.264000000000003</v>
      </c>
      <c r="DR17" s="49">
        <v>56.357999999999997</v>
      </c>
      <c r="DS17" s="49">
        <v>49.69</v>
      </c>
      <c r="DT17" s="49">
        <v>5.94</v>
      </c>
      <c r="DU17" s="49">
        <v>6.45</v>
      </c>
      <c r="DV17" s="49">
        <v>12.38</v>
      </c>
      <c r="DW17" s="49">
        <v>9.52</v>
      </c>
      <c r="DX17" s="49">
        <v>6.17</v>
      </c>
      <c r="DY17" s="49">
        <v>6.84</v>
      </c>
      <c r="DZ17" s="49">
        <v>11.81</v>
      </c>
      <c r="EA17" s="49">
        <v>9.27</v>
      </c>
      <c r="EB17" s="48">
        <v>42.41</v>
      </c>
      <c r="EC17" s="48">
        <v>41.72</v>
      </c>
      <c r="ED17" s="48">
        <v>34.130000000000003</v>
      </c>
      <c r="EE17" s="48">
        <v>36.76</v>
      </c>
      <c r="EF17" s="48">
        <v>45.48</v>
      </c>
      <c r="EG17" s="48">
        <v>44.99</v>
      </c>
      <c r="EH17" s="48">
        <v>41.69</v>
      </c>
      <c r="EI17" s="48">
        <v>44.45</v>
      </c>
      <c r="EJ17" s="48">
        <v>7.0359999999999996</v>
      </c>
      <c r="EK17" s="48">
        <v>60.136000000000003</v>
      </c>
      <c r="EL17" s="48">
        <v>0.65</v>
      </c>
      <c r="EM17" s="49">
        <v>0.25</v>
      </c>
      <c r="EN17" s="48">
        <v>0.88</v>
      </c>
      <c r="EO17" s="48">
        <v>0.88</v>
      </c>
      <c r="EP17" s="49">
        <v>-118.77800000000001</v>
      </c>
      <c r="EQ17" s="48">
        <v>-3.22</v>
      </c>
      <c r="ER17" s="48">
        <v>96.718000000000004</v>
      </c>
      <c r="ES17" s="49">
        <v>1.484</v>
      </c>
      <c r="ET17" s="49">
        <v>1.651</v>
      </c>
      <c r="EU17" s="48">
        <v>1.4370000000000001</v>
      </c>
      <c r="EV17" s="48">
        <v>7.7089999999999996</v>
      </c>
      <c r="EW17" s="48">
        <v>2.7080000000000002</v>
      </c>
      <c r="EX17" s="48">
        <v>72.06</v>
      </c>
      <c r="EY17" s="48">
        <v>0</v>
      </c>
      <c r="EZ17" s="49">
        <v>38.491999999999997</v>
      </c>
      <c r="FA17" s="49">
        <v>0</v>
      </c>
      <c r="FB17" s="48">
        <v>9.1359999999999992</v>
      </c>
      <c r="FC17" s="48">
        <v>65.677000000000007</v>
      </c>
      <c r="FD17" s="48">
        <v>64.867000000000004</v>
      </c>
      <c r="FE17" s="48">
        <v>80.852999999999994</v>
      </c>
      <c r="FF17" s="48">
        <v>77.066999999999993</v>
      </c>
      <c r="FG17" s="48">
        <v>0.871</v>
      </c>
      <c r="FH17" s="48">
        <v>0.871</v>
      </c>
      <c r="FI17" s="48">
        <v>0.95599999999999996</v>
      </c>
      <c r="FJ17" s="48">
        <v>0.95499999999999996</v>
      </c>
      <c r="FK17" s="48">
        <v>0</v>
      </c>
      <c r="FL17" s="48">
        <v>83</v>
      </c>
      <c r="FM17" s="48">
        <v>2.2000000000000002</v>
      </c>
      <c r="FN17" s="48">
        <v>0.95</v>
      </c>
      <c r="FO17" s="49">
        <v>5.36</v>
      </c>
      <c r="FP17" s="3"/>
      <c r="FQ17" s="48">
        <v>4.55</v>
      </c>
      <c r="FR17" s="49">
        <v>4.95</v>
      </c>
      <c r="FS17" s="48">
        <v>6.8505000000000003</v>
      </c>
      <c r="FT17" s="48">
        <v>1069.8</v>
      </c>
      <c r="FU17" s="48">
        <v>7.56</v>
      </c>
      <c r="FV17" s="48">
        <v>31.44</v>
      </c>
      <c r="FW17" s="48">
        <v>3156</v>
      </c>
      <c r="FX17" s="48">
        <v>162800</v>
      </c>
      <c r="FY17" s="48">
        <v>161000</v>
      </c>
      <c r="FZ17" s="48">
        <v>47.145000000000003</v>
      </c>
      <c r="GA17" s="48">
        <v>45.405999999999999</v>
      </c>
      <c r="GB17" s="48">
        <v>2149.6999999999998</v>
      </c>
      <c r="GC17" s="48">
        <v>2144.4</v>
      </c>
      <c r="GD17" s="48">
        <v>2206</v>
      </c>
      <c r="GE17" s="49">
        <v>2240.6</v>
      </c>
      <c r="GF17" s="49">
        <v>1352.5</v>
      </c>
      <c r="GG17" s="48">
        <v>28</v>
      </c>
      <c r="GH17" s="48">
        <v>28.3</v>
      </c>
      <c r="GI17" s="48">
        <v>47</v>
      </c>
      <c r="GJ17" s="48">
        <v>52.8</v>
      </c>
      <c r="GK17" s="48">
        <v>99.5</v>
      </c>
      <c r="GL17" s="48">
        <v>76.599999999999994</v>
      </c>
      <c r="GM17" s="49">
        <v>0</v>
      </c>
      <c r="GN17" s="49">
        <v>21.576000000000001</v>
      </c>
      <c r="GO17" s="49">
        <v>118.77800000000001</v>
      </c>
      <c r="GP17" s="48">
        <v>0.53100000000000003</v>
      </c>
      <c r="GQ17" s="48">
        <v>1.8879999999999999</v>
      </c>
      <c r="GR17" s="48">
        <v>1.0620000000000001</v>
      </c>
      <c r="GS17" s="48">
        <v>2.0649999999999999</v>
      </c>
      <c r="GT17" s="48">
        <v>0.59</v>
      </c>
      <c r="GU17" s="48">
        <v>1.8879999999999999</v>
      </c>
      <c r="GV17" s="48">
        <v>13.132</v>
      </c>
      <c r="GW17" s="49">
        <v>14.138</v>
      </c>
      <c r="GX17" s="48">
        <v>16.66</v>
      </c>
      <c r="GY17" s="49">
        <v>0</v>
      </c>
      <c r="GZ17" s="49">
        <v>0</v>
      </c>
      <c r="HA17" s="49">
        <v>0</v>
      </c>
      <c r="HB17" s="48">
        <v>0</v>
      </c>
      <c r="HC17" s="48">
        <v>23.89</v>
      </c>
      <c r="HD17" s="48">
        <v>90</v>
      </c>
      <c r="HE17" s="49">
        <v>0</v>
      </c>
      <c r="HF17" s="49">
        <v>0</v>
      </c>
      <c r="HG17" s="48">
        <v>72.73</v>
      </c>
      <c r="HH17" s="48">
        <v>82.83</v>
      </c>
      <c r="HI17" s="49">
        <v>0</v>
      </c>
      <c r="HJ17" s="49">
        <v>0</v>
      </c>
      <c r="HK17" s="49">
        <v>0</v>
      </c>
      <c r="HL17" s="49">
        <v>67</v>
      </c>
      <c r="HM17" s="49">
        <v>52</v>
      </c>
      <c r="HN17" s="48">
        <v>65</v>
      </c>
      <c r="HO17" s="48">
        <v>59</v>
      </c>
      <c r="HP17" s="48">
        <v>62</v>
      </c>
      <c r="HQ17" s="48">
        <v>60</v>
      </c>
      <c r="HR17" s="48">
        <v>50</v>
      </c>
      <c r="HS17" s="48">
        <v>62</v>
      </c>
      <c r="HT17" s="48">
        <v>0.1105</v>
      </c>
      <c r="HU17" s="49">
        <v>0</v>
      </c>
      <c r="HV17" s="49">
        <v>1.379</v>
      </c>
      <c r="HW17" s="49">
        <v>38.47</v>
      </c>
      <c r="HX17" s="49">
        <v>43.14</v>
      </c>
      <c r="HY17" s="49">
        <v>51.49</v>
      </c>
      <c r="HZ17" s="49">
        <v>51.49</v>
      </c>
      <c r="IA17" s="48">
        <v>2.5750000000000002</v>
      </c>
      <c r="IB17" s="49">
        <v>103</v>
      </c>
      <c r="IC17" s="49">
        <v>22.056999999999999</v>
      </c>
      <c r="ID17" s="48">
        <v>-0.124</v>
      </c>
      <c r="IE17" s="48">
        <v>3.7999999999999999E-2</v>
      </c>
      <c r="IF17" s="48">
        <v>893.6</v>
      </c>
      <c r="IG17" s="49">
        <v>797.2</v>
      </c>
      <c r="IH17" s="48">
        <v>933.8</v>
      </c>
      <c r="II17" s="49">
        <v>826.8</v>
      </c>
      <c r="IJ17" s="48">
        <v>-0.11600000000000001</v>
      </c>
      <c r="IK17" s="48">
        <v>-0.376</v>
      </c>
      <c r="IL17" s="48">
        <v>43.957999999999998</v>
      </c>
      <c r="IM17" s="48">
        <v>43.957999999999998</v>
      </c>
      <c r="IN17" s="48">
        <v>29.582000000000001</v>
      </c>
      <c r="IO17" s="49">
        <v>0.86199999999999999</v>
      </c>
      <c r="IP17" s="48">
        <v>14.84</v>
      </c>
      <c r="IQ17" s="49">
        <v>0.02</v>
      </c>
      <c r="IR17" s="48">
        <v>3.0000000000000001E-3</v>
      </c>
      <c r="IS17">
        <v>0.25700000000000001</v>
      </c>
      <c r="IT17">
        <v>0.10500000000000001</v>
      </c>
    </row>
    <row r="18" spans="1:254" x14ac:dyDescent="0.25">
      <c r="B18" s="2" t="s">
        <v>407</v>
      </c>
      <c r="C18" s="2" t="s">
        <v>43</v>
      </c>
      <c r="D18" s="57">
        <v>2.8918981481481482E-3</v>
      </c>
      <c r="E18" s="48">
        <v>249.86099999999999</v>
      </c>
      <c r="F18" s="48">
        <v>324.70999999999998</v>
      </c>
      <c r="G18" s="49">
        <v>5.92</v>
      </c>
      <c r="H18" s="49">
        <v>28.4</v>
      </c>
      <c r="I18" s="48">
        <v>0</v>
      </c>
      <c r="J18" s="48">
        <v>15.7</v>
      </c>
      <c r="K18" s="49">
        <v>6</v>
      </c>
      <c r="L18" s="49">
        <v>9</v>
      </c>
      <c r="M18" s="49">
        <v>8</v>
      </c>
      <c r="N18" s="49">
        <v>3</v>
      </c>
      <c r="O18" s="49">
        <v>3</v>
      </c>
      <c r="P18" s="48">
        <v>0.91900000000000004</v>
      </c>
      <c r="Q18" s="49">
        <v>1.472</v>
      </c>
      <c r="R18" s="48">
        <v>0.85799999999999998</v>
      </c>
      <c r="S18" s="48">
        <v>0.70799999999999996</v>
      </c>
      <c r="T18" s="49">
        <v>82.09</v>
      </c>
      <c r="U18" s="48">
        <v>60.417000000000002</v>
      </c>
      <c r="V18" s="48">
        <v>236.66</v>
      </c>
      <c r="W18" s="48">
        <v>276.66000000000003</v>
      </c>
      <c r="X18" s="48">
        <v>253.34</v>
      </c>
      <c r="Y18" s="48">
        <v>260</v>
      </c>
      <c r="Z18" s="49">
        <v>416.76</v>
      </c>
      <c r="AA18" s="49">
        <v>453.69</v>
      </c>
      <c r="AB18" s="49">
        <v>380.57</v>
      </c>
      <c r="AC18" s="49">
        <v>398.12</v>
      </c>
      <c r="AD18" s="49">
        <v>1.728</v>
      </c>
      <c r="AE18" s="49">
        <v>1.8029999999999999</v>
      </c>
      <c r="AF18" s="49">
        <v>1.8460000000000001</v>
      </c>
      <c r="AG18" s="49">
        <v>1.839</v>
      </c>
      <c r="AH18" s="49">
        <v>76.819999999999993</v>
      </c>
      <c r="AI18" s="49">
        <v>79.14</v>
      </c>
      <c r="AJ18" s="49">
        <v>104.87</v>
      </c>
      <c r="AK18" s="49">
        <v>99.89</v>
      </c>
      <c r="AL18" s="48">
        <v>635.17700000000002</v>
      </c>
      <c r="AM18" s="49">
        <v>655.35799999999995</v>
      </c>
      <c r="AN18" s="48">
        <v>750.73099999999999</v>
      </c>
      <c r="AO18" s="48">
        <v>724.80499999999995</v>
      </c>
      <c r="AP18" s="48">
        <v>2.4910000000000001</v>
      </c>
      <c r="AQ18" s="48">
        <v>1.849</v>
      </c>
      <c r="AR18" s="48">
        <v>40.720999999999997</v>
      </c>
      <c r="AS18" s="48">
        <v>36.984999999999999</v>
      </c>
      <c r="AT18" s="48">
        <v>82</v>
      </c>
      <c r="AU18" s="49">
        <v>109</v>
      </c>
      <c r="AV18" s="48">
        <v>3.3780000000000001</v>
      </c>
      <c r="AW18" s="48">
        <v>5.6974999999999998</v>
      </c>
      <c r="AX18" s="48">
        <v>994</v>
      </c>
      <c r="AY18" s="48">
        <v>0.92</v>
      </c>
      <c r="AZ18" s="48">
        <v>5.7</v>
      </c>
      <c r="BA18" s="48">
        <v>76.400000000000006</v>
      </c>
      <c r="BB18" s="48">
        <v>76.218000000000004</v>
      </c>
      <c r="BC18" s="48">
        <v>7775</v>
      </c>
      <c r="BD18" s="48">
        <v>89.25</v>
      </c>
      <c r="BE18" s="49">
        <v>23.704999999999998</v>
      </c>
      <c r="BF18" s="48">
        <v>11.865</v>
      </c>
      <c r="BG18" s="49">
        <v>31.38</v>
      </c>
      <c r="BH18" s="49">
        <v>30.6</v>
      </c>
      <c r="BI18" s="49">
        <v>66.905000000000001</v>
      </c>
      <c r="BJ18" s="49">
        <v>77.838999999999999</v>
      </c>
      <c r="BK18" s="49">
        <v>65.748999999999995</v>
      </c>
      <c r="BL18" s="49">
        <v>76.111000000000004</v>
      </c>
      <c r="BM18" s="49">
        <v>76.070999999999998</v>
      </c>
      <c r="BN18" s="48">
        <v>107.304</v>
      </c>
      <c r="BO18" s="48">
        <v>114.04</v>
      </c>
      <c r="BP18" s="49">
        <v>152.76</v>
      </c>
      <c r="BQ18" s="49">
        <v>151.352</v>
      </c>
      <c r="BR18" s="49">
        <v>60.031999999999996</v>
      </c>
      <c r="BS18" s="49">
        <v>28.1</v>
      </c>
      <c r="BT18" s="49">
        <v>7486.527</v>
      </c>
      <c r="BU18" s="48">
        <v>81.2</v>
      </c>
      <c r="BV18" s="48">
        <v>61.93</v>
      </c>
      <c r="BW18" s="48">
        <v>61.838999999999999</v>
      </c>
      <c r="BX18" s="49">
        <v>66.028999999999996</v>
      </c>
      <c r="BY18" s="48">
        <v>1.4119999999999999</v>
      </c>
      <c r="BZ18" s="49">
        <v>3.0779999999999998</v>
      </c>
      <c r="CA18" s="48">
        <v>2.7959999999999998</v>
      </c>
      <c r="CB18" s="49">
        <v>3.1850000000000001</v>
      </c>
      <c r="CC18" s="48">
        <v>5.6779999999999999</v>
      </c>
      <c r="CD18" s="48">
        <v>2.3639999999999999</v>
      </c>
      <c r="CE18" s="48">
        <v>3.6789999999999998</v>
      </c>
      <c r="CF18" s="48">
        <v>2.1179999999999999</v>
      </c>
      <c r="CG18" s="49">
        <v>13.872</v>
      </c>
      <c r="CH18" s="48">
        <v>13.365</v>
      </c>
      <c r="CI18" s="3"/>
      <c r="CJ18" s="3"/>
      <c r="CK18" s="3"/>
      <c r="CL18" s="49">
        <v>0.1</v>
      </c>
      <c r="CM18" s="48">
        <v>0.1</v>
      </c>
      <c r="CN18" s="49">
        <v>0</v>
      </c>
      <c r="CO18" s="49">
        <v>0</v>
      </c>
      <c r="CP18" s="48">
        <v>91.334999999999994</v>
      </c>
      <c r="CQ18" s="48">
        <v>95.620999999999995</v>
      </c>
      <c r="CR18" s="49">
        <v>134.202</v>
      </c>
      <c r="CS18" s="49">
        <v>135.00200000000001</v>
      </c>
      <c r="CT18" s="48">
        <v>0.33</v>
      </c>
      <c r="CU18" s="49">
        <v>1.2</v>
      </c>
      <c r="CV18" s="48">
        <v>0.69799999999999995</v>
      </c>
      <c r="CW18" s="48">
        <v>0.60199999999999998</v>
      </c>
      <c r="CX18" s="48">
        <v>0.8</v>
      </c>
      <c r="CY18" s="48">
        <v>0.8</v>
      </c>
      <c r="CZ18" s="48">
        <v>0.60399999999999998</v>
      </c>
      <c r="DA18" s="48">
        <v>0.60099999999999998</v>
      </c>
      <c r="DB18" s="49">
        <v>1.603</v>
      </c>
      <c r="DC18" s="49">
        <v>0</v>
      </c>
      <c r="DD18" s="49">
        <v>0</v>
      </c>
      <c r="DE18" s="48">
        <v>0.27700000000000002</v>
      </c>
      <c r="DF18" s="48">
        <v>0.126</v>
      </c>
      <c r="DG18" s="48">
        <v>0.28299999999999997</v>
      </c>
      <c r="DH18" s="49">
        <v>1.7809999999999999</v>
      </c>
      <c r="DI18" s="49">
        <v>0.97499999999999998</v>
      </c>
      <c r="DJ18" s="49">
        <v>0.3</v>
      </c>
      <c r="DK18" s="48">
        <v>0.97899999999999998</v>
      </c>
      <c r="DL18" s="48">
        <v>0.60799999999999998</v>
      </c>
      <c r="DM18" s="48">
        <v>0.754</v>
      </c>
      <c r="DN18" s="48">
        <v>0.73199999999999998</v>
      </c>
      <c r="DO18" s="48">
        <v>0.69599999999999995</v>
      </c>
      <c r="DP18" s="49">
        <v>69.238</v>
      </c>
      <c r="DQ18" s="48">
        <v>57.798999999999999</v>
      </c>
      <c r="DR18" s="48">
        <v>54.817999999999998</v>
      </c>
      <c r="DS18" s="48">
        <v>48.534999999999997</v>
      </c>
      <c r="DT18" s="48">
        <v>4.57</v>
      </c>
      <c r="DU18" s="48">
        <v>5.77</v>
      </c>
      <c r="DV18" s="48">
        <v>10.45</v>
      </c>
      <c r="DW18" s="48">
        <v>8.02</v>
      </c>
      <c r="DX18" s="48">
        <v>4.99</v>
      </c>
      <c r="DY18" s="48">
        <v>5.95</v>
      </c>
      <c r="DZ18" s="48">
        <v>10.11</v>
      </c>
      <c r="EA18" s="48">
        <v>7.99</v>
      </c>
      <c r="EB18" s="49">
        <v>42.75</v>
      </c>
      <c r="EC18" s="49">
        <v>41.83</v>
      </c>
      <c r="ED18" s="49">
        <v>34.58</v>
      </c>
      <c r="EE18" s="49">
        <v>36.909999999999997</v>
      </c>
      <c r="EF18" s="48">
        <v>47.68</v>
      </c>
      <c r="EG18" s="48">
        <v>46.44</v>
      </c>
      <c r="EH18" s="48">
        <v>44.86</v>
      </c>
      <c r="EI18" s="48">
        <v>47.07</v>
      </c>
      <c r="EJ18" s="49">
        <v>7.42</v>
      </c>
      <c r="EK18" s="49">
        <v>60.404000000000003</v>
      </c>
      <c r="EL18" s="48">
        <v>0.65</v>
      </c>
      <c r="EM18" s="49">
        <v>0.25</v>
      </c>
      <c r="EN18" s="48">
        <v>0.92</v>
      </c>
      <c r="EO18" s="48">
        <v>0.9</v>
      </c>
      <c r="EP18" s="48">
        <v>-118.486</v>
      </c>
      <c r="EQ18" s="48">
        <v>-2.202</v>
      </c>
      <c r="ER18" s="48">
        <v>96.718000000000004</v>
      </c>
      <c r="ES18" s="48">
        <v>1.4810000000000001</v>
      </c>
      <c r="ET18" s="48">
        <v>1.6259999999999999</v>
      </c>
      <c r="EU18" s="49">
        <v>1.4510000000000001</v>
      </c>
      <c r="EV18" s="49">
        <v>8.0980000000000008</v>
      </c>
      <c r="EW18" s="48">
        <v>2.8359999999999999</v>
      </c>
      <c r="EX18" s="49">
        <v>72.16</v>
      </c>
      <c r="EY18" s="48">
        <v>0.12</v>
      </c>
      <c r="EZ18" s="48">
        <v>0.107</v>
      </c>
      <c r="FA18" s="49">
        <v>0</v>
      </c>
      <c r="FB18" s="49">
        <v>9.19</v>
      </c>
      <c r="FC18" s="49">
        <v>67.373999999999995</v>
      </c>
      <c r="FD18" s="49">
        <v>66.8</v>
      </c>
      <c r="FE18" s="49">
        <v>83.727000000000004</v>
      </c>
      <c r="FF18" s="49">
        <v>79.935000000000002</v>
      </c>
      <c r="FG18" s="48">
        <v>0.89500000000000002</v>
      </c>
      <c r="FH18" s="48">
        <v>0.876</v>
      </c>
      <c r="FI18" s="48">
        <v>0.96199999999999997</v>
      </c>
      <c r="FJ18" s="48">
        <v>0.96099999999999997</v>
      </c>
      <c r="FK18" s="48">
        <v>0</v>
      </c>
      <c r="FL18" s="48">
        <v>83</v>
      </c>
      <c r="FM18" s="48">
        <v>2.23</v>
      </c>
      <c r="FN18" s="49">
        <v>0.52</v>
      </c>
      <c r="FO18" s="48">
        <v>5.55</v>
      </c>
      <c r="FP18" s="49">
        <v>3.9</v>
      </c>
      <c r="FQ18" s="48">
        <v>4.45</v>
      </c>
      <c r="FR18" s="49">
        <v>4.95</v>
      </c>
      <c r="FS18" s="48">
        <v>6.9355000000000002</v>
      </c>
      <c r="FT18" s="48">
        <v>1066.2</v>
      </c>
      <c r="FU18" s="49">
        <v>7.63</v>
      </c>
      <c r="FV18" s="49">
        <v>37.36</v>
      </c>
      <c r="FW18" s="49">
        <v>3309.5</v>
      </c>
      <c r="FX18" s="49">
        <v>163100</v>
      </c>
      <c r="FY18" s="48">
        <v>163700</v>
      </c>
      <c r="FZ18" s="48">
        <v>47.308</v>
      </c>
      <c r="GA18" s="48">
        <v>45.496000000000002</v>
      </c>
      <c r="GB18" s="49">
        <v>2207</v>
      </c>
      <c r="GC18" s="49">
        <v>2156.6</v>
      </c>
      <c r="GD18" s="49">
        <v>2207</v>
      </c>
      <c r="GE18" s="48">
        <v>2178.1</v>
      </c>
      <c r="GF18" s="48">
        <v>1271.1094000000001</v>
      </c>
      <c r="GG18" s="49">
        <v>29</v>
      </c>
      <c r="GH18" s="49">
        <v>29.1</v>
      </c>
      <c r="GI18" s="48">
        <v>46.8</v>
      </c>
      <c r="GJ18" s="48">
        <v>52.6</v>
      </c>
      <c r="GK18" s="48">
        <v>99.5</v>
      </c>
      <c r="GL18" s="48">
        <v>76.3</v>
      </c>
      <c r="GM18" s="49">
        <v>0</v>
      </c>
      <c r="GN18" s="48">
        <v>20.884</v>
      </c>
      <c r="GO18" s="48">
        <v>118.486</v>
      </c>
      <c r="GP18" s="49">
        <v>0</v>
      </c>
      <c r="GQ18" s="48">
        <v>1.8879999999999999</v>
      </c>
      <c r="GR18" s="49">
        <v>0</v>
      </c>
      <c r="GS18" s="48">
        <v>2.0059999999999998</v>
      </c>
      <c r="GT18" s="49">
        <v>0</v>
      </c>
      <c r="GU18" s="48">
        <v>1.8879999999999999</v>
      </c>
      <c r="GV18" s="49">
        <v>0</v>
      </c>
      <c r="GW18" s="48">
        <v>14.065</v>
      </c>
      <c r="GX18" s="48">
        <v>16.66</v>
      </c>
      <c r="GY18" s="49">
        <v>0</v>
      </c>
      <c r="GZ18" s="49">
        <v>0</v>
      </c>
      <c r="HA18" s="49">
        <v>0</v>
      </c>
      <c r="HB18" s="49">
        <v>1</v>
      </c>
      <c r="HC18" s="48">
        <v>24.068000000000001</v>
      </c>
      <c r="HD18" s="48">
        <v>94</v>
      </c>
      <c r="HE18" s="49">
        <v>0</v>
      </c>
      <c r="HF18" s="49">
        <v>0</v>
      </c>
      <c r="HG18" s="48">
        <v>72.14</v>
      </c>
      <c r="HH18" s="49">
        <v>82.94</v>
      </c>
      <c r="HI18" s="49">
        <v>0</v>
      </c>
      <c r="HJ18" s="49">
        <v>0</v>
      </c>
      <c r="HK18" s="49">
        <v>0</v>
      </c>
      <c r="HL18" s="49">
        <v>67</v>
      </c>
      <c r="HM18" s="49">
        <v>52</v>
      </c>
      <c r="HN18" s="49">
        <v>66</v>
      </c>
      <c r="HO18" s="49">
        <v>60</v>
      </c>
      <c r="HP18" s="49">
        <v>64</v>
      </c>
      <c r="HQ18" s="49">
        <v>61</v>
      </c>
      <c r="HR18" s="49">
        <v>51</v>
      </c>
      <c r="HS18" s="49">
        <v>70</v>
      </c>
      <c r="HT18" s="49">
        <v>9.7000000000000003E-2</v>
      </c>
      <c r="HU18" s="49">
        <v>0</v>
      </c>
      <c r="HV18" s="48">
        <v>1.2430000000000001</v>
      </c>
      <c r="HW18" s="48">
        <v>42.26</v>
      </c>
      <c r="HX18" s="49">
        <v>43.14</v>
      </c>
      <c r="HY18" s="3"/>
      <c r="HZ18" s="3"/>
      <c r="IA18" s="49">
        <v>2.7469999999999999</v>
      </c>
      <c r="IB18" s="49">
        <v>103</v>
      </c>
      <c r="IC18" s="48">
        <v>21.959</v>
      </c>
      <c r="ID18" s="48">
        <v>-9.9000000000000005E-2</v>
      </c>
      <c r="IE18" s="49">
        <v>5.1999999999999998E-2</v>
      </c>
      <c r="IF18" s="49">
        <v>927.6</v>
      </c>
      <c r="IG18" s="48">
        <v>784.5</v>
      </c>
      <c r="IH18" s="49">
        <v>960.1</v>
      </c>
      <c r="II18" s="48">
        <v>816.7</v>
      </c>
      <c r="IJ18" s="48">
        <v>-8.1000000000000003E-2</v>
      </c>
      <c r="IK18" s="48">
        <v>-0.30399999999999999</v>
      </c>
      <c r="IL18" s="48">
        <v>54.37</v>
      </c>
      <c r="IM18" s="48">
        <v>54.37</v>
      </c>
      <c r="IN18" s="48">
        <v>32.173000000000002</v>
      </c>
      <c r="IO18" s="48">
        <v>0.78400000000000003</v>
      </c>
      <c r="IP18" s="48">
        <v>15.01</v>
      </c>
      <c r="IQ18" s="48">
        <v>0</v>
      </c>
      <c r="IR18" s="48">
        <v>0</v>
      </c>
      <c r="IS18">
        <v>0.25700000000000001</v>
      </c>
      <c r="IT18">
        <v>0.10500000000000001</v>
      </c>
    </row>
    <row r="19" spans="1:254" x14ac:dyDescent="0.25">
      <c r="IS19">
        <v>0.25700000000000001</v>
      </c>
      <c r="IT19">
        <v>0.10500000000000001</v>
      </c>
    </row>
    <row r="20" spans="1:254" x14ac:dyDescent="0.25">
      <c r="IS20">
        <v>0.25700000000000001</v>
      </c>
      <c r="IT20">
        <v>0.10500000000000001</v>
      </c>
    </row>
    <row r="21" spans="1:254" x14ac:dyDescent="0.25">
      <c r="IS21">
        <v>0.25700000000000001</v>
      </c>
      <c r="IT21">
        <v>0.10500000000000001</v>
      </c>
    </row>
    <row r="22" spans="1:254" x14ac:dyDescent="0.25">
      <c r="B22" s="2" t="s">
        <v>407</v>
      </c>
      <c r="C22" s="2" t="s">
        <v>41</v>
      </c>
      <c r="D22" s="57">
        <v>2.3668055555555557E-2</v>
      </c>
      <c r="E22" s="49">
        <v>2044.9169999999999</v>
      </c>
      <c r="F22" s="49">
        <v>327.04000000000002</v>
      </c>
      <c r="G22" s="49">
        <v>5.59</v>
      </c>
      <c r="H22" s="49">
        <v>28.4</v>
      </c>
      <c r="I22" s="49">
        <v>0</v>
      </c>
      <c r="J22" s="49">
        <v>1787.6</v>
      </c>
      <c r="K22" s="49">
        <v>6</v>
      </c>
      <c r="L22" s="49">
        <v>9</v>
      </c>
      <c r="M22" s="49">
        <v>8</v>
      </c>
      <c r="N22" s="49">
        <v>3</v>
      </c>
      <c r="O22" s="49">
        <v>3</v>
      </c>
      <c r="P22" s="49">
        <v>1.0329999999999999</v>
      </c>
      <c r="Q22" s="49">
        <v>1.3129999999999999</v>
      </c>
      <c r="R22" s="49">
        <v>1.278</v>
      </c>
      <c r="S22" s="49">
        <v>1.046</v>
      </c>
      <c r="T22" s="49">
        <v>59.88</v>
      </c>
      <c r="U22" s="49">
        <v>59.613999999999997</v>
      </c>
      <c r="V22" s="49">
        <v>70</v>
      </c>
      <c r="W22" s="49">
        <v>40</v>
      </c>
      <c r="X22" s="49">
        <v>50</v>
      </c>
      <c r="Y22" s="49">
        <v>40</v>
      </c>
      <c r="Z22" s="49">
        <v>241.23</v>
      </c>
      <c r="AA22" s="49">
        <v>266.07</v>
      </c>
      <c r="AB22" s="49">
        <v>272.83</v>
      </c>
      <c r="AC22" s="49">
        <v>258.99</v>
      </c>
      <c r="AD22" s="49">
        <v>1.7949999999999999</v>
      </c>
      <c r="AE22" s="49">
        <v>1.875</v>
      </c>
      <c r="AF22" s="49">
        <v>1.8009999999999999</v>
      </c>
      <c r="AG22" s="49">
        <v>1.82</v>
      </c>
      <c r="AH22" s="49">
        <v>75.77</v>
      </c>
      <c r="AI22" s="49">
        <v>75.180000000000007</v>
      </c>
      <c r="AJ22" s="49">
        <v>90.35</v>
      </c>
      <c r="AK22" s="49">
        <v>88.18</v>
      </c>
      <c r="AL22" s="49">
        <v>612.82399999999996</v>
      </c>
      <c r="AM22" s="49">
        <v>629.62099999999998</v>
      </c>
      <c r="AN22" s="49">
        <v>719.45</v>
      </c>
      <c r="AO22" s="49">
        <v>736.35799999999995</v>
      </c>
      <c r="AP22" s="49">
        <v>2.4870000000000001</v>
      </c>
      <c r="AQ22" s="49">
        <v>1.853</v>
      </c>
      <c r="AR22" s="49">
        <v>44.523000000000003</v>
      </c>
      <c r="AS22" s="49">
        <v>36.658000000000001</v>
      </c>
      <c r="AT22" s="49">
        <v>83</v>
      </c>
      <c r="AU22" s="49">
        <v>98</v>
      </c>
      <c r="AV22" s="49">
        <v>3.1539999999999999</v>
      </c>
      <c r="AW22" s="49">
        <v>5.5368000000000004</v>
      </c>
      <c r="AX22" s="49">
        <v>990.9</v>
      </c>
      <c r="AY22" s="49">
        <v>0.97</v>
      </c>
      <c r="AZ22" s="49">
        <v>4.92</v>
      </c>
      <c r="BA22" s="49">
        <v>69.302999999999997</v>
      </c>
      <c r="BB22" s="49">
        <v>69.3</v>
      </c>
      <c r="BC22" s="49">
        <v>7727</v>
      </c>
      <c r="BD22" s="49">
        <v>89.25</v>
      </c>
      <c r="BE22" s="49">
        <v>21.53</v>
      </c>
      <c r="BF22" s="49">
        <v>12.055</v>
      </c>
      <c r="BG22" s="49">
        <v>24.55</v>
      </c>
      <c r="BH22" s="49">
        <v>25.6</v>
      </c>
      <c r="BI22" s="49">
        <v>66.787000000000006</v>
      </c>
      <c r="BJ22" s="49">
        <v>78.474999999999994</v>
      </c>
      <c r="BK22" s="49">
        <v>65.551000000000002</v>
      </c>
      <c r="BL22" s="49">
        <v>77.022999999999996</v>
      </c>
      <c r="BM22" s="49">
        <v>76.19</v>
      </c>
      <c r="BN22" s="49">
        <v>847.27200000000005</v>
      </c>
      <c r="BO22" s="49">
        <v>847.27200000000005</v>
      </c>
      <c r="BP22" s="49">
        <v>133.22399999999999</v>
      </c>
      <c r="BQ22" s="49">
        <v>126.52</v>
      </c>
      <c r="BR22" s="49">
        <v>59.744999999999997</v>
      </c>
      <c r="BS22" s="49">
        <v>28</v>
      </c>
      <c r="BT22" s="49">
        <v>7127.2849999999999</v>
      </c>
      <c r="BU22" s="49">
        <v>82.912999999999997</v>
      </c>
      <c r="BV22" s="49">
        <v>64.622</v>
      </c>
      <c r="BW22" s="49">
        <v>67.254000000000005</v>
      </c>
      <c r="BX22" s="49">
        <v>63.43</v>
      </c>
      <c r="BY22" s="49">
        <v>1.472</v>
      </c>
      <c r="BZ22" s="49">
        <v>2.2050000000000001</v>
      </c>
      <c r="CA22" s="49">
        <v>2.827</v>
      </c>
      <c r="CB22" s="49">
        <v>2.9489999999999998</v>
      </c>
      <c r="CC22" s="49">
        <v>5.8579999999999997</v>
      </c>
      <c r="CD22" s="49">
        <v>2.492</v>
      </c>
      <c r="CE22" s="49">
        <v>3.7959999999999998</v>
      </c>
      <c r="CF22" s="49">
        <v>2.1949999999999998</v>
      </c>
      <c r="CG22" s="49">
        <v>13.728</v>
      </c>
      <c r="CH22" s="49">
        <v>9.9079999999999995</v>
      </c>
      <c r="CI22" s="3"/>
      <c r="CJ22" s="3"/>
      <c r="CK22" s="3"/>
      <c r="CL22" s="49">
        <v>0</v>
      </c>
      <c r="CM22" s="49">
        <v>0</v>
      </c>
      <c r="CN22" s="49">
        <v>0</v>
      </c>
      <c r="CO22" s="49">
        <v>0</v>
      </c>
      <c r="CP22" s="49">
        <v>52.613</v>
      </c>
      <c r="CQ22" s="49">
        <v>748.36500000000001</v>
      </c>
      <c r="CR22" s="49">
        <v>93.802000000000007</v>
      </c>
      <c r="CS22" s="49">
        <v>90.278000000000006</v>
      </c>
      <c r="CT22" s="49">
        <v>0.53300000000000003</v>
      </c>
      <c r="CU22" s="49">
        <v>0.89400000000000002</v>
      </c>
      <c r="CV22" s="49">
        <v>1.0980000000000001</v>
      </c>
      <c r="CW22" s="49">
        <v>0.89900000000000002</v>
      </c>
      <c r="CX22" s="49">
        <v>0.999</v>
      </c>
      <c r="CY22" s="49">
        <v>0.80100000000000005</v>
      </c>
      <c r="CZ22" s="49">
        <v>1.298</v>
      </c>
      <c r="DA22" s="49">
        <v>0.79900000000000004</v>
      </c>
      <c r="DB22" s="49">
        <v>2.4969999999999999</v>
      </c>
      <c r="DC22" s="49">
        <v>6.0000000000000001E-3</v>
      </c>
      <c r="DD22" s="49">
        <v>0</v>
      </c>
      <c r="DE22" s="49">
        <v>0.314</v>
      </c>
      <c r="DF22" s="49">
        <v>0.22</v>
      </c>
      <c r="DG22" s="49">
        <v>0.214</v>
      </c>
      <c r="DH22" s="49">
        <v>1.9730000000000001</v>
      </c>
      <c r="DI22" s="49">
        <v>1.087</v>
      </c>
      <c r="DJ22" s="49">
        <v>0.23799999999999999</v>
      </c>
      <c r="DK22" s="49">
        <v>1.097</v>
      </c>
      <c r="DL22" s="49">
        <v>0.61099999999999999</v>
      </c>
      <c r="DM22" s="49">
        <v>0.77200000000000002</v>
      </c>
      <c r="DN22" s="49">
        <v>0.75900000000000001</v>
      </c>
      <c r="DO22" s="49">
        <v>0.70499999999999996</v>
      </c>
      <c r="DP22" s="49">
        <v>66.343999999999994</v>
      </c>
      <c r="DQ22" s="49">
        <v>58.656999999999996</v>
      </c>
      <c r="DR22" s="49">
        <v>55.45</v>
      </c>
      <c r="DS22" s="49">
        <v>49.04</v>
      </c>
      <c r="DT22" s="49">
        <v>0.55000000000000004</v>
      </c>
      <c r="DU22" s="49">
        <v>0.64</v>
      </c>
      <c r="DV22" s="49">
        <v>1.23</v>
      </c>
      <c r="DW22" s="49">
        <v>1</v>
      </c>
      <c r="DX22" s="49">
        <v>0.56000000000000005</v>
      </c>
      <c r="DY22" s="49">
        <v>0.62</v>
      </c>
      <c r="DZ22" s="49">
        <v>1.1599999999999999</v>
      </c>
      <c r="EA22" s="49">
        <v>0.93</v>
      </c>
      <c r="EB22" s="49">
        <v>5.75</v>
      </c>
      <c r="EC22" s="49">
        <v>5.47</v>
      </c>
      <c r="ED22" s="49">
        <v>4.62</v>
      </c>
      <c r="EE22" s="49">
        <v>4.72</v>
      </c>
      <c r="EF22" s="49">
        <v>93.14</v>
      </c>
      <c r="EG22" s="49">
        <v>93.26</v>
      </c>
      <c r="EH22" s="49">
        <v>92.99</v>
      </c>
      <c r="EI22" s="49">
        <v>93.36</v>
      </c>
      <c r="EJ22" s="49">
        <v>6.4539999999999997</v>
      </c>
      <c r="EK22" s="49">
        <v>57.728999999999999</v>
      </c>
      <c r="EL22" s="49">
        <v>0.65</v>
      </c>
      <c r="EM22" s="49">
        <v>0.3</v>
      </c>
      <c r="EN22" s="49">
        <v>0.94</v>
      </c>
      <c r="EO22" s="49">
        <v>0.93</v>
      </c>
      <c r="EP22" s="49">
        <v>-81.11</v>
      </c>
      <c r="EQ22" s="49">
        <v>-1.3049999999999999</v>
      </c>
      <c r="ER22" s="49">
        <v>91.462000000000003</v>
      </c>
      <c r="ES22" s="49">
        <v>1.373</v>
      </c>
      <c r="ET22" s="49">
        <v>1.4970000000000001</v>
      </c>
      <c r="EU22" s="49">
        <v>1.349</v>
      </c>
      <c r="EV22" s="49">
        <v>7.0990000000000002</v>
      </c>
      <c r="EW22" s="49">
        <v>11.099</v>
      </c>
      <c r="EX22" s="49">
        <v>65.180000000000007</v>
      </c>
      <c r="EY22" s="49">
        <v>0</v>
      </c>
      <c r="EZ22" s="49">
        <v>0</v>
      </c>
      <c r="FA22" s="49">
        <v>0</v>
      </c>
      <c r="FB22" s="49">
        <v>8.2040000000000006</v>
      </c>
      <c r="FC22" s="49">
        <v>78.337000000000003</v>
      </c>
      <c r="FD22" s="49">
        <v>79.212999999999994</v>
      </c>
      <c r="FE22" s="49">
        <v>90.873999999999995</v>
      </c>
      <c r="FF22" s="49">
        <v>88.275999999999996</v>
      </c>
      <c r="FG22" s="49">
        <v>0.92400000000000004</v>
      </c>
      <c r="FH22" s="49">
        <v>0.91</v>
      </c>
      <c r="FI22" s="49">
        <v>0.97799999999999998</v>
      </c>
      <c r="FJ22" s="49">
        <v>0.97499999999999998</v>
      </c>
      <c r="FK22" s="49">
        <v>0.501</v>
      </c>
      <c r="FL22" s="49">
        <v>83</v>
      </c>
      <c r="FM22" s="49">
        <v>2.2000000000000002</v>
      </c>
      <c r="FN22" s="49">
        <v>0.45</v>
      </c>
      <c r="FO22" s="49">
        <v>4.92</v>
      </c>
      <c r="FP22" s="49">
        <v>0.7</v>
      </c>
      <c r="FQ22" s="49">
        <v>4.4000000000000004</v>
      </c>
      <c r="FR22" s="49">
        <v>5.2</v>
      </c>
      <c r="FS22" s="49">
        <v>6.9790000000000001</v>
      </c>
      <c r="FT22" s="49">
        <v>1063.0999999999999</v>
      </c>
      <c r="FU22" s="49">
        <v>4.29</v>
      </c>
      <c r="FV22" s="49">
        <v>42.95</v>
      </c>
      <c r="FW22" s="49">
        <v>3149.5</v>
      </c>
      <c r="FX22" s="49">
        <v>163400</v>
      </c>
      <c r="FY22" s="49">
        <v>164600</v>
      </c>
      <c r="FZ22" s="49">
        <v>48.604999999999997</v>
      </c>
      <c r="GA22" s="49">
        <v>46.073</v>
      </c>
      <c r="GB22" s="49">
        <v>2171.9</v>
      </c>
      <c r="GC22" s="49">
        <v>2155</v>
      </c>
      <c r="GD22" s="49">
        <v>2243.6999999999998</v>
      </c>
      <c r="GE22" s="49">
        <v>2236.5</v>
      </c>
      <c r="GF22" s="49">
        <v>1588.6405999999999</v>
      </c>
      <c r="GG22" s="49">
        <v>37</v>
      </c>
      <c r="GH22" s="49">
        <v>36.5</v>
      </c>
      <c r="GI22" s="49">
        <v>80.599999999999994</v>
      </c>
      <c r="GJ22" s="49">
        <v>82.2</v>
      </c>
      <c r="GK22" s="49">
        <v>96.5</v>
      </c>
      <c r="GL22" s="49">
        <v>79.5</v>
      </c>
      <c r="GM22" s="49">
        <v>0</v>
      </c>
      <c r="GN22" s="49">
        <v>23.811</v>
      </c>
      <c r="GO22" s="49">
        <v>91.462000000000003</v>
      </c>
      <c r="GP22" s="49">
        <v>0</v>
      </c>
      <c r="GQ22" s="49">
        <v>4.72</v>
      </c>
      <c r="GR22" s="49">
        <v>0</v>
      </c>
      <c r="GS22" s="49">
        <v>4.8380000000000001</v>
      </c>
      <c r="GT22" s="49">
        <v>0</v>
      </c>
      <c r="GU22" s="49">
        <v>4.9560000000000004</v>
      </c>
      <c r="GV22" s="49">
        <v>0</v>
      </c>
      <c r="GW22" s="49">
        <v>12.904</v>
      </c>
      <c r="GX22" s="49">
        <v>24.99</v>
      </c>
      <c r="GY22" s="49">
        <v>0</v>
      </c>
      <c r="GZ22" s="49">
        <v>0</v>
      </c>
      <c r="HA22" s="49">
        <v>0</v>
      </c>
      <c r="HB22" s="49">
        <v>1</v>
      </c>
      <c r="HC22" s="49">
        <v>25.536999999999999</v>
      </c>
      <c r="HD22" s="49">
        <v>90</v>
      </c>
      <c r="HE22" s="49">
        <v>0</v>
      </c>
      <c r="HF22" s="49">
        <v>0</v>
      </c>
      <c r="HG22" s="49">
        <v>76.31</v>
      </c>
      <c r="HH22" s="49">
        <v>80.64</v>
      </c>
      <c r="HI22" s="49">
        <v>0</v>
      </c>
      <c r="HJ22" s="49">
        <v>0</v>
      </c>
      <c r="HK22" s="49">
        <v>0</v>
      </c>
      <c r="HL22" s="49">
        <v>64</v>
      </c>
      <c r="HM22" s="49">
        <v>58</v>
      </c>
      <c r="HN22" s="49">
        <v>67</v>
      </c>
      <c r="HO22" s="49">
        <v>60</v>
      </c>
      <c r="HP22" s="49">
        <v>63</v>
      </c>
      <c r="HQ22" s="49">
        <v>60</v>
      </c>
      <c r="HR22" s="49">
        <v>53</v>
      </c>
      <c r="HS22" s="49">
        <v>62</v>
      </c>
      <c r="HT22" s="49">
        <v>0.1065</v>
      </c>
      <c r="HU22" s="49">
        <v>0</v>
      </c>
      <c r="HV22" s="49">
        <v>1.091</v>
      </c>
      <c r="HW22" s="49">
        <v>62.5</v>
      </c>
      <c r="HX22" s="49">
        <v>65.31</v>
      </c>
      <c r="HY22" s="3"/>
      <c r="HZ22" s="3"/>
      <c r="IA22" s="49">
        <v>2.64</v>
      </c>
      <c r="IB22" s="49">
        <v>95</v>
      </c>
      <c r="IC22" s="49">
        <v>16.178000000000001</v>
      </c>
      <c r="ID22" s="49">
        <v>-8.0000000000000002E-3</v>
      </c>
      <c r="IE22" s="49">
        <v>1.2999999999999999E-2</v>
      </c>
      <c r="IF22" s="49">
        <v>911.7</v>
      </c>
      <c r="IG22" s="49">
        <v>666.7</v>
      </c>
      <c r="IH22" s="49">
        <v>964</v>
      </c>
      <c r="II22" s="49">
        <v>696.6</v>
      </c>
      <c r="IJ22" s="49">
        <v>2.3E-2</v>
      </c>
      <c r="IK22" s="49">
        <v>-3.0000000000000001E-3</v>
      </c>
      <c r="IL22" s="49">
        <v>1849.306</v>
      </c>
      <c r="IM22" s="49">
        <v>1849.306</v>
      </c>
      <c r="IN22" s="49">
        <v>29.908999999999999</v>
      </c>
      <c r="IO22" s="49">
        <v>0.24299999999999999</v>
      </c>
      <c r="IP22" s="49">
        <v>14.47</v>
      </c>
      <c r="IQ22" s="49">
        <v>0</v>
      </c>
      <c r="IR22" s="49">
        <v>0</v>
      </c>
      <c r="IS22">
        <v>0.25700000000000001</v>
      </c>
      <c r="IT22">
        <v>0.10500000000000001</v>
      </c>
    </row>
    <row r="23" spans="1:254" x14ac:dyDescent="0.25">
      <c r="IS23">
        <v>0.25700000000000001</v>
      </c>
      <c r="IT23">
        <v>0.10500000000000001</v>
      </c>
    </row>
    <row r="24" spans="1:254" x14ac:dyDescent="0.25">
      <c r="IS24">
        <v>0.25700000000000001</v>
      </c>
      <c r="IT24">
        <v>0.10500000000000001</v>
      </c>
    </row>
    <row r="25" spans="1:254" x14ac:dyDescent="0.25">
      <c r="IS25">
        <v>0.25700000000000001</v>
      </c>
      <c r="IT25">
        <v>0.10500000000000001</v>
      </c>
    </row>
    <row r="26" spans="1:254" x14ac:dyDescent="0.25">
      <c r="B26" s="2" t="s">
        <v>407</v>
      </c>
      <c r="C26" s="2" t="s">
        <v>41</v>
      </c>
      <c r="D26" s="57">
        <v>2.9094907407407407E-3</v>
      </c>
      <c r="E26" s="49">
        <v>251.37899999999999</v>
      </c>
      <c r="F26" s="48">
        <v>331.32</v>
      </c>
      <c r="G26" s="49">
        <v>5.82</v>
      </c>
      <c r="H26" s="48">
        <v>29.2</v>
      </c>
      <c r="I26" s="49">
        <v>0</v>
      </c>
      <c r="J26" s="49">
        <v>12</v>
      </c>
      <c r="K26" s="49">
        <v>6</v>
      </c>
      <c r="L26" s="49">
        <v>9</v>
      </c>
      <c r="M26" s="49">
        <v>4</v>
      </c>
      <c r="N26" s="49">
        <v>3</v>
      </c>
      <c r="O26" s="49">
        <v>3</v>
      </c>
      <c r="P26" s="48">
        <v>0.84299999999999997</v>
      </c>
      <c r="Q26" s="48">
        <v>1.196</v>
      </c>
      <c r="R26" s="48">
        <v>1.1040000000000001</v>
      </c>
      <c r="S26" s="48">
        <v>0.82099999999999995</v>
      </c>
      <c r="T26" s="48">
        <v>53.06</v>
      </c>
      <c r="U26" s="49">
        <v>61.243000000000002</v>
      </c>
      <c r="V26" s="49">
        <v>187.5</v>
      </c>
      <c r="W26" s="49">
        <v>201.66</v>
      </c>
      <c r="X26" s="49">
        <v>211.66</v>
      </c>
      <c r="Y26" s="49">
        <v>203.34</v>
      </c>
      <c r="Z26" s="48">
        <v>353.36</v>
      </c>
      <c r="AA26" s="48">
        <v>360.52</v>
      </c>
      <c r="AB26" s="48">
        <v>355.03</v>
      </c>
      <c r="AC26" s="48">
        <v>344.87</v>
      </c>
      <c r="AD26" s="48">
        <v>1.6839999999999999</v>
      </c>
      <c r="AE26" s="48">
        <v>1.772</v>
      </c>
      <c r="AF26" s="48">
        <v>1.7430000000000001</v>
      </c>
      <c r="AG26" s="48">
        <v>1.7509999999999999</v>
      </c>
      <c r="AH26" s="48">
        <v>67.12</v>
      </c>
      <c r="AI26" s="48">
        <v>66.91</v>
      </c>
      <c r="AJ26" s="48">
        <v>86.5</v>
      </c>
      <c r="AK26" s="48">
        <v>82.69</v>
      </c>
      <c r="AL26" s="48">
        <v>630.76499999999999</v>
      </c>
      <c r="AM26" s="48">
        <v>626.48900000000003</v>
      </c>
      <c r="AN26" s="48">
        <v>744.35500000000002</v>
      </c>
      <c r="AO26" s="48">
        <v>731.18600000000004</v>
      </c>
      <c r="AP26" s="49">
        <v>2.5</v>
      </c>
      <c r="AQ26" s="49">
        <v>1.837</v>
      </c>
      <c r="AR26" s="48">
        <v>40.957000000000001</v>
      </c>
      <c r="AS26" s="49">
        <v>34.963999999999999</v>
      </c>
      <c r="AT26" s="49">
        <v>85</v>
      </c>
      <c r="AU26" s="48">
        <v>103</v>
      </c>
      <c r="AV26" s="48">
        <v>3.3624999999999998</v>
      </c>
      <c r="AW26" s="49">
        <v>5.5568</v>
      </c>
      <c r="AX26" s="49">
        <v>993.6</v>
      </c>
      <c r="AY26" s="49">
        <v>1.01</v>
      </c>
      <c r="AZ26" s="49">
        <v>5.78</v>
      </c>
      <c r="BA26" s="49">
        <v>67.915999999999997</v>
      </c>
      <c r="BB26" s="49">
        <v>68.099999999999994</v>
      </c>
      <c r="BC26" s="49">
        <v>7824</v>
      </c>
      <c r="BD26" s="49">
        <v>89.75</v>
      </c>
      <c r="BE26" s="48">
        <v>22.87</v>
      </c>
      <c r="BF26" s="48">
        <v>13.494999999999999</v>
      </c>
      <c r="BG26" s="48">
        <v>26.61</v>
      </c>
      <c r="BH26" s="48">
        <v>25.62</v>
      </c>
      <c r="BI26" s="49">
        <v>66.884</v>
      </c>
      <c r="BJ26" s="48">
        <v>77.423000000000002</v>
      </c>
      <c r="BK26" s="49">
        <v>65.77</v>
      </c>
      <c r="BL26" s="48">
        <v>75.850999999999999</v>
      </c>
      <c r="BM26" s="48">
        <v>75.626000000000005</v>
      </c>
      <c r="BN26" s="48">
        <v>605.03200000000004</v>
      </c>
      <c r="BO26" s="49">
        <v>847.27200000000005</v>
      </c>
      <c r="BP26" s="48">
        <v>143.28800000000001</v>
      </c>
      <c r="BQ26" s="48">
        <v>141.14400000000001</v>
      </c>
      <c r="BR26" s="48">
        <v>58.643999999999998</v>
      </c>
      <c r="BS26" s="48">
        <v>28.9</v>
      </c>
      <c r="BT26" s="48">
        <v>7351.4059999999999</v>
      </c>
      <c r="BU26" s="48">
        <v>81.179000000000002</v>
      </c>
      <c r="BV26" s="48">
        <v>66.007000000000005</v>
      </c>
      <c r="BW26" s="49">
        <v>64.83</v>
      </c>
      <c r="BX26" s="49">
        <v>66.808999999999997</v>
      </c>
      <c r="BY26" s="49">
        <v>1.877</v>
      </c>
      <c r="BZ26" s="48">
        <v>2.3639999999999999</v>
      </c>
      <c r="CA26" s="49">
        <v>3.2589999999999999</v>
      </c>
      <c r="CB26" s="49">
        <v>4.1769999999999996</v>
      </c>
      <c r="CC26" s="49">
        <v>5.827</v>
      </c>
      <c r="CD26" s="49">
        <v>2.3029999999999999</v>
      </c>
      <c r="CE26" s="49">
        <v>3.964</v>
      </c>
      <c r="CF26" s="49">
        <v>2.2490000000000001</v>
      </c>
      <c r="CG26" s="48">
        <v>13.702999999999999</v>
      </c>
      <c r="CH26" s="49">
        <v>9.8249999999999993</v>
      </c>
      <c r="CI26" s="49">
        <v>4.0469999999999997</v>
      </c>
      <c r="CJ26" s="49">
        <v>3.1589999999999998</v>
      </c>
      <c r="CK26" s="49">
        <v>1.5109999999999999</v>
      </c>
      <c r="CL26" s="49">
        <v>0</v>
      </c>
      <c r="CM26" s="48">
        <v>0</v>
      </c>
      <c r="CN26" s="49">
        <v>0</v>
      </c>
      <c r="CO26" s="49">
        <v>0</v>
      </c>
      <c r="CP26" s="48">
        <v>92.902000000000001</v>
      </c>
      <c r="CQ26" s="48">
        <v>314.33999999999997</v>
      </c>
      <c r="CR26" s="48">
        <v>132.81</v>
      </c>
      <c r="CS26" s="48">
        <v>128.98099999999999</v>
      </c>
      <c r="CT26" s="49">
        <v>0.36499999999999999</v>
      </c>
      <c r="CU26" s="49">
        <v>1.9019999999999999</v>
      </c>
      <c r="CV26" s="49">
        <v>1.2</v>
      </c>
      <c r="CW26" s="49">
        <v>1.403</v>
      </c>
      <c r="CX26" s="48">
        <v>1.2</v>
      </c>
      <c r="CY26" s="49">
        <v>0.6</v>
      </c>
      <c r="CZ26" s="49">
        <v>0.999</v>
      </c>
      <c r="DA26" s="49">
        <v>1.2010000000000001</v>
      </c>
      <c r="DB26" s="49">
        <v>1.806</v>
      </c>
      <c r="DC26" s="49">
        <v>0</v>
      </c>
      <c r="DD26" s="49">
        <v>0</v>
      </c>
      <c r="DE26" s="48">
        <v>0.30299999999999999</v>
      </c>
      <c r="DF26" s="48">
        <v>0.16600000000000001</v>
      </c>
      <c r="DG26" s="48">
        <v>0.185</v>
      </c>
      <c r="DH26" s="49">
        <v>2.5470000000000002</v>
      </c>
      <c r="DI26" s="49">
        <v>1.2729999999999999</v>
      </c>
      <c r="DJ26" s="49">
        <v>0.313</v>
      </c>
      <c r="DK26" s="48">
        <v>0.748</v>
      </c>
      <c r="DL26" s="48">
        <v>0.61099999999999999</v>
      </c>
      <c r="DM26" s="48">
        <v>0.77300000000000002</v>
      </c>
      <c r="DN26" s="49">
        <v>0.79700000000000004</v>
      </c>
      <c r="DO26" s="49">
        <v>0.71899999999999997</v>
      </c>
      <c r="DP26" s="49">
        <v>65.366</v>
      </c>
      <c r="DQ26" s="48">
        <v>57.475000000000001</v>
      </c>
      <c r="DR26" s="48">
        <v>56.055</v>
      </c>
      <c r="DS26" s="48">
        <v>49.017000000000003</v>
      </c>
      <c r="DT26" s="48">
        <v>4.96</v>
      </c>
      <c r="DU26" s="48">
        <v>5.78</v>
      </c>
      <c r="DV26" s="48">
        <v>10.88</v>
      </c>
      <c r="DW26" s="48">
        <v>8.86</v>
      </c>
      <c r="DX26" s="48">
        <v>5.0999999999999996</v>
      </c>
      <c r="DY26" s="48">
        <v>6.19</v>
      </c>
      <c r="DZ26" s="48">
        <v>10.06</v>
      </c>
      <c r="EA26" s="48">
        <v>8.65</v>
      </c>
      <c r="EB26" s="48">
        <v>40.61</v>
      </c>
      <c r="EC26" s="48">
        <v>39.299999999999997</v>
      </c>
      <c r="ED26" s="48">
        <v>30.79</v>
      </c>
      <c r="EE26" s="48">
        <v>34.65</v>
      </c>
      <c r="EF26" s="49">
        <v>49.34</v>
      </c>
      <c r="EG26" s="49">
        <v>48.73</v>
      </c>
      <c r="EH26" s="49">
        <v>48.27</v>
      </c>
      <c r="EI26" s="49">
        <v>47.85</v>
      </c>
      <c r="EJ26" s="48">
        <v>6.4649999999999999</v>
      </c>
      <c r="EK26" s="48">
        <v>58.412999999999997</v>
      </c>
      <c r="EL26" s="49">
        <v>0.9</v>
      </c>
      <c r="EM26" s="49">
        <v>0.3</v>
      </c>
      <c r="EN26" s="49">
        <v>0.91</v>
      </c>
      <c r="EO26" s="49">
        <v>0.91</v>
      </c>
      <c r="EP26" s="48">
        <v>-105.63800000000001</v>
      </c>
      <c r="EQ26" s="49">
        <v>-1.327</v>
      </c>
      <c r="ER26" s="49">
        <v>98.177999999999997</v>
      </c>
      <c r="ES26" s="48">
        <v>1.335</v>
      </c>
      <c r="ET26" s="48">
        <v>1.48</v>
      </c>
      <c r="EU26" s="48">
        <v>1.3109999999999999</v>
      </c>
      <c r="EV26" s="49">
        <v>7.1859999999999999</v>
      </c>
      <c r="EW26" s="48">
        <v>10.914</v>
      </c>
      <c r="EX26" s="48">
        <v>68.260000000000005</v>
      </c>
      <c r="EY26" s="49">
        <v>6.0999999999999999E-2</v>
      </c>
      <c r="EZ26" s="48">
        <v>0</v>
      </c>
      <c r="FA26" s="49">
        <v>0</v>
      </c>
      <c r="FB26" s="48">
        <v>8.2089999999999996</v>
      </c>
      <c r="FC26" s="48">
        <v>63.35</v>
      </c>
      <c r="FD26" s="48">
        <v>66.111999999999995</v>
      </c>
      <c r="FE26" s="48">
        <v>78.210999999999999</v>
      </c>
      <c r="FF26" s="48">
        <v>74.929000000000002</v>
      </c>
      <c r="FG26" s="49">
        <v>0.9</v>
      </c>
      <c r="FH26" s="49">
        <v>0.89900000000000002</v>
      </c>
      <c r="FI26" s="49">
        <v>0.97499999999999998</v>
      </c>
      <c r="FJ26" s="49">
        <v>0.97299999999999998</v>
      </c>
      <c r="FK26" s="49">
        <v>0.4</v>
      </c>
      <c r="FL26" s="49">
        <v>85</v>
      </c>
      <c r="FM26" s="49">
        <v>2.54</v>
      </c>
      <c r="FN26" s="48">
        <v>0.59</v>
      </c>
      <c r="FO26" s="48">
        <v>5.51</v>
      </c>
      <c r="FP26" s="49">
        <v>0.7</v>
      </c>
      <c r="FQ26" s="48">
        <v>4.45</v>
      </c>
      <c r="FR26" s="48">
        <v>5.05</v>
      </c>
      <c r="FS26" s="49">
        <v>6.92</v>
      </c>
      <c r="FT26" s="49">
        <v>1071.4000000000001</v>
      </c>
      <c r="FU26" s="48">
        <v>5.93</v>
      </c>
      <c r="FV26" s="48">
        <v>48.77</v>
      </c>
      <c r="FW26" s="49">
        <v>3071.5</v>
      </c>
      <c r="FX26" s="49">
        <v>169100</v>
      </c>
      <c r="FY26" s="49">
        <v>167900</v>
      </c>
      <c r="FZ26" s="48">
        <v>48.963000000000001</v>
      </c>
      <c r="GA26" s="48">
        <v>45.48</v>
      </c>
      <c r="GB26" s="49">
        <v>2308</v>
      </c>
      <c r="GC26" s="49">
        <v>2184.6999999999998</v>
      </c>
      <c r="GD26" s="49">
        <v>2363</v>
      </c>
      <c r="GE26" s="49">
        <v>2184.6999999999998</v>
      </c>
      <c r="GF26" s="49">
        <v>1356.5780999999999</v>
      </c>
      <c r="GG26" s="48">
        <v>33</v>
      </c>
      <c r="GH26" s="48">
        <v>33.299999999999997</v>
      </c>
      <c r="GI26" s="49">
        <v>56.7</v>
      </c>
      <c r="GJ26" s="49">
        <v>61.5</v>
      </c>
      <c r="GK26" s="49">
        <v>95.5</v>
      </c>
      <c r="GL26" s="49">
        <v>83.1</v>
      </c>
      <c r="GM26" s="49">
        <v>0</v>
      </c>
      <c r="GN26" s="49">
        <v>22.449000000000002</v>
      </c>
      <c r="GO26" s="48">
        <v>105.63800000000001</v>
      </c>
      <c r="GP26" s="49">
        <v>0</v>
      </c>
      <c r="GQ26" s="49">
        <v>4.5430000000000001</v>
      </c>
      <c r="GR26" s="49">
        <v>0</v>
      </c>
      <c r="GS26" s="48">
        <v>3.7759999999999998</v>
      </c>
      <c r="GT26" s="49">
        <v>0</v>
      </c>
      <c r="GU26" s="48">
        <v>3.9529999999999998</v>
      </c>
      <c r="GV26" s="49">
        <v>0</v>
      </c>
      <c r="GW26" s="48">
        <v>12.882999999999999</v>
      </c>
      <c r="GX26" s="48">
        <v>18.423999999999999</v>
      </c>
      <c r="GY26" s="49">
        <v>0</v>
      </c>
      <c r="GZ26" s="49">
        <v>0</v>
      </c>
      <c r="HA26" s="49">
        <v>0</v>
      </c>
      <c r="HB26" s="49">
        <v>1</v>
      </c>
      <c r="HC26" s="49">
        <v>27.497</v>
      </c>
      <c r="HD26" s="48">
        <v>94</v>
      </c>
      <c r="HE26" s="49">
        <v>0</v>
      </c>
      <c r="HF26" s="49">
        <v>0</v>
      </c>
      <c r="HG26" s="49">
        <v>78.55</v>
      </c>
      <c r="HH26" s="48">
        <v>81.06</v>
      </c>
      <c r="HI26" s="49">
        <v>0</v>
      </c>
      <c r="HJ26" s="49">
        <v>0</v>
      </c>
      <c r="HK26" s="49">
        <v>0</v>
      </c>
      <c r="HL26" s="49">
        <v>68</v>
      </c>
      <c r="HM26" s="49">
        <v>57</v>
      </c>
      <c r="HN26" s="49">
        <v>67</v>
      </c>
      <c r="HO26" s="48">
        <v>60</v>
      </c>
      <c r="HP26" s="48">
        <v>64</v>
      </c>
      <c r="HQ26" s="48">
        <v>61</v>
      </c>
      <c r="HR26" s="49">
        <v>53</v>
      </c>
      <c r="HS26" s="48">
        <v>60</v>
      </c>
      <c r="HT26" s="48">
        <v>3.7999999999999999E-2</v>
      </c>
      <c r="HU26" s="49">
        <v>0</v>
      </c>
      <c r="HV26" s="48">
        <v>1.232</v>
      </c>
      <c r="HW26" s="49">
        <v>39.03</v>
      </c>
      <c r="HX26" s="49">
        <v>42.69</v>
      </c>
      <c r="HY26" s="3"/>
      <c r="HZ26" s="3"/>
      <c r="IA26" s="48">
        <v>2.6190000000000002</v>
      </c>
      <c r="IB26" s="48">
        <v>100</v>
      </c>
      <c r="IC26" s="48">
        <v>19.379000000000001</v>
      </c>
      <c r="ID26" s="49">
        <v>-4.2000000000000003E-2</v>
      </c>
      <c r="IE26" s="48">
        <v>0.03</v>
      </c>
      <c r="IF26" s="48">
        <v>900.5</v>
      </c>
      <c r="IG26" s="48">
        <v>734.3</v>
      </c>
      <c r="IH26" s="48">
        <v>928.1</v>
      </c>
      <c r="II26" s="48">
        <v>764.9</v>
      </c>
      <c r="IJ26" s="48">
        <v>3.4000000000000002E-2</v>
      </c>
      <c r="IK26" s="49">
        <v>-8.9999999999999993E-3</v>
      </c>
      <c r="IL26" s="49">
        <v>76.540999999999997</v>
      </c>
      <c r="IM26" s="49">
        <v>76.661000000000001</v>
      </c>
      <c r="IN26" s="49">
        <v>30.616</v>
      </c>
      <c r="IO26" s="48">
        <v>0.29799999999999999</v>
      </c>
      <c r="IP26" s="49">
        <v>14.54</v>
      </c>
      <c r="IQ26" s="49">
        <v>4.9000000000000002E-2</v>
      </c>
      <c r="IR26" s="49">
        <v>4.9000000000000002E-2</v>
      </c>
      <c r="IS26">
        <v>0.25700000000000001</v>
      </c>
      <c r="IT26">
        <v>0.10500000000000001</v>
      </c>
    </row>
    <row r="27" spans="1:254" x14ac:dyDescent="0.25">
      <c r="A27" s="6" t="s">
        <v>46</v>
      </c>
      <c r="B27" s="2" t="s">
        <v>407</v>
      </c>
      <c r="C27" s="2" t="s">
        <v>42</v>
      </c>
      <c r="D27" s="57">
        <v>2.8307870370370375E-3</v>
      </c>
      <c r="E27" s="48">
        <v>244.58199999999999</v>
      </c>
      <c r="F27" s="49">
        <v>332.11</v>
      </c>
      <c r="G27" s="48">
        <v>5.8</v>
      </c>
      <c r="H27" s="49">
        <v>29.3</v>
      </c>
      <c r="I27" s="49">
        <v>0</v>
      </c>
      <c r="J27" s="48">
        <v>11.6</v>
      </c>
      <c r="K27" s="48">
        <v>4</v>
      </c>
      <c r="L27" s="49">
        <v>9</v>
      </c>
      <c r="M27" s="49">
        <v>4</v>
      </c>
      <c r="N27" s="49">
        <v>3</v>
      </c>
      <c r="O27" s="49">
        <v>3</v>
      </c>
      <c r="P27" s="49">
        <v>0.97199999999999998</v>
      </c>
      <c r="Q27" s="49">
        <v>1.2949999999999999</v>
      </c>
      <c r="R27" s="49">
        <v>1.129</v>
      </c>
      <c r="S27" s="49">
        <v>0.91500000000000004</v>
      </c>
      <c r="T27" s="49">
        <v>63.32</v>
      </c>
      <c r="U27" s="48">
        <v>59.823999999999998</v>
      </c>
      <c r="V27" s="48">
        <v>310</v>
      </c>
      <c r="W27" s="48">
        <v>286.66000000000003</v>
      </c>
      <c r="X27" s="48">
        <v>323</v>
      </c>
      <c r="Y27" s="48">
        <v>324</v>
      </c>
      <c r="Z27" s="49">
        <v>438.81</v>
      </c>
      <c r="AA27" s="49">
        <v>423.15</v>
      </c>
      <c r="AB27" s="49">
        <v>443.92</v>
      </c>
      <c r="AC27" s="49">
        <v>446.46</v>
      </c>
      <c r="AD27" s="49">
        <v>1.722</v>
      </c>
      <c r="AE27" s="49">
        <v>1.7949999999999999</v>
      </c>
      <c r="AF27" s="49">
        <v>1.845</v>
      </c>
      <c r="AG27" s="49">
        <v>1.8340000000000001</v>
      </c>
      <c r="AH27" s="49">
        <v>75.97</v>
      </c>
      <c r="AI27" s="49">
        <v>77.180000000000007</v>
      </c>
      <c r="AJ27" s="49">
        <v>103.72</v>
      </c>
      <c r="AK27" s="49">
        <v>97.29</v>
      </c>
      <c r="AL27" s="49">
        <v>662.75400000000002</v>
      </c>
      <c r="AM27" s="49">
        <v>668.07399999999996</v>
      </c>
      <c r="AN27" s="49">
        <v>805.76900000000001</v>
      </c>
      <c r="AO27" s="49">
        <v>759.56</v>
      </c>
      <c r="AP27" s="48">
        <v>2.4670000000000001</v>
      </c>
      <c r="AQ27" s="48">
        <v>1.8140000000000001</v>
      </c>
      <c r="AR27" s="49">
        <v>43.904000000000003</v>
      </c>
      <c r="AS27" s="48">
        <v>34.904000000000003</v>
      </c>
      <c r="AT27" s="48">
        <v>83</v>
      </c>
      <c r="AU27" s="49">
        <v>107</v>
      </c>
      <c r="AV27" s="49">
        <v>3.157</v>
      </c>
      <c r="AW27" s="48">
        <v>5.5503</v>
      </c>
      <c r="AX27" s="48">
        <v>991</v>
      </c>
      <c r="AY27" s="48">
        <v>0.98</v>
      </c>
      <c r="AZ27" s="48">
        <v>5.82</v>
      </c>
      <c r="BA27" s="48">
        <v>69.3</v>
      </c>
      <c r="BB27" s="48">
        <v>69.400000000000006</v>
      </c>
      <c r="BC27" s="48">
        <v>7725</v>
      </c>
      <c r="BD27" s="48">
        <v>89</v>
      </c>
      <c r="BE27" s="49">
        <v>23.274999999999999</v>
      </c>
      <c r="BF27" s="49">
        <v>13.835000000000001</v>
      </c>
      <c r="BG27" s="49">
        <v>28.97</v>
      </c>
      <c r="BH27" s="49">
        <v>26.47</v>
      </c>
      <c r="BI27" s="48">
        <v>66.635000000000005</v>
      </c>
      <c r="BJ27" s="49">
        <v>78.906000000000006</v>
      </c>
      <c r="BK27" s="48">
        <v>65.337000000000003</v>
      </c>
      <c r="BL27" s="49">
        <v>77.191999999999993</v>
      </c>
      <c r="BM27" s="49">
        <v>76.695999999999998</v>
      </c>
      <c r="BN27" s="49">
        <v>847.27200000000005</v>
      </c>
      <c r="BO27" s="49">
        <v>847.27200000000005</v>
      </c>
      <c r="BP27" s="49">
        <v>173.4</v>
      </c>
      <c r="BQ27" s="49">
        <v>165.06399999999999</v>
      </c>
      <c r="BR27" s="49">
        <v>60.234999999999999</v>
      </c>
      <c r="BS27" s="49">
        <v>29</v>
      </c>
      <c r="BT27" s="49">
        <v>7356.7709999999997</v>
      </c>
      <c r="BU27" s="49">
        <v>81.391999999999996</v>
      </c>
      <c r="BV27" s="49">
        <v>66.710999999999999</v>
      </c>
      <c r="BW27" s="48">
        <v>63.749000000000002</v>
      </c>
      <c r="BX27" s="48">
        <v>66.100999999999999</v>
      </c>
      <c r="BY27" s="48">
        <v>1.3959999999999999</v>
      </c>
      <c r="BZ27" s="49">
        <v>2.5720000000000001</v>
      </c>
      <c r="CA27" s="48">
        <v>2.8839999999999999</v>
      </c>
      <c r="CB27" s="48">
        <v>3.53</v>
      </c>
      <c r="CC27" s="48">
        <v>5.5519999999999996</v>
      </c>
      <c r="CD27" s="48">
        <v>2.2210000000000001</v>
      </c>
      <c r="CE27" s="48">
        <v>3.7090000000000001</v>
      </c>
      <c r="CF27" s="48">
        <v>2.0790000000000002</v>
      </c>
      <c r="CG27" s="49">
        <v>13.881</v>
      </c>
      <c r="CH27" s="48">
        <v>10.654</v>
      </c>
      <c r="CI27" s="3"/>
      <c r="CJ27" s="3"/>
      <c r="CK27" s="3"/>
      <c r="CL27" s="49">
        <v>0</v>
      </c>
      <c r="CM27" s="49">
        <v>0.1</v>
      </c>
      <c r="CN27" s="49">
        <v>0</v>
      </c>
      <c r="CO27" s="49">
        <v>0</v>
      </c>
      <c r="CP27" s="49">
        <v>100.295</v>
      </c>
      <c r="CQ27" s="49">
        <v>545.08900000000006</v>
      </c>
      <c r="CR27" s="49">
        <v>151.76499999999999</v>
      </c>
      <c r="CS27" s="49">
        <v>147.50299999999999</v>
      </c>
      <c r="CT27" s="48">
        <v>0.311</v>
      </c>
      <c r="CU27" s="48">
        <v>0.79900000000000004</v>
      </c>
      <c r="CV27" s="48">
        <v>0.80100000000000005</v>
      </c>
      <c r="CW27" s="48">
        <v>0.80100000000000005</v>
      </c>
      <c r="CX27" s="49">
        <v>1.6</v>
      </c>
      <c r="CY27" s="48">
        <v>0.20100000000000001</v>
      </c>
      <c r="CZ27" s="48">
        <v>0.59899999999999998</v>
      </c>
      <c r="DA27" s="48">
        <v>0.39900000000000002</v>
      </c>
      <c r="DB27" s="48">
        <v>0.69799999999999995</v>
      </c>
      <c r="DC27" s="49">
        <v>0</v>
      </c>
      <c r="DD27" s="49">
        <v>0</v>
      </c>
      <c r="DE27" s="49">
        <v>0.32600000000000001</v>
      </c>
      <c r="DF27" s="49">
        <v>0.19</v>
      </c>
      <c r="DG27" s="49">
        <v>0.42799999999999999</v>
      </c>
      <c r="DH27" s="48">
        <v>1.879</v>
      </c>
      <c r="DI27" s="48">
        <v>1.0389999999999999</v>
      </c>
      <c r="DJ27" s="48">
        <v>0.28199999999999997</v>
      </c>
      <c r="DK27" s="49">
        <v>1.0289999999999999</v>
      </c>
      <c r="DL27" s="49">
        <v>0.61399999999999999</v>
      </c>
      <c r="DM27" s="49">
        <v>0.78</v>
      </c>
      <c r="DN27" s="48">
        <v>0.76300000000000001</v>
      </c>
      <c r="DO27" s="48">
        <v>0.71</v>
      </c>
      <c r="DP27" s="48">
        <v>65.364000000000004</v>
      </c>
      <c r="DQ27" s="49">
        <v>58.13</v>
      </c>
      <c r="DR27" s="49">
        <v>56.195999999999998</v>
      </c>
      <c r="DS27" s="49">
        <v>50.116999999999997</v>
      </c>
      <c r="DT27" s="49">
        <v>5.46</v>
      </c>
      <c r="DU27" s="49">
        <v>6.16</v>
      </c>
      <c r="DV27" s="49">
        <v>11.85</v>
      </c>
      <c r="DW27" s="49">
        <v>9.3699999999999992</v>
      </c>
      <c r="DX27" s="49">
        <v>5.64</v>
      </c>
      <c r="DY27" s="49">
        <v>6.69</v>
      </c>
      <c r="DZ27" s="49">
        <v>11.32</v>
      </c>
      <c r="EA27" s="49">
        <v>9.19</v>
      </c>
      <c r="EB27" s="49">
        <v>42</v>
      </c>
      <c r="EC27" s="49">
        <v>41.43</v>
      </c>
      <c r="ED27" s="49">
        <v>33.25</v>
      </c>
      <c r="EE27" s="49">
        <v>35.54</v>
      </c>
      <c r="EF27" s="48">
        <v>46.9</v>
      </c>
      <c r="EG27" s="48">
        <v>45.72</v>
      </c>
      <c r="EH27" s="48">
        <v>43.58</v>
      </c>
      <c r="EI27" s="48">
        <v>45.9</v>
      </c>
      <c r="EJ27" s="49">
        <v>7.3390000000000004</v>
      </c>
      <c r="EK27" s="49">
        <v>59.4</v>
      </c>
      <c r="EL27" s="48">
        <v>0.75</v>
      </c>
      <c r="EM27" s="49">
        <v>0.3</v>
      </c>
      <c r="EN27" s="48">
        <v>0.89</v>
      </c>
      <c r="EO27" s="48">
        <v>0.9</v>
      </c>
      <c r="EP27" s="49">
        <v>-111.77</v>
      </c>
      <c r="EQ27" s="48">
        <v>-2.5680000000000001</v>
      </c>
      <c r="ER27" s="48">
        <v>89.126000000000005</v>
      </c>
      <c r="ES27" s="49">
        <v>1.421</v>
      </c>
      <c r="ET27" s="49">
        <v>1.5860000000000001</v>
      </c>
      <c r="EU27" s="49">
        <v>1.415</v>
      </c>
      <c r="EV27" s="48">
        <v>7.1310000000000002</v>
      </c>
      <c r="EW27" s="49">
        <v>10.978999999999999</v>
      </c>
      <c r="EX27" s="49">
        <v>70.12</v>
      </c>
      <c r="EY27" s="48">
        <v>0.02</v>
      </c>
      <c r="EZ27" s="49">
        <v>0.443</v>
      </c>
      <c r="FA27" s="49">
        <v>0</v>
      </c>
      <c r="FB27" s="49">
        <v>9.1630000000000003</v>
      </c>
      <c r="FC27" s="49">
        <v>65.563999999999993</v>
      </c>
      <c r="FD27" s="49">
        <v>66.201999999999998</v>
      </c>
      <c r="FE27" s="49">
        <v>83.25</v>
      </c>
      <c r="FF27" s="49">
        <v>78.960999999999999</v>
      </c>
      <c r="FG27" s="48">
        <v>0.877</v>
      </c>
      <c r="FH27" s="48">
        <v>0.89800000000000002</v>
      </c>
      <c r="FI27" s="48">
        <v>0.96699999999999997</v>
      </c>
      <c r="FJ27" s="48">
        <v>0.96299999999999997</v>
      </c>
      <c r="FK27" s="48">
        <v>9.9000000000000005E-2</v>
      </c>
      <c r="FL27" s="48">
        <v>83</v>
      </c>
      <c r="FM27" s="48">
        <v>2.35</v>
      </c>
      <c r="FN27" s="49">
        <v>0.56999999999999995</v>
      </c>
      <c r="FO27" s="49">
        <v>5.46</v>
      </c>
      <c r="FP27" s="48">
        <v>3.9</v>
      </c>
      <c r="FQ27" s="49">
        <v>4.4000000000000004</v>
      </c>
      <c r="FR27" s="49">
        <v>5</v>
      </c>
      <c r="FS27" s="48">
        <v>6.8659999999999997</v>
      </c>
      <c r="FT27" s="48">
        <v>1063.4000000000001</v>
      </c>
      <c r="FU27" s="49">
        <v>6.7</v>
      </c>
      <c r="FV27" s="49">
        <v>54.57</v>
      </c>
      <c r="FW27" s="48">
        <v>3015</v>
      </c>
      <c r="FX27" s="48">
        <v>155400</v>
      </c>
      <c r="FY27" s="48">
        <v>165500</v>
      </c>
      <c r="FZ27" s="49">
        <v>69.260000000000005</v>
      </c>
      <c r="GA27" s="49">
        <v>45.83</v>
      </c>
      <c r="GB27" s="48">
        <v>2055.4</v>
      </c>
      <c r="GC27" s="48">
        <v>2098</v>
      </c>
      <c r="GD27" s="48">
        <v>2059.9</v>
      </c>
      <c r="GE27" s="48">
        <v>2123.3000000000002</v>
      </c>
      <c r="GF27" s="48">
        <v>1303.3594000000001</v>
      </c>
      <c r="GG27" s="49">
        <v>34</v>
      </c>
      <c r="GH27" s="49">
        <v>33.6</v>
      </c>
      <c r="GI27" s="48">
        <v>49.8</v>
      </c>
      <c r="GJ27" s="48">
        <v>55.7</v>
      </c>
      <c r="GK27" s="48">
        <v>99.5</v>
      </c>
      <c r="GL27" s="48">
        <v>76.8</v>
      </c>
      <c r="GM27" s="49">
        <v>0</v>
      </c>
      <c r="GN27" s="48">
        <v>21.786999999999999</v>
      </c>
      <c r="GO27" s="49">
        <v>111.77</v>
      </c>
      <c r="GP27" s="49">
        <v>0</v>
      </c>
      <c r="GQ27" s="48">
        <v>4.13</v>
      </c>
      <c r="GR27" s="49">
        <v>0</v>
      </c>
      <c r="GS27" s="49">
        <v>4.1890000000000001</v>
      </c>
      <c r="GT27" s="49">
        <v>0</v>
      </c>
      <c r="GU27" s="49">
        <v>4.13</v>
      </c>
      <c r="GV27" s="49">
        <v>0</v>
      </c>
      <c r="GW27" s="49">
        <v>13.978</v>
      </c>
      <c r="GX27" s="49">
        <v>22.736000000000001</v>
      </c>
      <c r="GY27" s="49">
        <v>0</v>
      </c>
      <c r="GZ27" s="49">
        <v>0</v>
      </c>
      <c r="HA27" s="49">
        <v>0</v>
      </c>
      <c r="HB27" s="48">
        <v>0</v>
      </c>
      <c r="HC27" s="48">
        <v>23.79</v>
      </c>
      <c r="HD27" s="49">
        <v>98</v>
      </c>
      <c r="HE27" s="49">
        <v>0</v>
      </c>
      <c r="HF27" s="49">
        <v>0</v>
      </c>
      <c r="HG27" s="48">
        <v>72.349999999999994</v>
      </c>
      <c r="HH27" s="49">
        <v>81.16</v>
      </c>
      <c r="HI27" s="49">
        <v>0</v>
      </c>
      <c r="HJ27" s="49">
        <v>0</v>
      </c>
      <c r="HK27" s="49">
        <v>0</v>
      </c>
      <c r="HL27" s="49">
        <v>68</v>
      </c>
      <c r="HM27" s="48">
        <v>56</v>
      </c>
      <c r="HN27" s="49">
        <v>67</v>
      </c>
      <c r="HO27" s="49">
        <v>61</v>
      </c>
      <c r="HP27" s="49">
        <v>65</v>
      </c>
      <c r="HQ27" s="49">
        <v>62</v>
      </c>
      <c r="HR27" s="49">
        <v>53</v>
      </c>
      <c r="HS27" s="49">
        <v>62</v>
      </c>
      <c r="HT27" s="49">
        <v>3.4000000000000002E-2</v>
      </c>
      <c r="HU27" s="49">
        <v>0</v>
      </c>
      <c r="HV27" s="49">
        <v>1.2869999999999999</v>
      </c>
      <c r="HW27" s="49">
        <v>39.03</v>
      </c>
      <c r="HX27" s="49">
        <v>42.69</v>
      </c>
      <c r="HY27" s="3"/>
      <c r="HZ27" s="3"/>
      <c r="IA27" s="49">
        <v>2.6850000000000001</v>
      </c>
      <c r="IB27" s="49">
        <v>103</v>
      </c>
      <c r="IC27" s="49">
        <v>22.132999999999999</v>
      </c>
      <c r="ID27" s="48">
        <v>-0.06</v>
      </c>
      <c r="IE27" s="49">
        <v>4.8000000000000001E-2</v>
      </c>
      <c r="IF27" s="49">
        <v>913.4</v>
      </c>
      <c r="IG27" s="49">
        <v>798</v>
      </c>
      <c r="IH27" s="49">
        <v>949.2</v>
      </c>
      <c r="II27" s="49">
        <v>822.6</v>
      </c>
      <c r="IJ27" s="49">
        <v>0.58099999999999996</v>
      </c>
      <c r="IK27" s="48">
        <v>-3.3000000000000002E-2</v>
      </c>
      <c r="IL27" s="48">
        <v>43.722999999999999</v>
      </c>
      <c r="IM27" s="48">
        <v>43.722999999999999</v>
      </c>
      <c r="IN27" s="48">
        <v>24.574999999999999</v>
      </c>
      <c r="IO27" s="49">
        <v>2.923</v>
      </c>
      <c r="IP27" s="48">
        <v>14.52</v>
      </c>
      <c r="IQ27" s="48">
        <v>0</v>
      </c>
      <c r="IR27" s="48">
        <v>0</v>
      </c>
      <c r="IS27">
        <v>0.25700000000000001</v>
      </c>
      <c r="IT27">
        <v>0.10500000000000001</v>
      </c>
    </row>
    <row r="28" spans="1:254" x14ac:dyDescent="0.25">
      <c r="IS28">
        <v>0.25700000000000001</v>
      </c>
      <c r="IT28">
        <v>0.10500000000000001</v>
      </c>
    </row>
    <row r="29" spans="1:254" x14ac:dyDescent="0.25">
      <c r="B29" s="2" t="s">
        <v>407</v>
      </c>
      <c r="C29" s="2" t="s">
        <v>41</v>
      </c>
      <c r="D29" s="57">
        <v>2.9094907407407407E-3</v>
      </c>
      <c r="E29" s="49">
        <v>251.37899999999999</v>
      </c>
      <c r="F29" s="48">
        <v>331.32</v>
      </c>
      <c r="G29" s="49">
        <v>5.82</v>
      </c>
      <c r="H29" s="48">
        <v>29.2</v>
      </c>
      <c r="I29" s="49">
        <v>0</v>
      </c>
      <c r="J29" s="49">
        <v>12</v>
      </c>
      <c r="K29" s="49">
        <v>6</v>
      </c>
      <c r="L29" s="49">
        <v>9</v>
      </c>
      <c r="M29" s="49">
        <v>4</v>
      </c>
      <c r="N29" s="49">
        <v>3</v>
      </c>
      <c r="O29" s="49">
        <v>3</v>
      </c>
      <c r="P29" s="48">
        <v>0.84299999999999997</v>
      </c>
      <c r="Q29" s="48">
        <v>1.196</v>
      </c>
      <c r="R29" s="48">
        <v>1.1040000000000001</v>
      </c>
      <c r="S29" s="48">
        <v>0.82099999999999995</v>
      </c>
      <c r="T29" s="48">
        <v>53.06</v>
      </c>
      <c r="U29" s="49">
        <v>61.243000000000002</v>
      </c>
      <c r="V29" s="49">
        <v>187.5</v>
      </c>
      <c r="W29" s="49">
        <v>201.66</v>
      </c>
      <c r="X29" s="49">
        <v>211.66</v>
      </c>
      <c r="Y29" s="49">
        <v>203.34</v>
      </c>
      <c r="Z29" s="48">
        <v>353.36</v>
      </c>
      <c r="AA29" s="48">
        <v>360.52</v>
      </c>
      <c r="AB29" s="48">
        <v>355.03</v>
      </c>
      <c r="AC29" s="48">
        <v>344.87</v>
      </c>
      <c r="AD29" s="48">
        <v>1.6839999999999999</v>
      </c>
      <c r="AE29" s="48">
        <v>1.772</v>
      </c>
      <c r="AF29" s="48">
        <v>1.7430000000000001</v>
      </c>
      <c r="AG29" s="48">
        <v>1.7509999999999999</v>
      </c>
      <c r="AH29" s="48">
        <v>67.12</v>
      </c>
      <c r="AI29" s="48">
        <v>66.91</v>
      </c>
      <c r="AJ29" s="48">
        <v>86.5</v>
      </c>
      <c r="AK29" s="48">
        <v>82.69</v>
      </c>
      <c r="AL29" s="48">
        <v>630.76499999999999</v>
      </c>
      <c r="AM29" s="48">
        <v>626.48900000000003</v>
      </c>
      <c r="AN29" s="48">
        <v>744.35500000000002</v>
      </c>
      <c r="AO29" s="48">
        <v>731.18600000000004</v>
      </c>
      <c r="AP29" s="49">
        <v>2.5</v>
      </c>
      <c r="AQ29" s="49">
        <v>1.837</v>
      </c>
      <c r="AR29" s="48">
        <v>40.957000000000001</v>
      </c>
      <c r="AS29" s="49">
        <v>34.963999999999999</v>
      </c>
      <c r="AT29" s="49">
        <v>85</v>
      </c>
      <c r="AU29" s="48">
        <v>103</v>
      </c>
      <c r="AV29" s="48">
        <v>3.3624999999999998</v>
      </c>
      <c r="AW29" s="49">
        <v>5.5568</v>
      </c>
      <c r="AX29" s="49">
        <v>993.6</v>
      </c>
      <c r="AY29" s="49">
        <v>1.01</v>
      </c>
      <c r="AZ29" s="49">
        <v>5.78</v>
      </c>
      <c r="BA29" s="49">
        <v>67.915999999999997</v>
      </c>
      <c r="BB29" s="49">
        <v>68.099999999999994</v>
      </c>
      <c r="BC29" s="49">
        <v>7824</v>
      </c>
      <c r="BD29" s="49">
        <v>89.75</v>
      </c>
      <c r="BE29" s="48">
        <v>22.87</v>
      </c>
      <c r="BF29" s="48">
        <v>13.494999999999999</v>
      </c>
      <c r="BG29" s="48">
        <v>26.61</v>
      </c>
      <c r="BH29" s="48">
        <v>25.62</v>
      </c>
      <c r="BI29" s="49">
        <v>66.884</v>
      </c>
      <c r="BJ29" s="48">
        <v>77.423000000000002</v>
      </c>
      <c r="BK29" s="49">
        <v>65.77</v>
      </c>
      <c r="BL29" s="48">
        <v>75.850999999999999</v>
      </c>
      <c r="BM29" s="48">
        <v>75.626000000000005</v>
      </c>
      <c r="BN29" s="48">
        <v>605.03200000000004</v>
      </c>
      <c r="BO29" s="49">
        <v>847.27200000000005</v>
      </c>
      <c r="BP29" s="48">
        <v>143.28800000000001</v>
      </c>
      <c r="BQ29" s="48">
        <v>141.14400000000001</v>
      </c>
      <c r="BR29" s="48">
        <v>58.643999999999998</v>
      </c>
      <c r="BS29" s="48">
        <v>28.9</v>
      </c>
      <c r="BT29" s="48">
        <v>7351.4059999999999</v>
      </c>
      <c r="BU29" s="48">
        <v>81.179000000000002</v>
      </c>
      <c r="BV29" s="48">
        <v>66.007000000000005</v>
      </c>
      <c r="BW29" s="49">
        <v>64.83</v>
      </c>
      <c r="BX29" s="49">
        <v>66.808999999999997</v>
      </c>
      <c r="BY29" s="49">
        <v>1.877</v>
      </c>
      <c r="BZ29" s="48">
        <v>2.3639999999999999</v>
      </c>
      <c r="CA29" s="49">
        <v>3.2589999999999999</v>
      </c>
      <c r="CB29" s="49">
        <v>4.1769999999999996</v>
      </c>
      <c r="CC29" s="49">
        <v>5.827</v>
      </c>
      <c r="CD29" s="49">
        <v>2.3029999999999999</v>
      </c>
      <c r="CE29" s="49">
        <v>3.964</v>
      </c>
      <c r="CF29" s="49">
        <v>2.2490000000000001</v>
      </c>
      <c r="CG29" s="48">
        <v>13.702999999999999</v>
      </c>
      <c r="CH29" s="49">
        <v>9.8249999999999993</v>
      </c>
      <c r="CI29" s="49">
        <v>4.0469999999999997</v>
      </c>
      <c r="CJ29" s="49">
        <v>3.1589999999999998</v>
      </c>
      <c r="CK29" s="49">
        <v>1.5109999999999999</v>
      </c>
      <c r="CL29" s="49">
        <v>0</v>
      </c>
      <c r="CM29" s="48">
        <v>0</v>
      </c>
      <c r="CN29" s="49">
        <v>0</v>
      </c>
      <c r="CO29" s="49">
        <v>0</v>
      </c>
      <c r="CP29" s="48">
        <v>92.902000000000001</v>
      </c>
      <c r="CQ29" s="48">
        <v>314.33999999999997</v>
      </c>
      <c r="CR29" s="48">
        <v>132.81</v>
      </c>
      <c r="CS29" s="48">
        <v>128.98099999999999</v>
      </c>
      <c r="CT29" s="49">
        <v>0.36499999999999999</v>
      </c>
      <c r="CU29" s="49">
        <v>1.9019999999999999</v>
      </c>
      <c r="CV29" s="49">
        <v>1.2</v>
      </c>
      <c r="CW29" s="49">
        <v>1.403</v>
      </c>
      <c r="CX29" s="48">
        <v>1.2</v>
      </c>
      <c r="CY29" s="49">
        <v>0.6</v>
      </c>
      <c r="CZ29" s="49">
        <v>0.999</v>
      </c>
      <c r="DA29" s="49">
        <v>1.2010000000000001</v>
      </c>
      <c r="DB29" s="49">
        <v>1.806</v>
      </c>
      <c r="DC29" s="49">
        <v>0</v>
      </c>
      <c r="DD29" s="49">
        <v>0</v>
      </c>
      <c r="DE29" s="48">
        <v>0.30299999999999999</v>
      </c>
      <c r="DF29" s="48">
        <v>0.16600000000000001</v>
      </c>
      <c r="DG29" s="48">
        <v>0.185</v>
      </c>
      <c r="DH29" s="49">
        <v>2.5470000000000002</v>
      </c>
      <c r="DI29" s="49">
        <v>1.2729999999999999</v>
      </c>
      <c r="DJ29" s="49">
        <v>0.313</v>
      </c>
      <c r="DK29" s="48">
        <v>0.748</v>
      </c>
      <c r="DL29" s="48">
        <v>0.61099999999999999</v>
      </c>
      <c r="DM29" s="48">
        <v>0.77300000000000002</v>
      </c>
      <c r="DN29" s="49">
        <v>0.79700000000000004</v>
      </c>
      <c r="DO29" s="49">
        <v>0.71899999999999997</v>
      </c>
      <c r="DP29" s="49">
        <v>65.366</v>
      </c>
      <c r="DQ29" s="48">
        <v>57.475000000000001</v>
      </c>
      <c r="DR29" s="48">
        <v>56.055</v>
      </c>
      <c r="DS29" s="48">
        <v>49.017000000000003</v>
      </c>
      <c r="DT29" s="48">
        <v>4.96</v>
      </c>
      <c r="DU29" s="48">
        <v>5.78</v>
      </c>
      <c r="DV29" s="48">
        <v>10.88</v>
      </c>
      <c r="DW29" s="48">
        <v>8.86</v>
      </c>
      <c r="DX29" s="48">
        <v>5.0999999999999996</v>
      </c>
      <c r="DY29" s="48">
        <v>6.19</v>
      </c>
      <c r="DZ29" s="48">
        <v>10.06</v>
      </c>
      <c r="EA29" s="48">
        <v>8.65</v>
      </c>
      <c r="EB29" s="48">
        <v>40.61</v>
      </c>
      <c r="EC29" s="48">
        <v>39.299999999999997</v>
      </c>
      <c r="ED29" s="48">
        <v>30.79</v>
      </c>
      <c r="EE29" s="48">
        <v>34.65</v>
      </c>
      <c r="EF29" s="49">
        <v>49.34</v>
      </c>
      <c r="EG29" s="49">
        <v>48.73</v>
      </c>
      <c r="EH29" s="49">
        <v>48.27</v>
      </c>
      <c r="EI29" s="49">
        <v>47.85</v>
      </c>
      <c r="EJ29" s="48">
        <v>6.4649999999999999</v>
      </c>
      <c r="EK29" s="48">
        <v>58.412999999999997</v>
      </c>
      <c r="EL29" s="49">
        <v>0.9</v>
      </c>
      <c r="EM29" s="49">
        <v>0.3</v>
      </c>
      <c r="EN29" s="49">
        <v>0.91</v>
      </c>
      <c r="EO29" s="49">
        <v>0.91</v>
      </c>
      <c r="EP29" s="48">
        <v>-105.63800000000001</v>
      </c>
      <c r="EQ29" s="49">
        <v>-1.327</v>
      </c>
      <c r="ER29" s="49">
        <v>98.177999999999997</v>
      </c>
      <c r="ES29" s="48">
        <v>1.335</v>
      </c>
      <c r="ET29" s="48">
        <v>1.48</v>
      </c>
      <c r="EU29" s="48">
        <v>1.3109999999999999</v>
      </c>
      <c r="EV29" s="49">
        <v>7.1859999999999999</v>
      </c>
      <c r="EW29" s="48">
        <v>10.914</v>
      </c>
      <c r="EX29" s="48">
        <v>68.260000000000005</v>
      </c>
      <c r="EY29" s="49">
        <v>6.0999999999999999E-2</v>
      </c>
      <c r="EZ29" s="48">
        <v>0</v>
      </c>
      <c r="FA29" s="49">
        <v>0</v>
      </c>
      <c r="FB29" s="48">
        <v>8.2089999999999996</v>
      </c>
      <c r="FC29" s="48">
        <v>63.35</v>
      </c>
      <c r="FD29" s="48">
        <v>66.111999999999995</v>
      </c>
      <c r="FE29" s="48">
        <v>78.210999999999999</v>
      </c>
      <c r="FF29" s="48">
        <v>74.929000000000002</v>
      </c>
      <c r="FG29" s="49">
        <v>0.9</v>
      </c>
      <c r="FH29" s="49">
        <v>0.89900000000000002</v>
      </c>
      <c r="FI29" s="49">
        <v>0.97499999999999998</v>
      </c>
      <c r="FJ29" s="49">
        <v>0.97299999999999998</v>
      </c>
      <c r="FK29" s="49">
        <v>0.4</v>
      </c>
      <c r="FL29" s="49">
        <v>85</v>
      </c>
      <c r="FM29" s="49">
        <v>2.54</v>
      </c>
      <c r="FN29" s="48">
        <v>0.59</v>
      </c>
      <c r="FO29" s="48">
        <v>5.51</v>
      </c>
      <c r="FP29" s="49">
        <v>0.7</v>
      </c>
      <c r="FQ29" s="48">
        <v>4.45</v>
      </c>
      <c r="FR29" s="48">
        <v>5.05</v>
      </c>
      <c r="FS29" s="49">
        <v>6.92</v>
      </c>
      <c r="FT29" s="49">
        <v>1071.4000000000001</v>
      </c>
      <c r="FU29" s="48">
        <v>5.93</v>
      </c>
      <c r="FV29" s="48">
        <v>48.77</v>
      </c>
      <c r="FW29" s="49">
        <v>3071.5</v>
      </c>
      <c r="FX29" s="49">
        <v>169100</v>
      </c>
      <c r="FY29" s="49">
        <v>167900</v>
      </c>
      <c r="FZ29" s="48">
        <v>48.963000000000001</v>
      </c>
      <c r="GA29" s="48">
        <v>45.48</v>
      </c>
      <c r="GB29" s="49">
        <v>2308</v>
      </c>
      <c r="GC29" s="49">
        <v>2184.6999999999998</v>
      </c>
      <c r="GD29" s="49">
        <v>2363</v>
      </c>
      <c r="GE29" s="49">
        <v>2184.6999999999998</v>
      </c>
      <c r="GF29" s="49">
        <v>1356.5780999999999</v>
      </c>
      <c r="GG29" s="48">
        <v>33</v>
      </c>
      <c r="GH29" s="48">
        <v>33.299999999999997</v>
      </c>
      <c r="GI29" s="49">
        <v>56.7</v>
      </c>
      <c r="GJ29" s="49">
        <v>61.5</v>
      </c>
      <c r="GK29" s="49">
        <v>95.5</v>
      </c>
      <c r="GL29" s="49">
        <v>83.1</v>
      </c>
      <c r="GM29" s="49">
        <v>0</v>
      </c>
      <c r="GN29" s="49">
        <v>22.449000000000002</v>
      </c>
      <c r="GO29" s="48">
        <v>105.63800000000001</v>
      </c>
      <c r="GP29" s="49">
        <v>0</v>
      </c>
      <c r="GQ29" s="49">
        <v>4.5430000000000001</v>
      </c>
      <c r="GR29" s="49">
        <v>0</v>
      </c>
      <c r="GS29" s="48">
        <v>3.7759999999999998</v>
      </c>
      <c r="GT29" s="49">
        <v>0</v>
      </c>
      <c r="GU29" s="48">
        <v>3.9529999999999998</v>
      </c>
      <c r="GV29" s="49">
        <v>0</v>
      </c>
      <c r="GW29" s="48">
        <v>12.882999999999999</v>
      </c>
      <c r="GX29" s="48">
        <v>18.423999999999999</v>
      </c>
      <c r="GY29" s="49">
        <v>0</v>
      </c>
      <c r="GZ29" s="49">
        <v>0</v>
      </c>
      <c r="HA29" s="49">
        <v>0</v>
      </c>
      <c r="HB29" s="49">
        <v>1</v>
      </c>
      <c r="HC29" s="49">
        <v>27.497</v>
      </c>
      <c r="HD29" s="48">
        <v>94</v>
      </c>
      <c r="HE29" s="49">
        <v>0</v>
      </c>
      <c r="HF29" s="49">
        <v>0</v>
      </c>
      <c r="HG29" s="49">
        <v>78.55</v>
      </c>
      <c r="HH29" s="48">
        <v>81.06</v>
      </c>
      <c r="HI29" s="49">
        <v>0</v>
      </c>
      <c r="HJ29" s="49">
        <v>0</v>
      </c>
      <c r="HK29" s="49">
        <v>0</v>
      </c>
      <c r="HL29" s="49">
        <v>68</v>
      </c>
      <c r="HM29" s="49">
        <v>57</v>
      </c>
      <c r="HN29" s="49">
        <v>67</v>
      </c>
      <c r="HO29" s="48">
        <v>60</v>
      </c>
      <c r="HP29" s="48">
        <v>64</v>
      </c>
      <c r="HQ29" s="48">
        <v>61</v>
      </c>
      <c r="HR29" s="49">
        <v>53</v>
      </c>
      <c r="HS29" s="48">
        <v>60</v>
      </c>
      <c r="HT29" s="48">
        <v>3.7999999999999999E-2</v>
      </c>
      <c r="HU29" s="49">
        <v>0</v>
      </c>
      <c r="HV29" s="48">
        <v>1.232</v>
      </c>
      <c r="HW29" s="49">
        <v>39.03</v>
      </c>
      <c r="HX29" s="49">
        <v>42.69</v>
      </c>
      <c r="HY29" s="3"/>
      <c r="HZ29" s="3"/>
      <c r="IA29" s="48">
        <v>2.6190000000000002</v>
      </c>
      <c r="IB29" s="48">
        <v>100</v>
      </c>
      <c r="IC29" s="48">
        <v>19.379000000000001</v>
      </c>
      <c r="ID29" s="49">
        <v>-4.2000000000000003E-2</v>
      </c>
      <c r="IE29" s="48">
        <v>0.03</v>
      </c>
      <c r="IF29" s="48">
        <v>900.5</v>
      </c>
      <c r="IG29" s="48">
        <v>734.3</v>
      </c>
      <c r="IH29" s="48">
        <v>928.1</v>
      </c>
      <c r="II29" s="48">
        <v>764.9</v>
      </c>
      <c r="IJ29" s="48">
        <v>3.4000000000000002E-2</v>
      </c>
      <c r="IK29" s="49">
        <v>-8.9999999999999993E-3</v>
      </c>
      <c r="IL29" s="49">
        <v>76.540999999999997</v>
      </c>
      <c r="IM29" s="49">
        <v>76.661000000000001</v>
      </c>
      <c r="IN29" s="49">
        <v>30.616</v>
      </c>
      <c r="IO29" s="48">
        <v>0.29799999999999999</v>
      </c>
      <c r="IP29" s="49">
        <v>14.54</v>
      </c>
      <c r="IQ29" s="49">
        <v>4.9000000000000002E-2</v>
      </c>
      <c r="IR29" s="49">
        <v>4.9000000000000002E-2</v>
      </c>
      <c r="IS29">
        <v>0.30599999999999999</v>
      </c>
      <c r="IT29">
        <v>0.15400000000000003</v>
      </c>
    </row>
    <row r="30" spans="1:254" x14ac:dyDescent="0.25">
      <c r="B30" s="2" t="s">
        <v>407</v>
      </c>
      <c r="C30" s="2" t="s">
        <v>42</v>
      </c>
      <c r="D30" s="57">
        <v>2.8307870370370375E-3</v>
      </c>
      <c r="E30" s="48">
        <v>244.58199999999999</v>
      </c>
      <c r="F30" s="49">
        <v>332.11</v>
      </c>
      <c r="G30" s="48">
        <v>5.8</v>
      </c>
      <c r="H30" s="49">
        <v>29.3</v>
      </c>
      <c r="I30" s="49">
        <v>0</v>
      </c>
      <c r="J30" s="48">
        <v>11.6</v>
      </c>
      <c r="K30" s="48">
        <v>4</v>
      </c>
      <c r="L30" s="49">
        <v>9</v>
      </c>
      <c r="M30" s="49">
        <v>4</v>
      </c>
      <c r="N30" s="49">
        <v>3</v>
      </c>
      <c r="O30" s="49">
        <v>3</v>
      </c>
      <c r="P30" s="49">
        <v>0.97199999999999998</v>
      </c>
      <c r="Q30" s="49">
        <v>1.2949999999999999</v>
      </c>
      <c r="R30" s="49">
        <v>1.129</v>
      </c>
      <c r="S30" s="49">
        <v>0.91500000000000004</v>
      </c>
      <c r="T30" s="49">
        <v>63.32</v>
      </c>
      <c r="U30" s="48">
        <v>59.823999999999998</v>
      </c>
      <c r="V30" s="48">
        <v>310</v>
      </c>
      <c r="W30" s="48">
        <v>286.66000000000003</v>
      </c>
      <c r="X30" s="48">
        <v>323</v>
      </c>
      <c r="Y30" s="48">
        <v>324</v>
      </c>
      <c r="Z30" s="49">
        <v>438.81</v>
      </c>
      <c r="AA30" s="49">
        <v>423.15</v>
      </c>
      <c r="AB30" s="49">
        <v>443.92</v>
      </c>
      <c r="AC30" s="49">
        <v>446.46</v>
      </c>
      <c r="AD30" s="49">
        <v>1.722</v>
      </c>
      <c r="AE30" s="49">
        <v>1.7949999999999999</v>
      </c>
      <c r="AF30" s="49">
        <v>1.845</v>
      </c>
      <c r="AG30" s="49">
        <v>1.8340000000000001</v>
      </c>
      <c r="AH30" s="49">
        <v>75.97</v>
      </c>
      <c r="AI30" s="49">
        <v>77.180000000000007</v>
      </c>
      <c r="AJ30" s="49">
        <v>103.72</v>
      </c>
      <c r="AK30" s="49">
        <v>97.29</v>
      </c>
      <c r="AL30" s="49">
        <v>662.75400000000002</v>
      </c>
      <c r="AM30" s="49">
        <v>668.07399999999996</v>
      </c>
      <c r="AN30" s="49">
        <v>805.76900000000001</v>
      </c>
      <c r="AO30" s="49">
        <v>759.56</v>
      </c>
      <c r="AP30" s="48">
        <v>2.4670000000000001</v>
      </c>
      <c r="AQ30" s="48">
        <v>1.8140000000000001</v>
      </c>
      <c r="AR30" s="49">
        <v>43.904000000000003</v>
      </c>
      <c r="AS30" s="48">
        <v>34.904000000000003</v>
      </c>
      <c r="AT30" s="48">
        <v>83</v>
      </c>
      <c r="AU30" s="49">
        <v>107</v>
      </c>
      <c r="AV30" s="49">
        <v>3.157</v>
      </c>
      <c r="AW30" s="48">
        <v>5.5503</v>
      </c>
      <c r="AX30" s="48">
        <v>991</v>
      </c>
      <c r="AY30" s="48">
        <v>0.98</v>
      </c>
      <c r="AZ30" s="48">
        <v>5.82</v>
      </c>
      <c r="BA30" s="48">
        <v>69.3</v>
      </c>
      <c r="BB30" s="48">
        <v>69.400000000000006</v>
      </c>
      <c r="BC30" s="48">
        <v>7725</v>
      </c>
      <c r="BD30" s="48">
        <v>89</v>
      </c>
      <c r="BE30" s="49">
        <v>23.274999999999999</v>
      </c>
      <c r="BF30" s="49">
        <v>13.835000000000001</v>
      </c>
      <c r="BG30" s="49">
        <v>28.97</v>
      </c>
      <c r="BH30" s="49">
        <v>26.47</v>
      </c>
      <c r="BI30" s="48">
        <v>66.635000000000005</v>
      </c>
      <c r="BJ30" s="49">
        <v>78.906000000000006</v>
      </c>
      <c r="BK30" s="48">
        <v>65.337000000000003</v>
      </c>
      <c r="BL30" s="49">
        <v>77.191999999999993</v>
      </c>
      <c r="BM30" s="49">
        <v>76.695999999999998</v>
      </c>
      <c r="BN30" s="49">
        <v>847.27200000000005</v>
      </c>
      <c r="BO30" s="49">
        <v>847.27200000000005</v>
      </c>
      <c r="BP30" s="49">
        <v>173.4</v>
      </c>
      <c r="BQ30" s="49">
        <v>165.06399999999999</v>
      </c>
      <c r="BR30" s="49">
        <v>60.234999999999999</v>
      </c>
      <c r="BS30" s="49">
        <v>29</v>
      </c>
      <c r="BT30" s="49">
        <v>7356.7709999999997</v>
      </c>
      <c r="BU30" s="49">
        <v>81.391999999999996</v>
      </c>
      <c r="BV30" s="49">
        <v>66.710999999999999</v>
      </c>
      <c r="BW30" s="48">
        <v>63.749000000000002</v>
      </c>
      <c r="BX30" s="48">
        <v>66.100999999999999</v>
      </c>
      <c r="BY30" s="48">
        <v>1.3959999999999999</v>
      </c>
      <c r="BZ30" s="49">
        <v>2.5720000000000001</v>
      </c>
      <c r="CA30" s="48">
        <v>2.8839999999999999</v>
      </c>
      <c r="CB30" s="48">
        <v>3.53</v>
      </c>
      <c r="CC30" s="48">
        <v>5.5519999999999996</v>
      </c>
      <c r="CD30" s="48">
        <v>2.2210000000000001</v>
      </c>
      <c r="CE30" s="48">
        <v>3.7090000000000001</v>
      </c>
      <c r="CF30" s="48">
        <v>2.0790000000000002</v>
      </c>
      <c r="CG30" s="49">
        <v>13.881</v>
      </c>
      <c r="CH30" s="48">
        <v>10.654</v>
      </c>
      <c r="CI30" s="3"/>
      <c r="CJ30" s="3"/>
      <c r="CK30" s="3"/>
      <c r="CL30" s="49">
        <v>0</v>
      </c>
      <c r="CM30" s="49">
        <v>0.1</v>
      </c>
      <c r="CN30" s="49">
        <v>0</v>
      </c>
      <c r="CO30" s="49">
        <v>0</v>
      </c>
      <c r="CP30" s="49">
        <v>100.295</v>
      </c>
      <c r="CQ30" s="49">
        <v>545.08900000000006</v>
      </c>
      <c r="CR30" s="49">
        <v>151.76499999999999</v>
      </c>
      <c r="CS30" s="49">
        <v>147.50299999999999</v>
      </c>
      <c r="CT30" s="48">
        <v>0.311</v>
      </c>
      <c r="CU30" s="48">
        <v>0.79900000000000004</v>
      </c>
      <c r="CV30" s="48">
        <v>0.80100000000000005</v>
      </c>
      <c r="CW30" s="48">
        <v>0.80100000000000005</v>
      </c>
      <c r="CX30" s="49">
        <v>1.6</v>
      </c>
      <c r="CY30" s="48">
        <v>0.20100000000000001</v>
      </c>
      <c r="CZ30" s="48">
        <v>0.59899999999999998</v>
      </c>
      <c r="DA30" s="48">
        <v>0.39900000000000002</v>
      </c>
      <c r="DB30" s="48">
        <v>0.69799999999999995</v>
      </c>
      <c r="DC30" s="49">
        <v>0</v>
      </c>
      <c r="DD30" s="49">
        <v>0</v>
      </c>
      <c r="DE30" s="49">
        <v>0.32600000000000001</v>
      </c>
      <c r="DF30" s="49">
        <v>0.19</v>
      </c>
      <c r="DG30" s="49">
        <v>0.42799999999999999</v>
      </c>
      <c r="DH30" s="48">
        <v>1.879</v>
      </c>
      <c r="DI30" s="48">
        <v>1.0389999999999999</v>
      </c>
      <c r="DJ30" s="48">
        <v>0.28199999999999997</v>
      </c>
      <c r="DK30" s="49">
        <v>1.0289999999999999</v>
      </c>
      <c r="DL30" s="49">
        <v>0.61399999999999999</v>
      </c>
      <c r="DM30" s="49">
        <v>0.78</v>
      </c>
      <c r="DN30" s="48">
        <v>0.76300000000000001</v>
      </c>
      <c r="DO30" s="48">
        <v>0.71</v>
      </c>
      <c r="DP30" s="48">
        <v>65.364000000000004</v>
      </c>
      <c r="DQ30" s="49">
        <v>58.13</v>
      </c>
      <c r="DR30" s="49">
        <v>56.195999999999998</v>
      </c>
      <c r="DS30" s="49">
        <v>50.116999999999997</v>
      </c>
      <c r="DT30" s="49">
        <v>5.46</v>
      </c>
      <c r="DU30" s="49">
        <v>6.16</v>
      </c>
      <c r="DV30" s="49">
        <v>11.85</v>
      </c>
      <c r="DW30" s="49">
        <v>9.3699999999999992</v>
      </c>
      <c r="DX30" s="49">
        <v>5.64</v>
      </c>
      <c r="DY30" s="49">
        <v>6.69</v>
      </c>
      <c r="DZ30" s="49">
        <v>11.32</v>
      </c>
      <c r="EA30" s="49">
        <v>9.19</v>
      </c>
      <c r="EB30" s="49">
        <v>42</v>
      </c>
      <c r="EC30" s="49">
        <v>41.43</v>
      </c>
      <c r="ED30" s="49">
        <v>33.25</v>
      </c>
      <c r="EE30" s="49">
        <v>35.54</v>
      </c>
      <c r="EF30" s="48">
        <v>46.9</v>
      </c>
      <c r="EG30" s="48">
        <v>45.72</v>
      </c>
      <c r="EH30" s="48">
        <v>43.58</v>
      </c>
      <c r="EI30" s="48">
        <v>45.9</v>
      </c>
      <c r="EJ30" s="49">
        <v>7.3390000000000004</v>
      </c>
      <c r="EK30" s="49">
        <v>59.4</v>
      </c>
      <c r="EL30" s="48">
        <v>0.75</v>
      </c>
      <c r="EM30" s="49">
        <v>0.3</v>
      </c>
      <c r="EN30" s="48">
        <v>0.89</v>
      </c>
      <c r="EO30" s="48">
        <v>0.9</v>
      </c>
      <c r="EP30" s="49">
        <v>-111.77</v>
      </c>
      <c r="EQ30" s="48">
        <v>-2.5680000000000001</v>
      </c>
      <c r="ER30" s="48">
        <v>89.126000000000005</v>
      </c>
      <c r="ES30" s="49">
        <v>1.421</v>
      </c>
      <c r="ET30" s="49">
        <v>1.5860000000000001</v>
      </c>
      <c r="EU30" s="49">
        <v>1.415</v>
      </c>
      <c r="EV30" s="48">
        <v>7.1310000000000002</v>
      </c>
      <c r="EW30" s="49">
        <v>10.978999999999999</v>
      </c>
      <c r="EX30" s="49">
        <v>70.12</v>
      </c>
      <c r="EY30" s="48">
        <v>0.02</v>
      </c>
      <c r="EZ30" s="49">
        <v>0.443</v>
      </c>
      <c r="FA30" s="49">
        <v>0</v>
      </c>
      <c r="FB30" s="49">
        <v>9.1630000000000003</v>
      </c>
      <c r="FC30" s="49">
        <v>65.563999999999993</v>
      </c>
      <c r="FD30" s="49">
        <v>66.201999999999998</v>
      </c>
      <c r="FE30" s="49">
        <v>83.25</v>
      </c>
      <c r="FF30" s="49">
        <v>78.960999999999999</v>
      </c>
      <c r="FG30" s="48">
        <v>0.877</v>
      </c>
      <c r="FH30" s="48">
        <v>0.89800000000000002</v>
      </c>
      <c r="FI30" s="48">
        <v>0.96699999999999997</v>
      </c>
      <c r="FJ30" s="48">
        <v>0.96299999999999997</v>
      </c>
      <c r="FK30" s="48">
        <v>9.9000000000000005E-2</v>
      </c>
      <c r="FL30" s="48">
        <v>83</v>
      </c>
      <c r="FM30" s="48">
        <v>2.35</v>
      </c>
      <c r="FN30" s="49">
        <v>0.56999999999999995</v>
      </c>
      <c r="FO30" s="49">
        <v>5.46</v>
      </c>
      <c r="FP30" s="48">
        <v>3.9</v>
      </c>
      <c r="FQ30" s="49">
        <v>4.4000000000000004</v>
      </c>
      <c r="FR30" s="49">
        <v>5</v>
      </c>
      <c r="FS30" s="48">
        <v>6.8659999999999997</v>
      </c>
      <c r="FT30" s="48">
        <v>1063.4000000000001</v>
      </c>
      <c r="FU30" s="49">
        <v>6.7</v>
      </c>
      <c r="FV30" s="49">
        <v>54.57</v>
      </c>
      <c r="FW30" s="48">
        <v>3015</v>
      </c>
      <c r="FX30" s="48">
        <v>155400</v>
      </c>
      <c r="FY30" s="48">
        <v>165500</v>
      </c>
      <c r="FZ30" s="49">
        <v>69.260000000000005</v>
      </c>
      <c r="GA30" s="49">
        <v>45.83</v>
      </c>
      <c r="GB30" s="48">
        <v>2055.4</v>
      </c>
      <c r="GC30" s="48">
        <v>2098</v>
      </c>
      <c r="GD30" s="48">
        <v>2059.9</v>
      </c>
      <c r="GE30" s="48">
        <v>2123.3000000000002</v>
      </c>
      <c r="GF30" s="48">
        <v>1303.3594000000001</v>
      </c>
      <c r="GG30" s="49">
        <v>34</v>
      </c>
      <c r="GH30" s="49">
        <v>33.6</v>
      </c>
      <c r="GI30" s="48">
        <v>49.8</v>
      </c>
      <c r="GJ30" s="48">
        <v>55.7</v>
      </c>
      <c r="GK30" s="48">
        <v>99.5</v>
      </c>
      <c r="GL30" s="48">
        <v>76.8</v>
      </c>
      <c r="GM30" s="49">
        <v>0</v>
      </c>
      <c r="GN30" s="48">
        <v>21.786999999999999</v>
      </c>
      <c r="GO30" s="49">
        <v>111.77</v>
      </c>
      <c r="GP30" s="49">
        <v>0</v>
      </c>
      <c r="GQ30" s="48">
        <v>4.13</v>
      </c>
      <c r="GR30" s="49">
        <v>0</v>
      </c>
      <c r="GS30" s="49">
        <v>4.1890000000000001</v>
      </c>
      <c r="GT30" s="49">
        <v>0</v>
      </c>
      <c r="GU30" s="49">
        <v>4.13</v>
      </c>
      <c r="GV30" s="49">
        <v>0</v>
      </c>
      <c r="GW30" s="49">
        <v>13.978</v>
      </c>
      <c r="GX30" s="49">
        <v>22.736000000000001</v>
      </c>
      <c r="GY30" s="49">
        <v>0</v>
      </c>
      <c r="GZ30" s="49">
        <v>0</v>
      </c>
      <c r="HA30" s="49">
        <v>0</v>
      </c>
      <c r="HB30" s="48">
        <v>0</v>
      </c>
      <c r="HC30" s="48">
        <v>23.79</v>
      </c>
      <c r="HD30" s="49">
        <v>98</v>
      </c>
      <c r="HE30" s="49">
        <v>0</v>
      </c>
      <c r="HF30" s="49">
        <v>0</v>
      </c>
      <c r="HG30" s="48">
        <v>72.349999999999994</v>
      </c>
      <c r="HH30" s="49">
        <v>81.16</v>
      </c>
      <c r="HI30" s="49">
        <v>0</v>
      </c>
      <c r="HJ30" s="49">
        <v>0</v>
      </c>
      <c r="HK30" s="49">
        <v>0</v>
      </c>
      <c r="HL30" s="49">
        <v>68</v>
      </c>
      <c r="HM30" s="48">
        <v>56</v>
      </c>
      <c r="HN30" s="49">
        <v>67</v>
      </c>
      <c r="HO30" s="49">
        <v>61</v>
      </c>
      <c r="HP30" s="49">
        <v>65</v>
      </c>
      <c r="HQ30" s="49">
        <v>62</v>
      </c>
      <c r="HR30" s="49">
        <v>53</v>
      </c>
      <c r="HS30" s="49">
        <v>62</v>
      </c>
      <c r="HT30" s="49">
        <v>3.4000000000000002E-2</v>
      </c>
      <c r="HU30" s="49">
        <v>0</v>
      </c>
      <c r="HV30" s="49">
        <v>1.2869999999999999</v>
      </c>
      <c r="HW30" s="49">
        <v>39.03</v>
      </c>
      <c r="HX30" s="49">
        <v>42.69</v>
      </c>
      <c r="HY30" s="3"/>
      <c r="HZ30" s="3"/>
      <c r="IA30" s="49">
        <v>2.6850000000000001</v>
      </c>
      <c r="IB30" s="49">
        <v>103</v>
      </c>
      <c r="IC30" s="49">
        <v>22.132999999999999</v>
      </c>
      <c r="ID30" s="48">
        <v>-0.06</v>
      </c>
      <c r="IE30" s="49">
        <v>4.8000000000000001E-2</v>
      </c>
      <c r="IF30" s="49">
        <v>913.4</v>
      </c>
      <c r="IG30" s="49">
        <v>798</v>
      </c>
      <c r="IH30" s="49">
        <v>949.2</v>
      </c>
      <c r="II30" s="49">
        <v>822.6</v>
      </c>
      <c r="IJ30" s="49">
        <v>0.58099999999999996</v>
      </c>
      <c r="IK30" s="48">
        <v>-3.3000000000000002E-2</v>
      </c>
      <c r="IL30" s="48">
        <v>43.722999999999999</v>
      </c>
      <c r="IM30" s="48">
        <v>43.722999999999999</v>
      </c>
      <c r="IN30" s="48">
        <v>24.574999999999999</v>
      </c>
      <c r="IO30" s="49">
        <v>2.923</v>
      </c>
      <c r="IP30" s="48">
        <v>14.52</v>
      </c>
      <c r="IQ30" s="48">
        <v>0</v>
      </c>
      <c r="IR30" s="48">
        <v>0</v>
      </c>
      <c r="IS30">
        <v>0.30599999999999999</v>
      </c>
      <c r="IT30">
        <v>0.15400000000000003</v>
      </c>
    </row>
    <row r="31" spans="1:254" x14ac:dyDescent="0.25">
      <c r="B31" s="2" t="s">
        <v>407</v>
      </c>
      <c r="C31" s="2" t="s">
        <v>41</v>
      </c>
      <c r="D31" s="2" t="s">
        <v>417</v>
      </c>
      <c r="E31" s="49">
        <v>1565.6189999999999</v>
      </c>
      <c r="F31" s="49">
        <v>325.07</v>
      </c>
      <c r="G31" s="49">
        <v>5.68</v>
      </c>
      <c r="H31" s="49">
        <v>28.7</v>
      </c>
      <c r="I31" s="49">
        <v>0</v>
      </c>
      <c r="J31" s="49">
        <v>1312.3</v>
      </c>
      <c r="K31" s="49">
        <v>8</v>
      </c>
      <c r="L31" s="49">
        <v>8</v>
      </c>
      <c r="M31" s="49">
        <v>4</v>
      </c>
      <c r="N31" s="49">
        <v>3</v>
      </c>
      <c r="O31" s="49">
        <v>3</v>
      </c>
      <c r="P31" s="49">
        <v>0.871</v>
      </c>
      <c r="Q31" s="49">
        <v>1.5720000000000001</v>
      </c>
      <c r="R31" s="49">
        <v>0.746</v>
      </c>
      <c r="S31" s="49">
        <v>0.67800000000000005</v>
      </c>
      <c r="T31" s="49">
        <v>52.16</v>
      </c>
      <c r="U31" s="49">
        <v>59.96</v>
      </c>
      <c r="V31" s="49">
        <v>120</v>
      </c>
      <c r="W31" s="49">
        <v>100</v>
      </c>
      <c r="X31" s="49">
        <v>100</v>
      </c>
      <c r="Y31" s="49">
        <v>80</v>
      </c>
      <c r="Z31" s="49">
        <v>293.47000000000003</v>
      </c>
      <c r="AA31" s="49">
        <v>267.39999999999998</v>
      </c>
      <c r="AB31" s="49">
        <v>268.01</v>
      </c>
      <c r="AC31" s="49">
        <v>250.11</v>
      </c>
      <c r="AD31" s="49">
        <v>1.7050000000000001</v>
      </c>
      <c r="AE31" s="49">
        <v>1.7509999999999999</v>
      </c>
      <c r="AF31" s="49">
        <v>1.6279999999999999</v>
      </c>
      <c r="AG31" s="49">
        <v>1.667</v>
      </c>
      <c r="AH31" s="49">
        <v>58.53</v>
      </c>
      <c r="AI31" s="49">
        <v>56.44</v>
      </c>
      <c r="AJ31" s="49">
        <v>71.69</v>
      </c>
      <c r="AK31" s="49">
        <v>68.77</v>
      </c>
      <c r="AL31" s="49">
        <v>601.16</v>
      </c>
      <c r="AM31" s="49">
        <v>624.76599999999996</v>
      </c>
      <c r="AN31" s="49">
        <v>760.50400000000002</v>
      </c>
      <c r="AO31" s="49">
        <v>740.774</v>
      </c>
      <c r="AP31" s="49">
        <v>2.4390000000000001</v>
      </c>
      <c r="AQ31" s="49">
        <v>1.829</v>
      </c>
      <c r="AR31" s="49">
        <v>45.914999999999999</v>
      </c>
      <c r="AS31" s="49">
        <v>37.664000000000001</v>
      </c>
      <c r="AT31" s="49">
        <v>84</v>
      </c>
      <c r="AU31" s="49">
        <v>100</v>
      </c>
      <c r="AV31" s="49">
        <v>3.1829999999999998</v>
      </c>
      <c r="AW31" s="49">
        <v>5.5000999999999998</v>
      </c>
      <c r="AX31" s="49">
        <v>991.8</v>
      </c>
      <c r="AY31" s="49">
        <v>1.02</v>
      </c>
      <c r="AZ31" s="49">
        <v>5.42</v>
      </c>
      <c r="BA31" s="49">
        <v>64.507999999999996</v>
      </c>
      <c r="BB31" s="49">
        <v>67.802000000000007</v>
      </c>
      <c r="BC31" s="49">
        <v>7660</v>
      </c>
      <c r="BD31" s="49">
        <v>89.25</v>
      </c>
      <c r="BE31" s="49">
        <v>22.605</v>
      </c>
      <c r="BF31" s="49">
        <v>14.085000000000001</v>
      </c>
      <c r="BG31" s="49">
        <v>26.4</v>
      </c>
      <c r="BH31" s="49">
        <v>26.04</v>
      </c>
      <c r="BI31" s="49">
        <v>67.783000000000001</v>
      </c>
      <c r="BJ31" s="49">
        <v>81.576999999999998</v>
      </c>
      <c r="BK31" s="49">
        <v>66.325000000000003</v>
      </c>
      <c r="BL31" s="49">
        <v>79.641999999999996</v>
      </c>
      <c r="BM31" s="49">
        <v>79.100999999999999</v>
      </c>
      <c r="BN31" s="49">
        <v>847.27200000000005</v>
      </c>
      <c r="BO31" s="49">
        <v>137.048</v>
      </c>
      <c r="BP31" s="49">
        <v>126.84</v>
      </c>
      <c r="BQ31" s="49">
        <v>117.78400000000001</v>
      </c>
      <c r="BR31" s="49">
        <v>59.534999999999997</v>
      </c>
      <c r="BS31" s="49">
        <v>28.3</v>
      </c>
      <c r="BT31" s="49">
        <v>7131.5349999999999</v>
      </c>
      <c r="BU31" s="49">
        <v>82.460999999999999</v>
      </c>
      <c r="BV31" s="49">
        <v>66.715000000000003</v>
      </c>
      <c r="BW31" s="49">
        <v>73.072000000000003</v>
      </c>
      <c r="BX31" s="49">
        <v>64.477999999999994</v>
      </c>
      <c r="BY31" s="49">
        <v>1.4</v>
      </c>
      <c r="BZ31" s="49">
        <v>2.609</v>
      </c>
      <c r="CA31" s="49">
        <v>2.988</v>
      </c>
      <c r="CB31" s="49">
        <v>2.9089999999999998</v>
      </c>
      <c r="CC31" s="49">
        <v>5.7530000000000001</v>
      </c>
      <c r="CD31" s="49">
        <v>2.2570000000000001</v>
      </c>
      <c r="CE31" s="49">
        <v>3.6669999999999998</v>
      </c>
      <c r="CF31" s="49">
        <v>2.0649999999999999</v>
      </c>
      <c r="CG31" s="49">
        <v>13.709</v>
      </c>
      <c r="CH31" s="49">
        <v>9.9890000000000008</v>
      </c>
      <c r="CI31" s="3"/>
      <c r="CJ31" s="3"/>
      <c r="CK31" s="3"/>
      <c r="CL31" s="49">
        <v>0</v>
      </c>
      <c r="CM31" s="49">
        <v>0.1</v>
      </c>
      <c r="CN31" s="49">
        <v>0</v>
      </c>
      <c r="CO31" s="49">
        <v>0</v>
      </c>
      <c r="CP31" s="49">
        <v>116.833</v>
      </c>
      <c r="CQ31" s="49">
        <v>82.07</v>
      </c>
      <c r="CR31" s="49">
        <v>99.879000000000005</v>
      </c>
      <c r="CS31" s="49">
        <v>94.808000000000007</v>
      </c>
      <c r="CT31" s="49">
        <v>0.38900000000000001</v>
      </c>
      <c r="CU31" s="49">
        <v>4.4809999999999999</v>
      </c>
      <c r="CV31" s="49">
        <v>3.78</v>
      </c>
      <c r="CW31" s="49">
        <v>3.68</v>
      </c>
      <c r="CX31" s="49">
        <v>4.08</v>
      </c>
      <c r="CY31" s="49">
        <v>4.3819999999999997</v>
      </c>
      <c r="CZ31" s="49">
        <v>3.9820000000000002</v>
      </c>
      <c r="DA31" s="49">
        <v>3.4809999999999999</v>
      </c>
      <c r="DB31" s="49">
        <v>4.0810000000000004</v>
      </c>
      <c r="DC31" s="49">
        <v>6.0000000000000001E-3</v>
      </c>
      <c r="DD31" s="49">
        <v>0</v>
      </c>
      <c r="DE31" s="49">
        <v>0.28999999999999998</v>
      </c>
      <c r="DF31" s="49">
        <v>0.193</v>
      </c>
      <c r="DG31" s="49">
        <v>0.67200000000000004</v>
      </c>
      <c r="DH31" s="49">
        <v>2.8239999999999998</v>
      </c>
      <c r="DI31" s="49">
        <v>0.89500000000000002</v>
      </c>
      <c r="DJ31" s="49">
        <v>0.19</v>
      </c>
      <c r="DK31" s="49">
        <v>0.88500000000000001</v>
      </c>
      <c r="DL31" s="49">
        <v>0.60899999999999999</v>
      </c>
      <c r="DM31" s="49">
        <v>0.78600000000000003</v>
      </c>
      <c r="DN31" s="49">
        <v>0.76600000000000001</v>
      </c>
      <c r="DO31" s="49">
        <v>0.76600000000000001</v>
      </c>
      <c r="DP31" s="49">
        <v>65.424999999999997</v>
      </c>
      <c r="DQ31" s="49">
        <v>60.798000000000002</v>
      </c>
      <c r="DR31" s="49">
        <v>54.387999999999998</v>
      </c>
      <c r="DS31" s="49">
        <v>50.956000000000003</v>
      </c>
      <c r="DT31" s="49">
        <v>0.74</v>
      </c>
      <c r="DU31" s="49">
        <v>0.93</v>
      </c>
      <c r="DV31" s="49">
        <v>1.61</v>
      </c>
      <c r="DW31" s="49">
        <v>1.37</v>
      </c>
      <c r="DX31" s="49">
        <v>0.77</v>
      </c>
      <c r="DY31" s="49">
        <v>0.94</v>
      </c>
      <c r="DZ31" s="49">
        <v>1.53</v>
      </c>
      <c r="EA31" s="49">
        <v>1.34</v>
      </c>
      <c r="EB31" s="49">
        <v>7.43</v>
      </c>
      <c r="EC31" s="49">
        <v>7.09</v>
      </c>
      <c r="ED31" s="49">
        <v>5.99</v>
      </c>
      <c r="EE31" s="49">
        <v>6.26</v>
      </c>
      <c r="EF31" s="49">
        <v>91.05</v>
      </c>
      <c r="EG31" s="49">
        <v>91.04</v>
      </c>
      <c r="EH31" s="49">
        <v>90.87</v>
      </c>
      <c r="EI31" s="49">
        <v>91.03</v>
      </c>
      <c r="EJ31" s="49">
        <v>6.8339999999999996</v>
      </c>
      <c r="EK31" s="49">
        <v>58.213000000000001</v>
      </c>
      <c r="EL31" s="49">
        <v>0.75</v>
      </c>
      <c r="EM31" s="49">
        <v>0.35</v>
      </c>
      <c r="EN31" s="49">
        <v>0.95</v>
      </c>
      <c r="EO31" s="49">
        <v>0.93</v>
      </c>
      <c r="EP31" s="49">
        <v>-107.974</v>
      </c>
      <c r="EQ31" s="49">
        <v>-1.839</v>
      </c>
      <c r="ER31" s="49">
        <v>112.194</v>
      </c>
      <c r="ES31" s="49">
        <v>1.3109999999999999</v>
      </c>
      <c r="ET31" s="49">
        <v>1.4279999999999999</v>
      </c>
      <c r="EU31" s="49">
        <v>1.3029999999999999</v>
      </c>
      <c r="EV31" s="49">
        <v>7.3620000000000001</v>
      </c>
      <c r="EW31" s="49">
        <v>11.186999999999999</v>
      </c>
      <c r="EX31" s="49">
        <v>66.06</v>
      </c>
      <c r="EY31" s="49">
        <v>8.1000000000000003E-2</v>
      </c>
      <c r="EZ31" s="49">
        <v>0</v>
      </c>
      <c r="FA31" s="49">
        <v>0</v>
      </c>
      <c r="FB31" s="49">
        <v>8.2680000000000007</v>
      </c>
      <c r="FC31" s="49">
        <v>53.414000000000001</v>
      </c>
      <c r="FD31" s="49">
        <v>52.719000000000001</v>
      </c>
      <c r="FE31" s="49">
        <v>60.68</v>
      </c>
      <c r="FF31" s="49">
        <v>59.655000000000001</v>
      </c>
      <c r="FG31" s="49">
        <v>0.92600000000000005</v>
      </c>
      <c r="FH31" s="49">
        <v>0.90800000000000003</v>
      </c>
      <c r="FI31" s="49">
        <v>0.98799999999999999</v>
      </c>
      <c r="FJ31" s="49">
        <v>0.98199999999999998</v>
      </c>
      <c r="FK31" s="49">
        <v>0.40300000000000002</v>
      </c>
      <c r="FL31" s="49">
        <v>85</v>
      </c>
      <c r="FM31" s="49">
        <v>2.37</v>
      </c>
      <c r="FN31" s="49">
        <v>0.56999999999999995</v>
      </c>
      <c r="FO31" s="49">
        <v>5.24</v>
      </c>
      <c r="FP31" s="49">
        <v>0</v>
      </c>
      <c r="FQ31" s="49">
        <v>1.75</v>
      </c>
      <c r="FR31" s="49">
        <v>5.05</v>
      </c>
      <c r="FS31" s="49">
        <v>6.9494999999999996</v>
      </c>
      <c r="FT31" s="49">
        <v>1061</v>
      </c>
      <c r="FU31" s="49">
        <v>5.03</v>
      </c>
      <c r="FV31" s="49">
        <v>60.25</v>
      </c>
      <c r="FW31" s="49">
        <v>3090</v>
      </c>
      <c r="FX31" s="49">
        <v>154700</v>
      </c>
      <c r="FY31" s="49">
        <v>168200</v>
      </c>
      <c r="FZ31" s="49">
        <v>71.778000000000006</v>
      </c>
      <c r="GA31" s="49">
        <v>48.106999999999999</v>
      </c>
      <c r="GB31" s="49">
        <v>2072.9</v>
      </c>
      <c r="GC31" s="49">
        <v>2091.1</v>
      </c>
      <c r="GD31" s="49">
        <v>2095.3000000000002</v>
      </c>
      <c r="GE31" s="49">
        <v>2127.6</v>
      </c>
      <c r="GF31" s="49">
        <v>1269.2188000000001</v>
      </c>
      <c r="GG31" s="49">
        <v>38</v>
      </c>
      <c r="GH31" s="49">
        <v>38</v>
      </c>
      <c r="GI31" s="49">
        <v>82</v>
      </c>
      <c r="GJ31" s="49">
        <v>84.3</v>
      </c>
      <c r="GK31" s="49">
        <v>93</v>
      </c>
      <c r="GL31" s="49">
        <v>79.3</v>
      </c>
      <c r="GM31" s="49">
        <v>0</v>
      </c>
      <c r="GN31" s="49">
        <v>22.818999999999999</v>
      </c>
      <c r="GO31" s="49">
        <v>112.194</v>
      </c>
      <c r="GP31" s="49">
        <v>0</v>
      </c>
      <c r="GQ31" s="49">
        <v>5.133</v>
      </c>
      <c r="GR31" s="49">
        <v>0</v>
      </c>
      <c r="GS31" s="49">
        <v>4.7789999999999999</v>
      </c>
      <c r="GT31" s="49">
        <v>0</v>
      </c>
      <c r="GU31" s="49">
        <v>4.6020000000000003</v>
      </c>
      <c r="GV31" s="49">
        <v>0</v>
      </c>
      <c r="GW31" s="49">
        <v>12.946</v>
      </c>
      <c r="GX31" s="49">
        <v>19.404</v>
      </c>
      <c r="GY31" s="49">
        <v>0</v>
      </c>
      <c r="GZ31" s="49">
        <v>0</v>
      </c>
      <c r="HA31" s="49">
        <v>0</v>
      </c>
      <c r="HB31" s="49">
        <v>1</v>
      </c>
      <c r="HC31" s="49">
        <v>29.384</v>
      </c>
      <c r="HD31" s="49">
        <v>94</v>
      </c>
      <c r="HE31" s="49">
        <v>0</v>
      </c>
      <c r="HF31" s="49">
        <v>0</v>
      </c>
      <c r="HG31" s="49">
        <v>77.290000000000006</v>
      </c>
      <c r="HH31" s="49">
        <v>80.55</v>
      </c>
      <c r="HI31" s="49">
        <v>0</v>
      </c>
      <c r="HJ31" s="49">
        <v>0</v>
      </c>
      <c r="HK31" s="49">
        <v>0</v>
      </c>
      <c r="HL31" s="49">
        <v>68</v>
      </c>
      <c r="HM31" s="49">
        <v>59</v>
      </c>
      <c r="HN31" s="49">
        <v>68</v>
      </c>
      <c r="HO31" s="49">
        <v>60</v>
      </c>
      <c r="HP31" s="49">
        <v>64</v>
      </c>
      <c r="HQ31" s="49">
        <v>62</v>
      </c>
      <c r="HR31" s="49">
        <v>54</v>
      </c>
      <c r="HS31" s="49">
        <v>62</v>
      </c>
      <c r="HT31" s="49">
        <v>1.4999999999999999E-2</v>
      </c>
      <c r="HU31" s="49">
        <v>0</v>
      </c>
      <c r="HV31" s="49">
        <v>1.109</v>
      </c>
      <c r="HW31" s="49">
        <v>65.66</v>
      </c>
      <c r="HX31" s="49">
        <v>76.239999999999995</v>
      </c>
      <c r="HY31" s="3"/>
      <c r="HZ31" s="3"/>
      <c r="IA31" s="49">
        <v>2.6709999999999998</v>
      </c>
      <c r="IB31" s="49">
        <v>97</v>
      </c>
      <c r="IC31" s="49">
        <v>17.318000000000001</v>
      </c>
      <c r="ID31" s="49">
        <v>-1.9E-2</v>
      </c>
      <c r="IE31" s="49">
        <v>2.3E-2</v>
      </c>
      <c r="IF31" s="49">
        <v>906</v>
      </c>
      <c r="IG31" s="49">
        <v>683.3</v>
      </c>
      <c r="IH31" s="49">
        <v>929</v>
      </c>
      <c r="II31" s="49">
        <v>710.8</v>
      </c>
      <c r="IJ31" s="49">
        <v>0</v>
      </c>
      <c r="IK31" s="49">
        <v>4.0000000000000001E-3</v>
      </c>
      <c r="IL31" s="49">
        <v>1366.4259999999999</v>
      </c>
      <c r="IM31" s="49">
        <v>1366.6859999999999</v>
      </c>
      <c r="IN31" s="49">
        <v>27.579000000000001</v>
      </c>
      <c r="IO31" s="49">
        <v>2.8380000000000001</v>
      </c>
      <c r="IP31" s="49">
        <v>14.1</v>
      </c>
      <c r="IQ31" s="49">
        <v>0</v>
      </c>
      <c r="IR31" s="49">
        <v>0</v>
      </c>
      <c r="IS31">
        <v>0.30599999999999999</v>
      </c>
      <c r="IT31">
        <v>0.15400000000000003</v>
      </c>
    </row>
    <row r="32" spans="1:254" x14ac:dyDescent="0.25">
      <c r="IS32">
        <v>0.30599999999999999</v>
      </c>
      <c r="IT32">
        <v>0.15400000000000003</v>
      </c>
    </row>
    <row r="33" spans="2:254" x14ac:dyDescent="0.25">
      <c r="IS33">
        <v>0.30599999999999999</v>
      </c>
      <c r="IT33">
        <v>0.15400000000000003</v>
      </c>
    </row>
    <row r="34" spans="2:254" x14ac:dyDescent="0.25">
      <c r="IS34">
        <v>0.30599999999999999</v>
      </c>
      <c r="IT34">
        <v>0.15400000000000003</v>
      </c>
    </row>
    <row r="35" spans="2:254" x14ac:dyDescent="0.25">
      <c r="B35" s="2" t="s">
        <v>407</v>
      </c>
      <c r="C35" s="2" t="s">
        <v>41</v>
      </c>
      <c r="D35" s="57">
        <v>6.3045138888888881E-3</v>
      </c>
      <c r="E35" s="49">
        <v>544.70899999999995</v>
      </c>
      <c r="F35" s="49">
        <v>325.44</v>
      </c>
      <c r="G35" s="49">
        <v>5.9</v>
      </c>
      <c r="H35" s="49">
        <v>28.7</v>
      </c>
      <c r="I35" s="49">
        <v>0</v>
      </c>
      <c r="J35" s="49">
        <v>298.60000000000002</v>
      </c>
      <c r="K35" s="49">
        <v>8</v>
      </c>
      <c r="L35" s="49">
        <v>8</v>
      </c>
      <c r="M35" s="49">
        <v>4</v>
      </c>
      <c r="N35" s="49">
        <v>3</v>
      </c>
      <c r="O35" s="49">
        <v>3</v>
      </c>
      <c r="P35" s="49">
        <v>0.75700000000000001</v>
      </c>
      <c r="Q35" s="49">
        <v>1.214</v>
      </c>
      <c r="R35" s="49">
        <v>0.89500000000000002</v>
      </c>
      <c r="S35" s="49">
        <v>0.65900000000000003</v>
      </c>
      <c r="T35" s="49">
        <v>55.24</v>
      </c>
      <c r="U35" s="49">
        <v>59.902000000000001</v>
      </c>
      <c r="V35" s="49">
        <v>223.34</v>
      </c>
      <c r="W35" s="49">
        <v>197.5</v>
      </c>
      <c r="X35" s="49">
        <v>192.5</v>
      </c>
      <c r="Y35" s="49">
        <v>167.5</v>
      </c>
      <c r="Z35" s="49">
        <v>370.83</v>
      </c>
      <c r="AA35" s="49">
        <v>340.79</v>
      </c>
      <c r="AB35" s="49">
        <v>341.56</v>
      </c>
      <c r="AC35" s="49">
        <v>310.51</v>
      </c>
      <c r="AD35" s="49">
        <v>1.776</v>
      </c>
      <c r="AE35" s="49">
        <v>1.8089999999999999</v>
      </c>
      <c r="AF35" s="49">
        <v>1.7270000000000001</v>
      </c>
      <c r="AG35" s="49">
        <v>1.7330000000000001</v>
      </c>
      <c r="AH35" s="49">
        <v>67.599999999999994</v>
      </c>
      <c r="AI35" s="49">
        <v>65.099999999999994</v>
      </c>
      <c r="AJ35" s="49">
        <v>84.99</v>
      </c>
      <c r="AK35" s="49">
        <v>80.52</v>
      </c>
      <c r="AL35" s="49">
        <v>671.25099999999998</v>
      </c>
      <c r="AM35" s="49">
        <v>685.86599999999999</v>
      </c>
      <c r="AN35" s="49">
        <v>825.62300000000005</v>
      </c>
      <c r="AO35" s="49">
        <v>818.95899999999995</v>
      </c>
      <c r="AP35" s="49">
        <v>2.4119999999999999</v>
      </c>
      <c r="AQ35" s="49">
        <v>1.8140000000000001</v>
      </c>
      <c r="AR35" s="49">
        <v>44.673000000000002</v>
      </c>
      <c r="AS35" s="49">
        <v>35.518000000000001</v>
      </c>
      <c r="AT35" s="49">
        <v>85</v>
      </c>
      <c r="AU35" s="49">
        <v>103</v>
      </c>
      <c r="AV35" s="49">
        <v>2.972</v>
      </c>
      <c r="AW35" s="49">
        <v>5.4816000000000003</v>
      </c>
      <c r="AX35" s="49">
        <v>995</v>
      </c>
      <c r="AY35" s="49">
        <v>1.08</v>
      </c>
      <c r="AZ35" s="49">
        <v>5.74</v>
      </c>
      <c r="BA35" s="49">
        <v>66.796999999999997</v>
      </c>
      <c r="BB35" s="49">
        <v>66.7</v>
      </c>
      <c r="BC35" s="49">
        <v>7764</v>
      </c>
      <c r="BD35" s="49">
        <v>89.75</v>
      </c>
      <c r="BE35" s="49">
        <v>24.395</v>
      </c>
      <c r="BF35" s="49">
        <v>14.16</v>
      </c>
      <c r="BG35" s="49">
        <v>27.08</v>
      </c>
      <c r="BH35" s="49">
        <v>26.28</v>
      </c>
      <c r="BI35" s="49">
        <v>68.087999999999994</v>
      </c>
      <c r="BJ35" s="49">
        <v>82.587999999999994</v>
      </c>
      <c r="BK35" s="49">
        <v>66.555000000000007</v>
      </c>
      <c r="BL35" s="49">
        <v>80.608999999999995</v>
      </c>
      <c r="BM35" s="49">
        <v>79.930000000000007</v>
      </c>
      <c r="BN35" s="49">
        <v>847.27200000000005</v>
      </c>
      <c r="BO35" s="49">
        <v>847.27200000000005</v>
      </c>
      <c r="BP35" s="49">
        <v>144.24799999999999</v>
      </c>
      <c r="BQ35" s="49">
        <v>130.98400000000001</v>
      </c>
      <c r="BR35" s="49">
        <v>59.612000000000002</v>
      </c>
      <c r="BS35" s="49">
        <v>28.4</v>
      </c>
      <c r="BT35" s="49">
        <v>7311.2569999999996</v>
      </c>
      <c r="BU35" s="49">
        <v>82.471999999999994</v>
      </c>
      <c r="BV35" s="49">
        <v>68.486999999999995</v>
      </c>
      <c r="BW35" s="49">
        <v>63.052999999999997</v>
      </c>
      <c r="BX35" s="49">
        <v>63.158000000000001</v>
      </c>
      <c r="BY35" s="49">
        <v>1.923</v>
      </c>
      <c r="BZ35" s="49">
        <v>3.2389999999999999</v>
      </c>
      <c r="CA35" s="49">
        <v>3.2639999999999998</v>
      </c>
      <c r="CB35" s="49">
        <v>3.1560000000000001</v>
      </c>
      <c r="CC35" s="49">
        <v>5.61</v>
      </c>
      <c r="CD35" s="49">
        <v>2.3180000000000001</v>
      </c>
      <c r="CE35" s="49">
        <v>3.6909999999999998</v>
      </c>
      <c r="CF35" s="49">
        <v>2.0830000000000002</v>
      </c>
      <c r="CG35" s="49">
        <v>13.692</v>
      </c>
      <c r="CH35" s="49">
        <v>9.9610000000000003</v>
      </c>
      <c r="CI35" s="3"/>
      <c r="CJ35" s="3"/>
      <c r="CK35" s="3"/>
      <c r="CL35" s="49">
        <v>0</v>
      </c>
      <c r="CM35" s="49">
        <v>0.2</v>
      </c>
      <c r="CN35" s="49">
        <v>0</v>
      </c>
      <c r="CO35" s="49">
        <v>0</v>
      </c>
      <c r="CP35" s="49">
        <v>127.569</v>
      </c>
      <c r="CQ35" s="49">
        <v>151.59800000000001</v>
      </c>
      <c r="CR35" s="49">
        <v>125.84</v>
      </c>
      <c r="CS35" s="49">
        <v>118.00700000000001</v>
      </c>
      <c r="CT35" s="49">
        <v>0.33900000000000002</v>
      </c>
      <c r="CU35" s="49">
        <v>1.1000000000000001</v>
      </c>
      <c r="CV35" s="49">
        <v>1.298</v>
      </c>
      <c r="CW35" s="49">
        <v>0.5</v>
      </c>
      <c r="CX35" s="49">
        <v>1.5960000000000001</v>
      </c>
      <c r="CY35" s="49">
        <v>0.997</v>
      </c>
      <c r="CZ35" s="49">
        <v>0.70099999999999996</v>
      </c>
      <c r="DA35" s="49">
        <v>0.60099999999999998</v>
      </c>
      <c r="DB35" s="49">
        <v>1.1970000000000001</v>
      </c>
      <c r="DC35" s="49">
        <v>6.0000000000000001E-3</v>
      </c>
      <c r="DD35" s="49">
        <v>0</v>
      </c>
      <c r="DE35" s="49">
        <v>0.27</v>
      </c>
      <c r="DF35" s="49">
        <v>0.18</v>
      </c>
      <c r="DG35" s="49">
        <v>0.45700000000000002</v>
      </c>
      <c r="DH35" s="49">
        <v>2.15</v>
      </c>
      <c r="DI35" s="49">
        <v>1.028</v>
      </c>
      <c r="DJ35" s="49">
        <v>0.152</v>
      </c>
      <c r="DK35" s="49">
        <v>1.03</v>
      </c>
      <c r="DL35" s="49">
        <v>0.60799999999999998</v>
      </c>
      <c r="DM35" s="49">
        <v>0.77100000000000002</v>
      </c>
      <c r="DN35" s="49">
        <v>0.73199999999999998</v>
      </c>
      <c r="DO35" s="49">
        <v>0.69399999999999995</v>
      </c>
      <c r="DP35" s="49">
        <v>67.043000000000006</v>
      </c>
      <c r="DQ35" s="49">
        <v>60.802</v>
      </c>
      <c r="DR35" s="49">
        <v>54.865000000000002</v>
      </c>
      <c r="DS35" s="49">
        <v>51.74</v>
      </c>
      <c r="DT35" s="49">
        <v>2.46</v>
      </c>
      <c r="DU35" s="49">
        <v>2.87</v>
      </c>
      <c r="DV35" s="49">
        <v>5.23</v>
      </c>
      <c r="DW35" s="49">
        <v>4.1100000000000003</v>
      </c>
      <c r="DX35" s="49">
        <v>2.6</v>
      </c>
      <c r="DY35" s="49">
        <v>3.05</v>
      </c>
      <c r="DZ35" s="49">
        <v>5.01</v>
      </c>
      <c r="EA35" s="49">
        <v>4.1500000000000004</v>
      </c>
      <c r="EB35" s="49">
        <v>19.98</v>
      </c>
      <c r="EC35" s="49">
        <v>19.829999999999998</v>
      </c>
      <c r="ED35" s="49">
        <v>15.81</v>
      </c>
      <c r="EE35" s="49">
        <v>17.12</v>
      </c>
      <c r="EF35" s="49">
        <v>74.959999999999994</v>
      </c>
      <c r="EG35" s="49">
        <v>74.25</v>
      </c>
      <c r="EH35" s="49">
        <v>73.94</v>
      </c>
      <c r="EI35" s="49">
        <v>74.62</v>
      </c>
      <c r="EJ35" s="49">
        <v>6.9870000000000001</v>
      </c>
      <c r="EK35" s="49">
        <v>59.179000000000002</v>
      </c>
      <c r="EL35" s="49">
        <v>0.9</v>
      </c>
      <c r="EM35" s="49">
        <v>0.35</v>
      </c>
      <c r="EN35" s="49">
        <v>0.92</v>
      </c>
      <c r="EO35" s="49">
        <v>0.92</v>
      </c>
      <c r="EP35" s="49">
        <v>-105.054</v>
      </c>
      <c r="EQ35" s="49">
        <v>-2.2130000000000001</v>
      </c>
      <c r="ER35" s="49">
        <v>118.32599999999999</v>
      </c>
      <c r="ES35" s="49">
        <v>1.2669999999999999</v>
      </c>
      <c r="ET35" s="49">
        <v>1.35</v>
      </c>
      <c r="EU35" s="49">
        <v>1.206</v>
      </c>
      <c r="EV35" s="49">
        <v>7.4059999999999997</v>
      </c>
      <c r="EW35" s="49">
        <v>11.714</v>
      </c>
      <c r="EX35" s="49">
        <v>69.84</v>
      </c>
      <c r="EY35" s="49">
        <v>2.1000000000000001E-2</v>
      </c>
      <c r="EZ35" s="49">
        <v>0</v>
      </c>
      <c r="FA35" s="49">
        <v>0</v>
      </c>
      <c r="FB35" s="49">
        <v>8.2810000000000006</v>
      </c>
      <c r="FC35" s="49">
        <v>61.575000000000003</v>
      </c>
      <c r="FD35" s="49">
        <v>58.661000000000001</v>
      </c>
      <c r="FE35" s="49">
        <v>69.325000000000003</v>
      </c>
      <c r="FF35" s="49">
        <v>66.614000000000004</v>
      </c>
      <c r="FG35" s="49">
        <v>0.91</v>
      </c>
      <c r="FH35" s="49">
        <v>0.91</v>
      </c>
      <c r="FI35" s="49">
        <v>0.98199999999999998</v>
      </c>
      <c r="FJ35" s="49">
        <v>0.97599999999999998</v>
      </c>
      <c r="FK35" s="49">
        <v>0.4</v>
      </c>
      <c r="FL35" s="49">
        <v>86</v>
      </c>
      <c r="FM35" s="49">
        <v>2.54</v>
      </c>
      <c r="FN35" s="49">
        <v>0.62</v>
      </c>
      <c r="FO35" s="49">
        <v>5.47</v>
      </c>
      <c r="FP35" s="49">
        <v>0.5</v>
      </c>
      <c r="FQ35" s="49">
        <v>3.5</v>
      </c>
      <c r="FR35" s="49">
        <v>5.15</v>
      </c>
      <c r="FS35" s="49">
        <v>7.0324999999999998</v>
      </c>
      <c r="FT35" s="49">
        <v>1064.7</v>
      </c>
      <c r="FU35" s="49">
        <v>5.96</v>
      </c>
      <c r="FV35" s="49">
        <v>66.150000000000006</v>
      </c>
      <c r="FW35" s="49">
        <v>3042</v>
      </c>
      <c r="FX35" s="49">
        <v>155300</v>
      </c>
      <c r="FY35" s="49">
        <v>166900</v>
      </c>
      <c r="FZ35" s="49">
        <v>70.272000000000006</v>
      </c>
      <c r="GA35" s="49">
        <v>46.469000000000001</v>
      </c>
      <c r="GB35" s="49">
        <v>2070.6</v>
      </c>
      <c r="GC35" s="49">
        <v>2101.4</v>
      </c>
      <c r="GD35" s="49">
        <v>2070.6</v>
      </c>
      <c r="GE35" s="49">
        <v>2191.5</v>
      </c>
      <c r="GF35" s="49">
        <v>1220.625</v>
      </c>
      <c r="GG35" s="49">
        <v>37</v>
      </c>
      <c r="GH35" s="49">
        <v>37.1</v>
      </c>
      <c r="GI35" s="49">
        <v>62.9</v>
      </c>
      <c r="GJ35" s="49">
        <v>67.400000000000006</v>
      </c>
      <c r="GK35" s="49">
        <v>93</v>
      </c>
      <c r="GL35" s="49">
        <v>77.3</v>
      </c>
      <c r="GM35" s="49">
        <v>0</v>
      </c>
      <c r="GN35" s="49">
        <v>22.878</v>
      </c>
      <c r="GO35" s="49">
        <v>118.32599999999999</v>
      </c>
      <c r="GP35" s="49">
        <v>0</v>
      </c>
      <c r="GQ35" s="49">
        <v>3.9529999999999998</v>
      </c>
      <c r="GR35" s="49">
        <v>0</v>
      </c>
      <c r="GS35" s="49">
        <v>3.7759999999999998</v>
      </c>
      <c r="GT35" s="49">
        <v>0</v>
      </c>
      <c r="GU35" s="49">
        <v>4.5430000000000001</v>
      </c>
      <c r="GV35" s="49">
        <v>0</v>
      </c>
      <c r="GW35" s="49">
        <v>12.898999999999999</v>
      </c>
      <c r="GX35" s="49">
        <v>20.58</v>
      </c>
      <c r="GY35" s="49">
        <v>0</v>
      </c>
      <c r="GZ35" s="49">
        <v>0</v>
      </c>
      <c r="HA35" s="49">
        <v>0</v>
      </c>
      <c r="HB35" s="49">
        <v>1</v>
      </c>
      <c r="HC35" s="49">
        <v>30.065000000000001</v>
      </c>
      <c r="HD35" s="49">
        <v>98</v>
      </c>
      <c r="HE35" s="49">
        <v>0</v>
      </c>
      <c r="HF35" s="49">
        <v>0</v>
      </c>
      <c r="HG35" s="49">
        <v>90.64</v>
      </c>
      <c r="HH35" s="49">
        <v>81.17</v>
      </c>
      <c r="HI35" s="49">
        <v>0</v>
      </c>
      <c r="HJ35" s="49">
        <v>0</v>
      </c>
      <c r="HK35" s="49">
        <v>0</v>
      </c>
      <c r="HL35" s="49">
        <v>68</v>
      </c>
      <c r="HM35" s="49">
        <v>57</v>
      </c>
      <c r="HN35" s="49">
        <v>67</v>
      </c>
      <c r="HO35" s="49">
        <v>60</v>
      </c>
      <c r="HP35" s="49">
        <v>64</v>
      </c>
      <c r="HQ35" s="49">
        <v>61</v>
      </c>
      <c r="HR35" s="49">
        <v>54</v>
      </c>
      <c r="HS35" s="49">
        <v>62</v>
      </c>
      <c r="HT35" s="49">
        <v>-5.6000000000000001E-2</v>
      </c>
      <c r="HU35" s="49">
        <v>0</v>
      </c>
      <c r="HV35" s="49">
        <v>1.1399999999999999</v>
      </c>
      <c r="HW35" s="49">
        <v>62.71</v>
      </c>
      <c r="HX35" s="49">
        <v>59.51</v>
      </c>
      <c r="HY35" s="3"/>
      <c r="HZ35" s="3"/>
      <c r="IA35" s="49">
        <v>2.802</v>
      </c>
      <c r="IB35" s="49">
        <v>100</v>
      </c>
      <c r="IC35" s="49">
        <v>19.297000000000001</v>
      </c>
      <c r="ID35" s="49">
        <v>-2.7E-2</v>
      </c>
      <c r="IE35" s="49">
        <v>2.3E-2</v>
      </c>
      <c r="IF35" s="49">
        <v>876</v>
      </c>
      <c r="IG35" s="49">
        <v>724.9</v>
      </c>
      <c r="IH35" s="49">
        <v>916</v>
      </c>
      <c r="II35" s="49">
        <v>754.5</v>
      </c>
      <c r="IJ35" s="49">
        <v>1.2E-2</v>
      </c>
      <c r="IK35" s="49">
        <v>2.1999999999999999E-2</v>
      </c>
      <c r="IL35" s="49">
        <v>347.209</v>
      </c>
      <c r="IM35" s="49">
        <v>347.44900000000001</v>
      </c>
      <c r="IN35" s="49">
        <v>29.553000000000001</v>
      </c>
      <c r="IO35" s="49">
        <v>3.1739999999999999</v>
      </c>
      <c r="IP35" s="49">
        <v>13.76</v>
      </c>
      <c r="IQ35" s="49">
        <v>0</v>
      </c>
      <c r="IR35" s="49">
        <v>0</v>
      </c>
      <c r="IS35">
        <v>0.30599999999999999</v>
      </c>
      <c r="IT35">
        <v>0.15400000000000003</v>
      </c>
    </row>
    <row r="36" spans="2:254" x14ac:dyDescent="0.25">
      <c r="IS36">
        <v>0.30599999999999999</v>
      </c>
      <c r="IT36">
        <v>0.15400000000000003</v>
      </c>
    </row>
    <row r="37" spans="2:254" x14ac:dyDescent="0.25">
      <c r="IS37">
        <v>0.30599999999999999</v>
      </c>
      <c r="IT37">
        <v>0.15400000000000003</v>
      </c>
    </row>
    <row r="38" spans="2:254" x14ac:dyDescent="0.25">
      <c r="IS38">
        <v>0.30599999999999999</v>
      </c>
      <c r="IT38">
        <v>0.15400000000000003</v>
      </c>
    </row>
    <row r="39" spans="2:254" x14ac:dyDescent="0.25">
      <c r="B39" s="2" t="s">
        <v>407</v>
      </c>
      <c r="C39" s="2" t="s">
        <v>41</v>
      </c>
      <c r="D39" s="57">
        <v>4.8232638888888891E-3</v>
      </c>
      <c r="E39" s="48">
        <v>416.72899999999998</v>
      </c>
      <c r="F39" s="48">
        <v>327.07</v>
      </c>
      <c r="G39" s="48">
        <v>5.86</v>
      </c>
      <c r="H39" s="49">
        <v>26.4</v>
      </c>
      <c r="I39" s="49">
        <v>2.06</v>
      </c>
      <c r="J39" s="49">
        <v>157.80000000000001</v>
      </c>
      <c r="K39" s="49">
        <v>6</v>
      </c>
      <c r="L39" s="49">
        <v>4</v>
      </c>
      <c r="M39" s="49">
        <v>4</v>
      </c>
      <c r="N39" s="49">
        <v>3</v>
      </c>
      <c r="O39" s="49">
        <v>3</v>
      </c>
      <c r="P39" s="48">
        <v>0.79300000000000004</v>
      </c>
      <c r="Q39" s="48">
        <v>1.252</v>
      </c>
      <c r="R39" s="48">
        <v>0.91700000000000004</v>
      </c>
      <c r="S39" s="49">
        <v>0.59299999999999997</v>
      </c>
      <c r="T39" s="48">
        <v>67.59</v>
      </c>
      <c r="U39" s="49">
        <v>61.606999999999999</v>
      </c>
      <c r="V39" s="49">
        <v>70</v>
      </c>
      <c r="W39" s="49">
        <v>40</v>
      </c>
      <c r="X39" s="49">
        <v>40</v>
      </c>
      <c r="Y39" s="49">
        <v>30</v>
      </c>
      <c r="Z39" s="48">
        <v>200.81</v>
      </c>
      <c r="AA39" s="48">
        <v>186.42</v>
      </c>
      <c r="AB39" s="48">
        <v>163.38999999999999</v>
      </c>
      <c r="AC39" s="48">
        <v>142.88999999999999</v>
      </c>
      <c r="AD39" s="49">
        <v>1.871</v>
      </c>
      <c r="AE39" s="49">
        <v>1.9350000000000001</v>
      </c>
      <c r="AF39" s="49">
        <v>1.722</v>
      </c>
      <c r="AG39" s="49">
        <v>2.2349999999999999</v>
      </c>
      <c r="AH39" s="48">
        <v>67.28</v>
      </c>
      <c r="AI39" s="48">
        <v>64.349999999999994</v>
      </c>
      <c r="AJ39" s="48">
        <v>69.09</v>
      </c>
      <c r="AK39" s="48">
        <v>31.19</v>
      </c>
      <c r="AL39" s="48">
        <v>578.89499999999998</v>
      </c>
      <c r="AM39" s="48">
        <v>594.28399999999999</v>
      </c>
      <c r="AN39" s="48">
        <v>664.62099999999998</v>
      </c>
      <c r="AO39" s="48">
        <v>674.45399999999995</v>
      </c>
      <c r="AP39" s="49">
        <v>2.657</v>
      </c>
      <c r="AQ39" s="49">
        <v>1.952</v>
      </c>
      <c r="AR39" s="49">
        <v>39.817</v>
      </c>
      <c r="AS39" s="48">
        <v>33.771999999999998</v>
      </c>
      <c r="AT39" s="49">
        <v>82</v>
      </c>
      <c r="AU39" s="48">
        <v>86</v>
      </c>
      <c r="AV39" s="48">
        <v>3.1280000000000001</v>
      </c>
      <c r="AW39" s="48">
        <v>5.1810999999999998</v>
      </c>
      <c r="AX39" s="49">
        <v>1004.4</v>
      </c>
      <c r="AY39" s="48">
        <v>0.99</v>
      </c>
      <c r="AZ39" s="49">
        <v>0.47</v>
      </c>
      <c r="BA39" s="49">
        <v>64.997</v>
      </c>
      <c r="BB39" s="49">
        <v>66.503</v>
      </c>
      <c r="BC39" s="48">
        <v>7567</v>
      </c>
      <c r="BD39" s="48">
        <v>89</v>
      </c>
      <c r="BE39" s="48">
        <v>23.234999999999999</v>
      </c>
      <c r="BF39" s="48">
        <v>12.355</v>
      </c>
      <c r="BG39" s="48">
        <v>26.48</v>
      </c>
      <c r="BH39" s="48">
        <v>26.74</v>
      </c>
      <c r="BI39" s="3"/>
      <c r="BJ39" s="3"/>
      <c r="BK39" s="3"/>
      <c r="BL39" s="3"/>
      <c r="BM39" s="3"/>
      <c r="BN39" s="48">
        <v>568.15200000000004</v>
      </c>
      <c r="BO39" s="48">
        <v>586.904</v>
      </c>
      <c r="BP39" s="48">
        <v>103.57599999999999</v>
      </c>
      <c r="BQ39" s="48">
        <v>93.031999999999996</v>
      </c>
      <c r="BR39" s="3"/>
      <c r="BS39" s="49">
        <v>25.3</v>
      </c>
      <c r="BT39" s="48">
        <v>6868.88</v>
      </c>
      <c r="BU39" s="49">
        <v>87.275000000000006</v>
      </c>
      <c r="BV39" s="49">
        <v>69.158000000000001</v>
      </c>
      <c r="BW39" s="48">
        <v>66.590999999999994</v>
      </c>
      <c r="BX39" s="48">
        <v>69.135000000000005</v>
      </c>
      <c r="BY39" s="49">
        <v>1.4490000000000001</v>
      </c>
      <c r="BZ39" s="48">
        <v>2.8109999999999999</v>
      </c>
      <c r="CA39" s="48">
        <v>2.9159999999999999</v>
      </c>
      <c r="CB39" s="48">
        <v>3.7280000000000002</v>
      </c>
      <c r="CC39" s="48">
        <v>6.2069999999999999</v>
      </c>
      <c r="CD39" s="48">
        <v>2.39</v>
      </c>
      <c r="CE39" s="48">
        <v>3.976</v>
      </c>
      <c r="CF39" s="49">
        <v>2.274</v>
      </c>
      <c r="CG39" s="48">
        <v>13.079000000000001</v>
      </c>
      <c r="CH39" s="49">
        <v>9.8650000000000002</v>
      </c>
      <c r="CI39" s="49">
        <v>4.7069999999999999</v>
      </c>
      <c r="CJ39" s="49">
        <v>2.7519999999999998</v>
      </c>
      <c r="CK39" s="49">
        <v>1.52</v>
      </c>
      <c r="CL39" s="49">
        <v>0</v>
      </c>
      <c r="CM39" s="48">
        <v>0</v>
      </c>
      <c r="CN39" s="49">
        <v>0</v>
      </c>
      <c r="CO39" s="49">
        <v>0</v>
      </c>
      <c r="CP39" s="48">
        <v>63.801000000000002</v>
      </c>
      <c r="CQ39" s="48">
        <v>46.726999999999997</v>
      </c>
      <c r="CR39" s="48">
        <v>50.948999999999998</v>
      </c>
      <c r="CS39" s="48">
        <v>47.676000000000002</v>
      </c>
      <c r="CT39" s="49">
        <v>0.57599999999999996</v>
      </c>
      <c r="CU39" s="49">
        <v>1.9019999999999999</v>
      </c>
      <c r="CV39" s="49">
        <v>1.5029999999999999</v>
      </c>
      <c r="CW39" s="48">
        <v>1.0980000000000001</v>
      </c>
      <c r="CX39" s="49">
        <v>2.1019999999999999</v>
      </c>
      <c r="CY39" s="49">
        <v>0.5</v>
      </c>
      <c r="CZ39" s="49">
        <v>1.1990000000000001</v>
      </c>
      <c r="DA39" s="49">
        <v>0.89900000000000002</v>
      </c>
      <c r="DB39" s="48">
        <v>1.601</v>
      </c>
      <c r="DC39" s="49">
        <v>0</v>
      </c>
      <c r="DD39" s="49">
        <v>0</v>
      </c>
      <c r="DE39" s="48">
        <v>0.188</v>
      </c>
      <c r="DF39" s="48">
        <v>0.14699999999999999</v>
      </c>
      <c r="DG39" s="48">
        <v>0.129</v>
      </c>
      <c r="DH39" s="48">
        <v>1.6539999999999999</v>
      </c>
      <c r="DI39" s="48">
        <v>1.1419999999999999</v>
      </c>
      <c r="DJ39" s="48">
        <v>0.245</v>
      </c>
      <c r="DK39" s="48">
        <v>0.996</v>
      </c>
      <c r="DL39" s="48">
        <v>0.61</v>
      </c>
      <c r="DM39" s="48">
        <v>0.77600000000000002</v>
      </c>
      <c r="DN39" s="48">
        <v>0.76300000000000001</v>
      </c>
      <c r="DO39" s="48">
        <v>0.71</v>
      </c>
      <c r="DP39" s="49">
        <v>65.025999999999996</v>
      </c>
      <c r="DQ39" s="48">
        <v>61.975000000000001</v>
      </c>
      <c r="DR39" s="48">
        <v>52.972999999999999</v>
      </c>
      <c r="DS39" s="48">
        <v>51.600999999999999</v>
      </c>
      <c r="DT39" s="48">
        <v>2.39</v>
      </c>
      <c r="DU39" s="48">
        <v>2.71</v>
      </c>
      <c r="DV39" s="48">
        <v>7.77</v>
      </c>
      <c r="DW39" s="48">
        <v>6.09</v>
      </c>
      <c r="DX39" s="48">
        <v>2.75</v>
      </c>
      <c r="DY39" s="48">
        <v>2.78</v>
      </c>
      <c r="DZ39" s="48">
        <v>7.43</v>
      </c>
      <c r="EA39" s="48">
        <v>5.9</v>
      </c>
      <c r="EB39" s="48">
        <v>28.22</v>
      </c>
      <c r="EC39" s="48">
        <v>27.37</v>
      </c>
      <c r="ED39" s="48">
        <v>21.77</v>
      </c>
      <c r="EE39" s="48">
        <v>23.04</v>
      </c>
      <c r="EF39" s="49">
        <v>66.64</v>
      </c>
      <c r="EG39" s="49">
        <v>67.150000000000006</v>
      </c>
      <c r="EH39" s="49">
        <v>63.03</v>
      </c>
      <c r="EI39" s="49">
        <v>64.97</v>
      </c>
      <c r="EJ39" s="48">
        <v>5.5220000000000002</v>
      </c>
      <c r="EK39" s="48">
        <v>58.598999999999997</v>
      </c>
      <c r="EL39" s="49">
        <v>0.8</v>
      </c>
      <c r="EM39" s="48">
        <v>0.35</v>
      </c>
      <c r="EN39" s="48">
        <v>1.28</v>
      </c>
      <c r="EO39" s="48">
        <v>1.1599999999999999</v>
      </c>
      <c r="EP39" s="48">
        <v>-97.754000000000005</v>
      </c>
      <c r="EQ39" s="48">
        <v>-1.0169999999999999</v>
      </c>
      <c r="ER39" s="48">
        <v>78.614000000000004</v>
      </c>
      <c r="ES39" s="48">
        <v>0.89100000000000001</v>
      </c>
      <c r="ET39" s="48">
        <v>0.97399999999999998</v>
      </c>
      <c r="EU39" s="48">
        <v>0.86399999999999999</v>
      </c>
      <c r="EV39" s="48">
        <v>7.94</v>
      </c>
      <c r="EW39" s="48">
        <v>4.2510000000000003</v>
      </c>
      <c r="EX39" s="48">
        <v>-711.16</v>
      </c>
      <c r="EY39" s="49">
        <v>3.7410000000000001</v>
      </c>
      <c r="EZ39" s="49">
        <v>77.850999999999999</v>
      </c>
      <c r="FA39" s="49">
        <v>0</v>
      </c>
      <c r="FB39" s="48">
        <v>6.4580000000000002</v>
      </c>
      <c r="FC39" s="49">
        <v>75.915999999999997</v>
      </c>
      <c r="FD39" s="49">
        <v>74.825999999999993</v>
      </c>
      <c r="FE39" s="49">
        <v>76.539000000000001</v>
      </c>
      <c r="FF39" s="48">
        <v>46.216999999999999</v>
      </c>
      <c r="FG39" s="49">
        <v>1.167</v>
      </c>
      <c r="FH39" s="49">
        <v>1.0369999999999999</v>
      </c>
      <c r="FI39" s="48">
        <v>1</v>
      </c>
      <c r="FJ39" s="48">
        <v>0.998</v>
      </c>
      <c r="FK39" s="49">
        <v>0.19900000000000001</v>
      </c>
      <c r="FL39" s="48">
        <v>82</v>
      </c>
      <c r="FM39" s="49">
        <v>2.52</v>
      </c>
      <c r="FN39" s="48">
        <v>0.65</v>
      </c>
      <c r="FO39" s="49">
        <v>0.48</v>
      </c>
      <c r="FP39" s="49">
        <v>0.8</v>
      </c>
      <c r="FQ39" s="49">
        <v>2.85</v>
      </c>
      <c r="FR39" s="48">
        <v>5.25</v>
      </c>
      <c r="FS39" s="49">
        <v>6.9630000000000001</v>
      </c>
      <c r="FT39" s="48">
        <v>1063.0999999999999</v>
      </c>
      <c r="FU39" s="48">
        <v>3.51</v>
      </c>
      <c r="FV39" s="48">
        <v>5.86</v>
      </c>
      <c r="FW39" s="49">
        <v>16383.5</v>
      </c>
      <c r="FX39" s="48">
        <v>161300</v>
      </c>
      <c r="FY39" s="48">
        <v>161300</v>
      </c>
      <c r="FZ39" s="48">
        <v>45.805</v>
      </c>
      <c r="GA39" s="48">
        <v>44.658999999999999</v>
      </c>
      <c r="GB39" s="49">
        <v>2131.5</v>
      </c>
      <c r="GC39" s="49">
        <v>2141.3000000000002</v>
      </c>
      <c r="GD39" s="49">
        <v>2144.6999999999998</v>
      </c>
      <c r="GE39" s="49">
        <v>2231.1</v>
      </c>
      <c r="GF39" s="48">
        <v>1546.0625</v>
      </c>
      <c r="GG39" s="49">
        <v>35</v>
      </c>
      <c r="GH39" s="49">
        <v>35.1</v>
      </c>
      <c r="GI39" s="49">
        <v>70.599999999999994</v>
      </c>
      <c r="GJ39" s="49">
        <v>71.8</v>
      </c>
      <c r="GK39" s="49">
        <v>86</v>
      </c>
      <c r="GL39" s="48">
        <v>112</v>
      </c>
      <c r="GM39" s="49">
        <v>0</v>
      </c>
      <c r="GN39" s="48">
        <v>22.387</v>
      </c>
      <c r="GO39" s="48">
        <v>97.754000000000005</v>
      </c>
      <c r="GP39" s="49">
        <v>0</v>
      </c>
      <c r="GQ39" s="49">
        <v>5.782</v>
      </c>
      <c r="GR39" s="49">
        <v>0</v>
      </c>
      <c r="GS39" s="48">
        <v>5.4870000000000001</v>
      </c>
      <c r="GT39" s="49">
        <v>0</v>
      </c>
      <c r="GU39" s="48">
        <v>4.7789999999999999</v>
      </c>
      <c r="GV39" s="49">
        <v>0</v>
      </c>
      <c r="GW39" s="48">
        <v>8.9809999999999999</v>
      </c>
      <c r="GX39" s="48">
        <v>24.01</v>
      </c>
      <c r="GY39" s="49">
        <v>0</v>
      </c>
      <c r="GZ39" s="49">
        <v>0</v>
      </c>
      <c r="HA39" s="49">
        <v>0</v>
      </c>
      <c r="HB39" s="49">
        <v>1</v>
      </c>
      <c r="HC39" s="48">
        <v>36.072000000000003</v>
      </c>
      <c r="HD39" s="48">
        <v>86</v>
      </c>
      <c r="HE39" s="49">
        <v>0</v>
      </c>
      <c r="HF39" s="49">
        <v>0</v>
      </c>
      <c r="HG39" s="49">
        <v>88.67</v>
      </c>
      <c r="HH39" s="48">
        <v>76.69</v>
      </c>
      <c r="HI39" s="49">
        <v>0</v>
      </c>
      <c r="HJ39" s="49">
        <v>0</v>
      </c>
      <c r="HK39" s="49">
        <v>0</v>
      </c>
      <c r="HL39" s="48">
        <v>45</v>
      </c>
      <c r="HM39" s="49">
        <v>54</v>
      </c>
      <c r="HN39" s="48">
        <v>57</v>
      </c>
      <c r="HO39" s="48">
        <v>51</v>
      </c>
      <c r="HP39" s="48">
        <v>54</v>
      </c>
      <c r="HQ39" s="48">
        <v>53</v>
      </c>
      <c r="HR39" s="48">
        <v>48</v>
      </c>
      <c r="HS39" s="48">
        <v>56</v>
      </c>
      <c r="HT39" s="48">
        <v>-9.2999999999999999E-2</v>
      </c>
      <c r="HU39" s="49">
        <v>0</v>
      </c>
      <c r="HV39" s="48">
        <v>0.73599999999999999</v>
      </c>
      <c r="HW39" s="49">
        <v>34.96</v>
      </c>
      <c r="HX39" s="48">
        <v>34.909999999999997</v>
      </c>
      <c r="HY39" s="3"/>
      <c r="HZ39" s="3"/>
      <c r="IA39" s="48">
        <v>2.331</v>
      </c>
      <c r="IB39" s="48">
        <v>84</v>
      </c>
      <c r="IC39" s="48">
        <v>10.038</v>
      </c>
      <c r="ID39" s="48">
        <v>-5.1999999999999998E-2</v>
      </c>
      <c r="IE39" s="48">
        <v>-3.6999999999999998E-2</v>
      </c>
      <c r="IF39" s="48">
        <v>783.6</v>
      </c>
      <c r="IG39" s="48">
        <v>443.9</v>
      </c>
      <c r="IH39" s="48">
        <v>817.9</v>
      </c>
      <c r="II39" s="48">
        <v>465.4</v>
      </c>
      <c r="IJ39" s="48">
        <v>-3.5000000000000003E-2</v>
      </c>
      <c r="IK39" s="48">
        <v>-0.02</v>
      </c>
      <c r="IL39" s="48">
        <v>236.303</v>
      </c>
      <c r="IM39" s="48">
        <v>236.78299999999999</v>
      </c>
      <c r="IN39" s="48">
        <v>21.507000000000001</v>
      </c>
      <c r="IO39" s="48">
        <v>0.25600000000000001</v>
      </c>
      <c r="IP39" s="48">
        <v>12.13</v>
      </c>
      <c r="IQ39" s="49">
        <v>2.5000000000000001E-2</v>
      </c>
      <c r="IR39" s="48">
        <v>1.4999999999999999E-2</v>
      </c>
      <c r="IS39">
        <v>0.30599999999999999</v>
      </c>
      <c r="IT39">
        <v>0.15400000000000003</v>
      </c>
    </row>
    <row r="40" spans="2:254" x14ac:dyDescent="0.25">
      <c r="B40" s="2" t="s">
        <v>407</v>
      </c>
      <c r="C40" s="58" t="s">
        <v>42</v>
      </c>
      <c r="D40" s="59">
        <v>2.416782407407407E-3</v>
      </c>
      <c r="E40" s="48">
        <v>208.85</v>
      </c>
      <c r="F40" s="49">
        <v>330.51</v>
      </c>
      <c r="G40" s="49">
        <v>6.05</v>
      </c>
      <c r="H40" s="48">
        <v>24.7</v>
      </c>
      <c r="I40" s="48">
        <v>0</v>
      </c>
      <c r="J40" s="48">
        <v>9.5</v>
      </c>
      <c r="K40" s="49">
        <v>6</v>
      </c>
      <c r="L40" s="49">
        <v>4</v>
      </c>
      <c r="M40" s="49">
        <v>4</v>
      </c>
      <c r="N40" s="49">
        <v>3</v>
      </c>
      <c r="O40" s="49">
        <v>3</v>
      </c>
      <c r="P40" s="49">
        <v>0.92400000000000004</v>
      </c>
      <c r="Q40" s="49">
        <v>1.9450000000000001</v>
      </c>
      <c r="R40" s="49">
        <v>1.0369999999999999</v>
      </c>
      <c r="S40" s="48">
        <v>0.434</v>
      </c>
      <c r="T40" s="49">
        <v>85.38</v>
      </c>
      <c r="U40" s="48">
        <v>60.723999999999997</v>
      </c>
      <c r="V40" s="48">
        <v>298.33999999999997</v>
      </c>
      <c r="W40" s="48">
        <v>281.66000000000003</v>
      </c>
      <c r="X40" s="48">
        <v>283.33999999999997</v>
      </c>
      <c r="Y40" s="48">
        <v>268.33999999999997</v>
      </c>
      <c r="Z40" s="49">
        <v>427.76</v>
      </c>
      <c r="AA40" s="49">
        <v>410.81</v>
      </c>
      <c r="AB40" s="49">
        <v>422.23</v>
      </c>
      <c r="AC40" s="49">
        <v>409.56</v>
      </c>
      <c r="AD40" s="48">
        <v>1.7210000000000001</v>
      </c>
      <c r="AE40" s="48">
        <v>1.7729999999999999</v>
      </c>
      <c r="AF40" s="48">
        <v>1.6910000000000001</v>
      </c>
      <c r="AG40" s="48">
        <v>1.7310000000000001</v>
      </c>
      <c r="AH40" s="49">
        <v>74.89</v>
      </c>
      <c r="AI40" s="49">
        <v>70.790000000000006</v>
      </c>
      <c r="AJ40" s="49">
        <v>99.96</v>
      </c>
      <c r="AK40" s="49">
        <v>99.91</v>
      </c>
      <c r="AL40" s="49">
        <v>684.15599999999995</v>
      </c>
      <c r="AM40" s="49">
        <v>666.17100000000005</v>
      </c>
      <c r="AN40" s="49">
        <v>756.01800000000003</v>
      </c>
      <c r="AO40" s="49">
        <v>760.37199999999996</v>
      </c>
      <c r="AP40" s="48">
        <v>2.62</v>
      </c>
      <c r="AQ40" s="48">
        <v>1.9359999999999999</v>
      </c>
      <c r="AR40" s="48">
        <v>39.018000000000001</v>
      </c>
      <c r="AS40" s="49">
        <v>34.033999999999999</v>
      </c>
      <c r="AT40" s="49">
        <v>82</v>
      </c>
      <c r="AU40" s="48">
        <v>98</v>
      </c>
      <c r="AV40" s="49">
        <v>2.9580000000000002</v>
      </c>
      <c r="AW40" s="49">
        <v>5.5726000000000004</v>
      </c>
      <c r="AX40" s="48">
        <v>995.2</v>
      </c>
      <c r="AY40" s="48">
        <v>1.04</v>
      </c>
      <c r="AZ40" s="48">
        <v>5.2</v>
      </c>
      <c r="BA40" s="48">
        <v>128.77600000000001</v>
      </c>
      <c r="BB40" s="48">
        <v>128.57599999999999</v>
      </c>
      <c r="BC40" s="49">
        <v>7786</v>
      </c>
      <c r="BD40" s="49">
        <v>89.5</v>
      </c>
      <c r="BE40" s="49">
        <v>24.79</v>
      </c>
      <c r="BF40" s="49">
        <v>15.49</v>
      </c>
      <c r="BG40" s="49">
        <v>28.35</v>
      </c>
      <c r="BH40" s="49">
        <v>27.08</v>
      </c>
      <c r="BI40" s="3"/>
      <c r="BJ40" s="3"/>
      <c r="BK40" s="3"/>
      <c r="BL40" s="3"/>
      <c r="BM40" s="3"/>
      <c r="BN40" s="49">
        <v>847.27200000000005</v>
      </c>
      <c r="BO40" s="49">
        <v>847.27200000000005</v>
      </c>
      <c r="BP40" s="48">
        <v>135.048</v>
      </c>
      <c r="BQ40" s="48">
        <v>127.4</v>
      </c>
      <c r="BR40" s="3"/>
      <c r="BS40" s="48">
        <v>24.4</v>
      </c>
      <c r="BT40" s="49">
        <v>7297.5519999999997</v>
      </c>
      <c r="BU40" s="48">
        <v>79.707999999999998</v>
      </c>
      <c r="BV40" s="48">
        <v>61.947000000000003</v>
      </c>
      <c r="BW40" s="48">
        <v>59.911999999999999</v>
      </c>
      <c r="BX40" s="48">
        <v>66.075999999999993</v>
      </c>
      <c r="BY40" s="48">
        <v>1.448</v>
      </c>
      <c r="BZ40" s="49">
        <v>3.028</v>
      </c>
      <c r="CA40" s="49">
        <v>3.7069999999999999</v>
      </c>
      <c r="CB40" s="49">
        <v>4.1769999999999996</v>
      </c>
      <c r="CC40" s="48">
        <v>6.1829999999999998</v>
      </c>
      <c r="CD40" s="49">
        <v>2.6920000000000002</v>
      </c>
      <c r="CE40" s="48">
        <v>3.9969999999999999</v>
      </c>
      <c r="CF40" s="48">
        <v>2.234</v>
      </c>
      <c r="CG40" s="48">
        <v>13.648</v>
      </c>
      <c r="CH40" s="48">
        <v>13.324</v>
      </c>
      <c r="CI40" s="48">
        <v>2.5979999999999999</v>
      </c>
      <c r="CJ40" s="48">
        <v>2.577</v>
      </c>
      <c r="CK40" s="48">
        <v>1.2569999999999999</v>
      </c>
      <c r="CL40" s="49">
        <v>0</v>
      </c>
      <c r="CM40" s="49">
        <v>0.5</v>
      </c>
      <c r="CN40" s="49">
        <v>0</v>
      </c>
      <c r="CO40" s="49">
        <v>0</v>
      </c>
      <c r="CP40" s="49">
        <v>121.523</v>
      </c>
      <c r="CQ40" s="49">
        <v>340.48700000000002</v>
      </c>
      <c r="CR40" s="49">
        <v>120.974</v>
      </c>
      <c r="CS40" s="49">
        <v>113.298</v>
      </c>
      <c r="CT40" s="48">
        <v>0.35</v>
      </c>
      <c r="CU40" s="48">
        <v>0.79900000000000004</v>
      </c>
      <c r="CV40" s="48">
        <v>0.90100000000000002</v>
      </c>
      <c r="CW40" s="49">
        <v>1.397</v>
      </c>
      <c r="CX40" s="48">
        <v>1.4</v>
      </c>
      <c r="CY40" s="48">
        <v>0.30099999999999999</v>
      </c>
      <c r="CZ40" s="48">
        <v>0.89800000000000002</v>
      </c>
      <c r="DA40" s="48">
        <v>0.79900000000000004</v>
      </c>
      <c r="DB40" s="49">
        <v>2.2999999999999998</v>
      </c>
      <c r="DC40" s="49">
        <v>0</v>
      </c>
      <c r="DD40" s="49">
        <v>0</v>
      </c>
      <c r="DE40" s="49">
        <v>0.38700000000000001</v>
      </c>
      <c r="DF40" s="49">
        <v>0.16500000000000001</v>
      </c>
      <c r="DG40" s="49">
        <v>1.194</v>
      </c>
      <c r="DH40" s="49">
        <v>3.355</v>
      </c>
      <c r="DI40" s="49">
        <v>1.7809999999999999</v>
      </c>
      <c r="DJ40" s="49">
        <v>0.435</v>
      </c>
      <c r="DK40" s="49">
        <v>1.085</v>
      </c>
      <c r="DL40" s="48">
        <v>0.60599999999999998</v>
      </c>
      <c r="DM40" s="48">
        <v>0.76100000000000001</v>
      </c>
      <c r="DN40" s="48">
        <v>0.76500000000000001</v>
      </c>
      <c r="DO40" s="48">
        <v>0.72899999999999998</v>
      </c>
      <c r="DP40" s="48">
        <v>64.337000000000003</v>
      </c>
      <c r="DQ40" s="48">
        <v>61.451999999999998</v>
      </c>
      <c r="DR40" s="49">
        <v>54.13</v>
      </c>
      <c r="DS40" s="48">
        <v>52.331000000000003</v>
      </c>
      <c r="DT40" s="49">
        <v>6.34</v>
      </c>
      <c r="DU40" s="49">
        <v>6.54</v>
      </c>
      <c r="DV40" s="49">
        <v>18.11</v>
      </c>
      <c r="DW40" s="49">
        <v>14.53</v>
      </c>
      <c r="DX40" s="49">
        <v>6.76</v>
      </c>
      <c r="DY40" s="49">
        <v>6.77</v>
      </c>
      <c r="DZ40" s="49">
        <v>17.38</v>
      </c>
      <c r="EA40" s="49">
        <v>14.4</v>
      </c>
      <c r="EB40" s="49">
        <v>42.55</v>
      </c>
      <c r="EC40" s="49">
        <v>40.270000000000003</v>
      </c>
      <c r="ED40" s="48">
        <v>30.73</v>
      </c>
      <c r="EE40" s="48">
        <v>33.92</v>
      </c>
      <c r="EF40" s="48">
        <v>44.35</v>
      </c>
      <c r="EG40" s="48">
        <v>46.42</v>
      </c>
      <c r="EH40" s="48">
        <v>33.770000000000003</v>
      </c>
      <c r="EI40" s="48">
        <v>37.15</v>
      </c>
      <c r="EJ40" s="48">
        <v>5.7939999999999996</v>
      </c>
      <c r="EK40" s="49">
        <v>62.518999999999998</v>
      </c>
      <c r="EL40" s="48">
        <v>0.7</v>
      </c>
      <c r="EM40" s="48">
        <v>0.35</v>
      </c>
      <c r="EN40" s="48">
        <v>1.1599999999999999</v>
      </c>
      <c r="EO40" s="48">
        <v>1.1499999999999999</v>
      </c>
      <c r="EP40" s="49">
        <v>-117.61</v>
      </c>
      <c r="EQ40" s="48">
        <v>-2.7429999999999999</v>
      </c>
      <c r="ER40" s="49">
        <v>101.682</v>
      </c>
      <c r="ES40" s="48">
        <v>1.294</v>
      </c>
      <c r="ET40" s="48">
        <v>1.4330000000000001</v>
      </c>
      <c r="EU40" s="48">
        <v>1.2509999999999999</v>
      </c>
      <c r="EV40" s="49">
        <v>8.0229999999999997</v>
      </c>
      <c r="EW40" s="49">
        <v>4.5970000000000004</v>
      </c>
      <c r="EX40" s="49">
        <v>76.16</v>
      </c>
      <c r="EY40" s="48">
        <v>0</v>
      </c>
      <c r="EZ40" s="48">
        <v>4.6689999999999996</v>
      </c>
      <c r="FA40" s="49">
        <v>0</v>
      </c>
      <c r="FB40" s="48">
        <v>8.8840000000000003</v>
      </c>
      <c r="FC40" s="48">
        <v>68.872</v>
      </c>
      <c r="FD40" s="48">
        <v>66.161000000000001</v>
      </c>
      <c r="FE40" s="48">
        <v>76.260000000000005</v>
      </c>
      <c r="FF40" s="49">
        <v>72.694999999999993</v>
      </c>
      <c r="FG40" s="48">
        <v>0.91100000000000003</v>
      </c>
      <c r="FH40" s="48">
        <v>0.91</v>
      </c>
      <c r="FI40" s="48">
        <v>0.98599999999999999</v>
      </c>
      <c r="FJ40" s="48">
        <v>0.98299999999999998</v>
      </c>
      <c r="FK40" s="48">
        <v>0</v>
      </c>
      <c r="FL40" s="49">
        <v>83</v>
      </c>
      <c r="FM40" s="48">
        <v>2.48</v>
      </c>
      <c r="FN40" s="48">
        <v>1.1200000000000001</v>
      </c>
      <c r="FO40" s="48">
        <v>5.14</v>
      </c>
      <c r="FP40" s="3"/>
      <c r="FQ40" s="48">
        <v>4.6500000000000004</v>
      </c>
      <c r="FR40" s="49">
        <v>5.15</v>
      </c>
      <c r="FS40" s="48">
        <v>6.9284999999999997</v>
      </c>
      <c r="FT40" s="49">
        <v>1066.2</v>
      </c>
      <c r="FU40" s="49">
        <v>6.08</v>
      </c>
      <c r="FV40" s="48">
        <v>11.9</v>
      </c>
      <c r="FW40" s="48">
        <v>3082.5</v>
      </c>
      <c r="FX40" s="49">
        <v>166300</v>
      </c>
      <c r="FY40" s="49">
        <v>165900</v>
      </c>
      <c r="FZ40" s="48">
        <v>44.546999999999997</v>
      </c>
      <c r="GA40" s="48">
        <v>43.082999999999998</v>
      </c>
      <c r="GB40" s="48">
        <v>2115.1999999999998</v>
      </c>
      <c r="GC40" s="48">
        <v>2113.6</v>
      </c>
      <c r="GD40" s="48">
        <v>2132.9</v>
      </c>
      <c r="GE40" s="48">
        <v>2139.6999999999998</v>
      </c>
      <c r="GF40" s="49">
        <v>1574.4530999999999</v>
      </c>
      <c r="GG40" s="48">
        <v>30</v>
      </c>
      <c r="GH40" s="48">
        <v>30</v>
      </c>
      <c r="GI40" s="48">
        <v>48.6</v>
      </c>
      <c r="GJ40" s="48">
        <v>53</v>
      </c>
      <c r="GK40" s="48">
        <v>99</v>
      </c>
      <c r="GL40" s="49">
        <v>112.1</v>
      </c>
      <c r="GM40" s="49">
        <v>0</v>
      </c>
      <c r="GN40" s="48">
        <v>21.94</v>
      </c>
      <c r="GO40" s="49">
        <v>117.61</v>
      </c>
      <c r="GP40" s="48">
        <v>0.29499999999999998</v>
      </c>
      <c r="GQ40" s="48">
        <v>1.829</v>
      </c>
      <c r="GR40" s="48">
        <v>0.53100000000000003</v>
      </c>
      <c r="GS40" s="48">
        <v>1.8879999999999999</v>
      </c>
      <c r="GT40" s="48">
        <v>0.47199999999999998</v>
      </c>
      <c r="GU40" s="48">
        <v>1.829</v>
      </c>
      <c r="GV40" s="48">
        <v>12.641999999999999</v>
      </c>
      <c r="GW40" s="48">
        <v>13.965</v>
      </c>
      <c r="GX40" s="48">
        <v>16.366</v>
      </c>
      <c r="GY40" s="49">
        <v>0</v>
      </c>
      <c r="GZ40" s="49">
        <v>0</v>
      </c>
      <c r="HA40" s="49">
        <v>0</v>
      </c>
      <c r="HB40" s="48">
        <v>0</v>
      </c>
      <c r="HC40" s="49">
        <v>37.801000000000002</v>
      </c>
      <c r="HD40" s="48">
        <v>90</v>
      </c>
      <c r="HE40" s="49">
        <v>0</v>
      </c>
      <c r="HF40" s="49">
        <v>0</v>
      </c>
      <c r="HG40" s="48">
        <v>84.93</v>
      </c>
      <c r="HH40" s="48">
        <v>77.39</v>
      </c>
      <c r="HI40" s="49">
        <v>0</v>
      </c>
      <c r="HJ40" s="49">
        <v>0</v>
      </c>
      <c r="HK40" s="49">
        <v>0</v>
      </c>
      <c r="HL40" s="48">
        <v>47</v>
      </c>
      <c r="HM40" s="48">
        <v>52</v>
      </c>
      <c r="HN40" s="48">
        <v>58</v>
      </c>
      <c r="HO40" s="48">
        <v>53</v>
      </c>
      <c r="HP40" s="49">
        <v>57</v>
      </c>
      <c r="HQ40" s="48">
        <v>54</v>
      </c>
      <c r="HR40" s="48">
        <v>48</v>
      </c>
      <c r="HS40" s="49">
        <v>70</v>
      </c>
      <c r="HT40" s="48">
        <v>-0.11799999999999999</v>
      </c>
      <c r="HU40" s="49">
        <v>0</v>
      </c>
      <c r="HV40" s="49">
        <v>1.492</v>
      </c>
      <c r="HW40" s="49">
        <v>34.96</v>
      </c>
      <c r="HX40" s="49">
        <v>34.1</v>
      </c>
      <c r="HY40" s="49">
        <v>47.87</v>
      </c>
      <c r="HZ40" s="49">
        <v>47.87</v>
      </c>
      <c r="IA40" s="49">
        <v>3.1339999999999999</v>
      </c>
      <c r="IB40" s="49">
        <v>102</v>
      </c>
      <c r="IC40" s="49">
        <v>21.309000000000001</v>
      </c>
      <c r="ID40" s="48">
        <v>-0.13100000000000001</v>
      </c>
      <c r="IE40" s="48">
        <v>-5.5E-2</v>
      </c>
      <c r="IF40" s="48">
        <v>787.3</v>
      </c>
      <c r="IG40" s="49">
        <v>744.3</v>
      </c>
      <c r="IH40" s="48">
        <v>819.7</v>
      </c>
      <c r="II40" s="49">
        <v>771.8</v>
      </c>
      <c r="IJ40" s="48">
        <v>-0.215</v>
      </c>
      <c r="IK40" s="48">
        <v>-0.13600000000000001</v>
      </c>
      <c r="IL40" s="48">
        <v>62.457000000000001</v>
      </c>
      <c r="IM40" s="48">
        <v>62.457000000000001</v>
      </c>
      <c r="IN40" s="49">
        <v>27.47</v>
      </c>
      <c r="IO40" s="49">
        <v>0.42499999999999999</v>
      </c>
      <c r="IP40" s="48">
        <v>12.54</v>
      </c>
      <c r="IQ40" s="49">
        <v>2.5000000000000001E-2</v>
      </c>
      <c r="IR40" s="49">
        <v>3.5999999999999997E-2</v>
      </c>
      <c r="IS40">
        <v>0.33100000000000002</v>
      </c>
      <c r="IT40">
        <v>0.19000000000000003</v>
      </c>
    </row>
    <row r="41" spans="2:254" x14ac:dyDescent="0.25">
      <c r="B41" s="2" t="s">
        <v>407</v>
      </c>
      <c r="C41" s="2" t="s">
        <v>43</v>
      </c>
      <c r="D41" s="57">
        <v>6.2622685185185186E-3</v>
      </c>
      <c r="E41" s="49">
        <v>541.05700000000002</v>
      </c>
      <c r="F41" s="48">
        <v>288.77</v>
      </c>
      <c r="G41" s="48">
        <v>2.82</v>
      </c>
      <c r="H41" s="48">
        <v>24.5</v>
      </c>
      <c r="I41" s="48">
        <v>0</v>
      </c>
      <c r="J41" s="48">
        <v>20.7</v>
      </c>
      <c r="K41" s="49">
        <v>6</v>
      </c>
      <c r="L41" s="49">
        <v>4</v>
      </c>
      <c r="M41" s="49">
        <v>4</v>
      </c>
      <c r="N41" s="49">
        <v>3</v>
      </c>
      <c r="O41" s="49">
        <v>3</v>
      </c>
      <c r="P41" s="48">
        <v>0.56000000000000005</v>
      </c>
      <c r="Q41" s="48">
        <v>0.79400000000000004</v>
      </c>
      <c r="R41" s="48">
        <v>0.53900000000000003</v>
      </c>
      <c r="S41" s="3"/>
      <c r="T41" s="48">
        <v>68.239999999999995</v>
      </c>
      <c r="U41" s="48">
        <v>61.323</v>
      </c>
      <c r="V41" s="48">
        <v>80</v>
      </c>
      <c r="W41" s="49">
        <v>40</v>
      </c>
      <c r="X41" s="49">
        <v>40</v>
      </c>
      <c r="Y41" s="48">
        <v>40</v>
      </c>
      <c r="Z41" s="48">
        <v>166.46</v>
      </c>
      <c r="AA41" s="48">
        <v>153.88</v>
      </c>
      <c r="AB41" s="48">
        <v>164.19</v>
      </c>
      <c r="AC41" s="48">
        <v>160.49</v>
      </c>
      <c r="AD41" s="48">
        <v>1.5780000000000001</v>
      </c>
      <c r="AE41" s="48">
        <v>1.6419999999999999</v>
      </c>
      <c r="AF41" s="48">
        <v>1.5429999999999999</v>
      </c>
      <c r="AG41" s="48">
        <v>1.591</v>
      </c>
      <c r="AH41" s="48">
        <v>52.22</v>
      </c>
      <c r="AI41" s="48">
        <v>51.34</v>
      </c>
      <c r="AJ41" s="48">
        <v>70.41</v>
      </c>
      <c r="AK41" s="48">
        <v>71.25</v>
      </c>
      <c r="AL41" s="48">
        <v>597.84500000000003</v>
      </c>
      <c r="AM41" s="48">
        <v>585.05100000000004</v>
      </c>
      <c r="AN41" s="48">
        <v>711.822</v>
      </c>
      <c r="AO41" s="48">
        <v>668.96799999999996</v>
      </c>
      <c r="AP41" s="3"/>
      <c r="AQ41" s="3"/>
      <c r="AR41" s="3"/>
      <c r="AS41" s="3"/>
      <c r="AT41" s="49">
        <v>82</v>
      </c>
      <c r="AU41" s="49">
        <v>100</v>
      </c>
      <c r="AV41" s="48">
        <v>3.754</v>
      </c>
      <c r="AW41" s="48">
        <v>5.0823</v>
      </c>
      <c r="AX41" s="48">
        <v>983.3</v>
      </c>
      <c r="AY41" s="49">
        <v>1.1000000000000001</v>
      </c>
      <c r="AZ41" s="48">
        <v>5.75</v>
      </c>
      <c r="BA41" s="48">
        <v>138.40700000000001</v>
      </c>
      <c r="BB41" s="48">
        <v>143.50399999999999</v>
      </c>
      <c r="BC41" s="48">
        <v>7502</v>
      </c>
      <c r="BD41" s="48">
        <v>87.25</v>
      </c>
      <c r="BE41" s="48">
        <v>24.22</v>
      </c>
      <c r="BF41" s="48">
        <v>9.42</v>
      </c>
      <c r="BG41" s="48">
        <v>26.53</v>
      </c>
      <c r="BH41" s="48">
        <v>20.77</v>
      </c>
      <c r="BI41" s="49">
        <v>66.001999999999995</v>
      </c>
      <c r="BJ41" s="49">
        <v>81.510000000000005</v>
      </c>
      <c r="BK41" s="49">
        <v>64.363</v>
      </c>
      <c r="BL41" s="49">
        <v>79.337000000000003</v>
      </c>
      <c r="BM41" s="49">
        <v>78.724999999999994</v>
      </c>
      <c r="BN41" s="49">
        <v>847.27200000000005</v>
      </c>
      <c r="BO41" s="49">
        <v>847.27200000000005</v>
      </c>
      <c r="BP41" s="49">
        <v>150.584</v>
      </c>
      <c r="BQ41" s="49">
        <v>141.06399999999999</v>
      </c>
      <c r="BR41" s="49">
        <v>59.149000000000001</v>
      </c>
      <c r="BS41" s="48">
        <v>23.6</v>
      </c>
      <c r="BT41" s="48">
        <v>6296.3860000000004</v>
      </c>
      <c r="BU41" s="48">
        <v>83.525999999999996</v>
      </c>
      <c r="BV41" s="48">
        <v>68.091999999999999</v>
      </c>
      <c r="BW41" s="49">
        <v>71.960999999999999</v>
      </c>
      <c r="BX41" s="49">
        <v>75.597999999999999</v>
      </c>
      <c r="BY41" s="48">
        <v>1.2569999999999999</v>
      </c>
      <c r="BZ41" s="48">
        <v>2.4860000000000002</v>
      </c>
      <c r="CA41" s="48">
        <v>3.4180000000000001</v>
      </c>
      <c r="CB41" s="48">
        <v>3.3889999999999998</v>
      </c>
      <c r="CC41" s="49">
        <v>6.3639999999999999</v>
      </c>
      <c r="CD41" s="48">
        <v>2.282</v>
      </c>
      <c r="CE41" s="49">
        <v>4.0999999999999996</v>
      </c>
      <c r="CF41" s="48">
        <v>2.2189999999999999</v>
      </c>
      <c r="CG41" s="49">
        <v>13.76</v>
      </c>
      <c r="CH41" s="48">
        <v>10.577999999999999</v>
      </c>
      <c r="CI41" s="3"/>
      <c r="CJ41" s="3"/>
      <c r="CK41" s="3"/>
      <c r="CL41" s="49">
        <v>0</v>
      </c>
      <c r="CM41" s="48">
        <v>0</v>
      </c>
      <c r="CN41" s="49">
        <v>0</v>
      </c>
      <c r="CO41" s="49">
        <v>0</v>
      </c>
      <c r="CP41" s="48">
        <v>81.491</v>
      </c>
      <c r="CQ41" s="48">
        <v>182.82900000000001</v>
      </c>
      <c r="CR41" s="48">
        <v>109.858</v>
      </c>
      <c r="CS41" s="48">
        <v>103.532</v>
      </c>
      <c r="CT41" s="48">
        <v>0.15</v>
      </c>
      <c r="CU41" s="48">
        <v>0.5</v>
      </c>
      <c r="CV41" s="48">
        <v>0.2</v>
      </c>
      <c r="CW41" s="48">
        <v>0.3</v>
      </c>
      <c r="CX41" s="48">
        <v>1.3979999999999999</v>
      </c>
      <c r="CY41" s="48">
        <v>0.4</v>
      </c>
      <c r="CZ41" s="48">
        <v>0.8</v>
      </c>
      <c r="DA41" s="48">
        <v>0.497</v>
      </c>
      <c r="DB41" s="48">
        <v>0.39700000000000002</v>
      </c>
      <c r="DC41" s="49">
        <v>0</v>
      </c>
      <c r="DD41" s="49">
        <v>0</v>
      </c>
      <c r="DE41" s="48">
        <v>8.5000000000000006E-2</v>
      </c>
      <c r="DF41" s="48">
        <v>0.14199999999999999</v>
      </c>
      <c r="DG41" s="48">
        <v>0.187</v>
      </c>
      <c r="DH41" s="48">
        <v>0.754</v>
      </c>
      <c r="DI41" s="48">
        <v>0.66100000000000003</v>
      </c>
      <c r="DJ41" s="48">
        <v>8.1000000000000003E-2</v>
      </c>
      <c r="DK41" s="48">
        <v>0.69299999999999995</v>
      </c>
      <c r="DL41" s="49">
        <v>0.64100000000000001</v>
      </c>
      <c r="DM41" s="49">
        <v>0.79</v>
      </c>
      <c r="DN41" s="49">
        <v>0.78900000000000003</v>
      </c>
      <c r="DO41" s="49">
        <v>0.76400000000000001</v>
      </c>
      <c r="DP41" s="48">
        <v>58.139000000000003</v>
      </c>
      <c r="DQ41" s="49">
        <v>64.385000000000005</v>
      </c>
      <c r="DR41" s="48">
        <v>50.250999999999998</v>
      </c>
      <c r="DS41" s="49">
        <v>54.216000000000001</v>
      </c>
      <c r="DT41" s="48">
        <v>0.87</v>
      </c>
      <c r="DU41" s="48">
        <v>0.92</v>
      </c>
      <c r="DV41" s="48">
        <v>2.33</v>
      </c>
      <c r="DW41" s="48">
        <v>1.77</v>
      </c>
      <c r="DX41" s="48">
        <v>1.1000000000000001</v>
      </c>
      <c r="DY41" s="48">
        <v>1.01</v>
      </c>
      <c r="DZ41" s="48">
        <v>2.29</v>
      </c>
      <c r="EA41" s="48">
        <v>1.79</v>
      </c>
      <c r="EB41" s="48">
        <v>33.28</v>
      </c>
      <c r="EC41" s="48">
        <v>32.03</v>
      </c>
      <c r="ED41" s="49">
        <v>36.619999999999997</v>
      </c>
      <c r="EE41" s="49">
        <v>34.380000000000003</v>
      </c>
      <c r="EF41" s="48">
        <v>64.75</v>
      </c>
      <c r="EG41" s="48">
        <v>66.040000000000006</v>
      </c>
      <c r="EH41" s="48">
        <v>58.76</v>
      </c>
      <c r="EI41" s="48">
        <v>62.06</v>
      </c>
      <c r="EJ41" s="49">
        <v>6.67</v>
      </c>
      <c r="EK41" s="48">
        <v>61.453000000000003</v>
      </c>
      <c r="EL41" s="49">
        <v>0.8</v>
      </c>
      <c r="EM41" s="49">
        <v>0.25</v>
      </c>
      <c r="EN41" s="49">
        <v>1.56</v>
      </c>
      <c r="EO41" s="49">
        <v>1.55</v>
      </c>
      <c r="EP41" s="48">
        <v>-108.85</v>
      </c>
      <c r="EQ41" s="49">
        <v>-0.311</v>
      </c>
      <c r="ER41" s="48">
        <v>59.05</v>
      </c>
      <c r="ES41" s="49">
        <v>1.538</v>
      </c>
      <c r="ET41" s="49">
        <v>1.61</v>
      </c>
      <c r="EU41" s="49">
        <v>1.5169999999999999</v>
      </c>
      <c r="EV41" s="3"/>
      <c r="EW41" s="3"/>
      <c r="EX41" s="48">
        <v>19.62</v>
      </c>
      <c r="EY41" s="48">
        <v>0.45900000000000002</v>
      </c>
      <c r="EZ41" s="48">
        <v>1.0429999999999999</v>
      </c>
      <c r="FA41" s="49">
        <v>0</v>
      </c>
      <c r="FB41" s="49">
        <v>9.1980000000000004</v>
      </c>
      <c r="FC41" s="48">
        <v>62.872999999999998</v>
      </c>
      <c r="FD41" s="48">
        <v>59.869</v>
      </c>
      <c r="FE41" s="48">
        <v>72.331000000000003</v>
      </c>
      <c r="FF41" s="48">
        <v>69.683999999999997</v>
      </c>
      <c r="FG41" s="48">
        <v>0.98499999999999999</v>
      </c>
      <c r="FH41" s="48">
        <v>0.93799999999999994</v>
      </c>
      <c r="FI41" s="49">
        <v>1.01</v>
      </c>
      <c r="FJ41" s="49">
        <v>1.008</v>
      </c>
      <c r="FK41" s="48">
        <v>0</v>
      </c>
      <c r="FL41" s="48">
        <v>82</v>
      </c>
      <c r="FM41" s="48">
        <v>2.4</v>
      </c>
      <c r="FN41" s="49">
        <v>0.55000000000000004</v>
      </c>
      <c r="FO41" s="48">
        <v>5.47</v>
      </c>
      <c r="FP41" s="48">
        <v>4.1500000000000004</v>
      </c>
      <c r="FQ41" s="48">
        <v>4.6500000000000004</v>
      </c>
      <c r="FR41" s="49">
        <v>5.15</v>
      </c>
      <c r="FS41" s="48">
        <v>6.4960000000000004</v>
      </c>
      <c r="FT41" s="48">
        <v>1045.5999999999999</v>
      </c>
      <c r="FU41" s="48">
        <v>5.28</v>
      </c>
      <c r="FV41" s="49">
        <v>14.73</v>
      </c>
      <c r="FW41" s="48">
        <v>3075</v>
      </c>
      <c r="FX41" s="48">
        <v>161200</v>
      </c>
      <c r="FY41" s="48">
        <v>162100</v>
      </c>
      <c r="FZ41" s="49">
        <v>49.575000000000003</v>
      </c>
      <c r="GA41" s="49">
        <v>47.993000000000002</v>
      </c>
      <c r="GB41" s="48">
        <v>2076.6</v>
      </c>
      <c r="GC41" s="48">
        <v>2071.9</v>
      </c>
      <c r="GD41" s="48">
        <v>2122.5</v>
      </c>
      <c r="GE41" s="48">
        <v>2119.3000000000002</v>
      </c>
      <c r="GF41" s="48">
        <v>1188.2030999999999</v>
      </c>
      <c r="GG41" s="48">
        <v>33</v>
      </c>
      <c r="GH41" s="48">
        <v>32.5</v>
      </c>
      <c r="GI41" s="48">
        <v>48.6</v>
      </c>
      <c r="GJ41" s="48">
        <v>56.3</v>
      </c>
      <c r="GK41" s="48">
        <v>99.5</v>
      </c>
      <c r="GL41" s="48">
        <v>103.8</v>
      </c>
      <c r="GM41" s="49">
        <v>0</v>
      </c>
      <c r="GN41" s="49">
        <v>23.579000000000001</v>
      </c>
      <c r="GO41" s="48">
        <v>108.85</v>
      </c>
      <c r="GP41" s="49">
        <v>0</v>
      </c>
      <c r="GQ41" s="48">
        <v>4.9560000000000004</v>
      </c>
      <c r="GR41" s="49">
        <v>0</v>
      </c>
      <c r="GS41" s="49">
        <v>5.9</v>
      </c>
      <c r="GT41" s="49">
        <v>0</v>
      </c>
      <c r="GU41" s="49">
        <v>5.6639999999999997</v>
      </c>
      <c r="GV41" s="49">
        <v>0</v>
      </c>
      <c r="GW41" s="49">
        <v>14.186</v>
      </c>
      <c r="GX41" s="49">
        <v>24.99</v>
      </c>
      <c r="GY41" s="49">
        <v>0</v>
      </c>
      <c r="GZ41" s="49">
        <v>0</v>
      </c>
      <c r="HA41" s="49">
        <v>0</v>
      </c>
      <c r="HB41" s="48">
        <v>0</v>
      </c>
      <c r="HC41" s="48">
        <v>35.356999999999999</v>
      </c>
      <c r="HD41" s="49">
        <v>94</v>
      </c>
      <c r="HE41" s="49">
        <v>0</v>
      </c>
      <c r="HF41" s="49">
        <v>0</v>
      </c>
      <c r="HG41" s="48">
        <v>85.3</v>
      </c>
      <c r="HH41" s="49">
        <v>77.540000000000006</v>
      </c>
      <c r="HI41" s="49">
        <v>0</v>
      </c>
      <c r="HJ41" s="49">
        <v>0</v>
      </c>
      <c r="HK41" s="49">
        <v>0</v>
      </c>
      <c r="HL41" s="49">
        <v>50</v>
      </c>
      <c r="HM41" s="48">
        <v>51</v>
      </c>
      <c r="HN41" s="49">
        <v>61</v>
      </c>
      <c r="HO41" s="49">
        <v>54</v>
      </c>
      <c r="HP41" s="49">
        <v>57</v>
      </c>
      <c r="HQ41" s="49">
        <v>55</v>
      </c>
      <c r="HR41" s="49">
        <v>51</v>
      </c>
      <c r="HS41" s="48">
        <v>60</v>
      </c>
      <c r="HT41" s="49">
        <v>-0.1195</v>
      </c>
      <c r="HU41" s="49">
        <v>0</v>
      </c>
      <c r="HV41" s="48">
        <v>0.66800000000000004</v>
      </c>
      <c r="HW41" s="48">
        <v>42.27</v>
      </c>
      <c r="HX41" s="49">
        <v>34.1</v>
      </c>
      <c r="HY41" s="3"/>
      <c r="HZ41" s="3"/>
      <c r="IA41" s="48">
        <v>3.1269999999999998</v>
      </c>
      <c r="IB41" s="48">
        <v>93</v>
      </c>
      <c r="IC41" s="48">
        <v>14.51</v>
      </c>
      <c r="ID41" s="49">
        <v>-6.0000000000000001E-3</v>
      </c>
      <c r="IE41" s="49">
        <v>-3.0000000000000001E-3</v>
      </c>
      <c r="IF41" s="49">
        <v>827.4</v>
      </c>
      <c r="IG41" s="48">
        <v>589.5</v>
      </c>
      <c r="IH41" s="49">
        <v>886.3</v>
      </c>
      <c r="II41" s="48">
        <v>613.29999999999995</v>
      </c>
      <c r="IJ41" s="49">
        <v>-8.9999999999999993E-3</v>
      </c>
      <c r="IK41" s="49">
        <v>-6.0000000000000001E-3</v>
      </c>
      <c r="IL41" s="49">
        <v>460.303</v>
      </c>
      <c r="IM41" s="49">
        <v>460.303</v>
      </c>
      <c r="IN41" s="48">
        <v>23.798999999999999</v>
      </c>
      <c r="IO41" s="48">
        <v>2.3E-2</v>
      </c>
      <c r="IP41" s="49">
        <v>13.29</v>
      </c>
      <c r="IQ41" s="48">
        <v>0</v>
      </c>
      <c r="IR41" s="48">
        <v>0</v>
      </c>
      <c r="IS41">
        <v>0.33100000000000002</v>
      </c>
      <c r="IT41">
        <v>0.19000000000000003</v>
      </c>
    </row>
    <row r="42" spans="2:254" x14ac:dyDescent="0.25">
      <c r="IS42">
        <v>0.33100000000000002</v>
      </c>
      <c r="IT42">
        <v>0.19000000000000003</v>
      </c>
    </row>
    <row r="43" spans="2:254" x14ac:dyDescent="0.25">
      <c r="IS43">
        <v>0.33100000000000002</v>
      </c>
      <c r="IT43">
        <v>0.19000000000000003</v>
      </c>
    </row>
    <row r="44" spans="2:254" x14ac:dyDescent="0.25">
      <c r="IS44">
        <v>0.33100000000000002</v>
      </c>
      <c r="IT44">
        <v>0.19000000000000003</v>
      </c>
    </row>
    <row r="45" spans="2:254" x14ac:dyDescent="0.25">
      <c r="B45" s="2" t="s">
        <v>407</v>
      </c>
      <c r="C45" s="2" t="s">
        <v>41</v>
      </c>
      <c r="D45" s="57">
        <v>5.1444444444444445E-3</v>
      </c>
      <c r="E45" s="49">
        <v>444.47500000000002</v>
      </c>
      <c r="F45" s="48">
        <v>326.83</v>
      </c>
      <c r="G45" s="48">
        <v>5.8</v>
      </c>
      <c r="H45" s="49">
        <v>24.4</v>
      </c>
      <c r="I45" s="49">
        <v>0</v>
      </c>
      <c r="J45" s="49">
        <v>226.7</v>
      </c>
      <c r="K45" s="49">
        <v>6</v>
      </c>
      <c r="L45" s="49">
        <v>4</v>
      </c>
      <c r="M45" s="49">
        <v>4</v>
      </c>
      <c r="N45" s="49">
        <v>3</v>
      </c>
      <c r="O45" s="49">
        <v>3</v>
      </c>
      <c r="P45" s="48">
        <v>1.0069999999999999</v>
      </c>
      <c r="Q45" s="48">
        <v>1.3340000000000001</v>
      </c>
      <c r="R45" s="48">
        <v>1.167</v>
      </c>
      <c r="S45" s="49">
        <v>0.94499999999999995</v>
      </c>
      <c r="T45" s="48">
        <v>67.66</v>
      </c>
      <c r="U45" s="48">
        <v>60.75</v>
      </c>
      <c r="V45" s="49">
        <v>107.5</v>
      </c>
      <c r="W45" s="49">
        <v>90</v>
      </c>
      <c r="X45" s="49">
        <v>90</v>
      </c>
      <c r="Y45" s="49">
        <v>90</v>
      </c>
      <c r="Z45" s="48">
        <v>213.22</v>
      </c>
      <c r="AA45" s="48">
        <v>201.52</v>
      </c>
      <c r="AB45" s="48">
        <v>191.85</v>
      </c>
      <c r="AC45" s="48">
        <v>185.62</v>
      </c>
      <c r="AD45" s="48">
        <v>1.62</v>
      </c>
      <c r="AE45" s="48">
        <v>1.673</v>
      </c>
      <c r="AF45" s="48">
        <v>1.51</v>
      </c>
      <c r="AG45" s="48">
        <v>1.5329999999999999</v>
      </c>
      <c r="AH45" s="48">
        <v>56.31</v>
      </c>
      <c r="AI45" s="48">
        <v>52.56</v>
      </c>
      <c r="AJ45" s="48">
        <v>63.69</v>
      </c>
      <c r="AK45" s="48">
        <v>60.52</v>
      </c>
      <c r="AL45" s="48">
        <v>597.49199999999996</v>
      </c>
      <c r="AM45" s="48">
        <v>626.774</v>
      </c>
      <c r="AN45" s="48">
        <v>686.87599999999998</v>
      </c>
      <c r="AO45" s="48">
        <v>684.74900000000002</v>
      </c>
      <c r="AP45" s="48">
        <v>2.698</v>
      </c>
      <c r="AQ45" s="48">
        <v>2.0070000000000001</v>
      </c>
      <c r="AR45" s="49">
        <v>39.908000000000001</v>
      </c>
      <c r="AS45" s="48">
        <v>35.892000000000003</v>
      </c>
      <c r="AT45" s="49">
        <v>82</v>
      </c>
      <c r="AU45" s="48">
        <v>94</v>
      </c>
      <c r="AV45" s="48">
        <v>3.0750000000000002</v>
      </c>
      <c r="AW45" s="48">
        <v>5.2070999999999996</v>
      </c>
      <c r="AX45" s="49">
        <v>1010.8</v>
      </c>
      <c r="AY45" s="48">
        <v>1.07</v>
      </c>
      <c r="AZ45" s="48">
        <v>5.67</v>
      </c>
      <c r="BA45" s="49">
        <v>68.8</v>
      </c>
      <c r="BB45" s="49">
        <v>69.2</v>
      </c>
      <c r="BC45" s="48">
        <v>7691</v>
      </c>
      <c r="BD45" s="48">
        <v>89</v>
      </c>
      <c r="BE45" s="48">
        <v>23.184999999999999</v>
      </c>
      <c r="BF45" s="48">
        <v>11.84</v>
      </c>
      <c r="BG45" s="48">
        <v>27.12</v>
      </c>
      <c r="BH45" s="48">
        <v>26.95</v>
      </c>
      <c r="BI45" s="48">
        <v>66.256</v>
      </c>
      <c r="BJ45" s="48">
        <v>81.739000000000004</v>
      </c>
      <c r="BK45" s="48">
        <v>64.619</v>
      </c>
      <c r="BL45" s="48">
        <v>79.331999999999994</v>
      </c>
      <c r="BM45" s="48">
        <v>79.194999999999993</v>
      </c>
      <c r="BN45" s="49">
        <v>847.27200000000005</v>
      </c>
      <c r="BO45" s="48">
        <v>294.26400000000001</v>
      </c>
      <c r="BP45" s="48">
        <v>102.392</v>
      </c>
      <c r="BQ45" s="48">
        <v>98.12</v>
      </c>
      <c r="BR45" s="48">
        <v>57.65</v>
      </c>
      <c r="BS45" s="49">
        <v>23.8</v>
      </c>
      <c r="BT45" s="48">
        <v>7314.3140000000003</v>
      </c>
      <c r="BU45" s="49">
        <v>89.046999999999997</v>
      </c>
      <c r="BV45" s="48">
        <v>65.816999999999993</v>
      </c>
      <c r="BW45" s="48">
        <v>65.049000000000007</v>
      </c>
      <c r="BX45" s="48">
        <v>67.338999999999999</v>
      </c>
      <c r="BY45" s="48">
        <v>1.5129999999999999</v>
      </c>
      <c r="BZ45" s="48">
        <v>2.673</v>
      </c>
      <c r="CA45" s="48">
        <v>2.9590000000000001</v>
      </c>
      <c r="CB45" s="48">
        <v>3.3090000000000002</v>
      </c>
      <c r="CC45" s="48">
        <v>5.8620000000000001</v>
      </c>
      <c r="CD45" s="49">
        <v>2.6150000000000002</v>
      </c>
      <c r="CE45" s="48">
        <v>4.0780000000000003</v>
      </c>
      <c r="CF45" s="49">
        <v>2.3530000000000002</v>
      </c>
      <c r="CG45" s="48">
        <v>13.138999999999999</v>
      </c>
      <c r="CH45" s="49">
        <v>9.798</v>
      </c>
      <c r="CI45" s="48">
        <v>4.0330000000000004</v>
      </c>
      <c r="CJ45" s="48">
        <v>2.524</v>
      </c>
      <c r="CK45" s="48">
        <v>1.3080000000000001</v>
      </c>
      <c r="CL45" s="49">
        <v>0</v>
      </c>
      <c r="CM45" s="48">
        <v>0</v>
      </c>
      <c r="CN45" s="49">
        <v>0</v>
      </c>
      <c r="CO45" s="49">
        <v>0</v>
      </c>
      <c r="CP45" s="48">
        <v>85.668000000000006</v>
      </c>
      <c r="CQ45" s="48">
        <v>58.615000000000002</v>
      </c>
      <c r="CR45" s="48">
        <v>68.906999999999996</v>
      </c>
      <c r="CS45" s="48">
        <v>69.031999999999996</v>
      </c>
      <c r="CT45" s="48">
        <v>0.41899999999999998</v>
      </c>
      <c r="CU45" s="48">
        <v>1.601</v>
      </c>
      <c r="CV45" s="48">
        <v>1.099</v>
      </c>
      <c r="CW45" s="48">
        <v>1.099</v>
      </c>
      <c r="CX45" s="48">
        <v>1.4990000000000001</v>
      </c>
      <c r="CY45" s="48">
        <v>0.40100000000000002</v>
      </c>
      <c r="CZ45" s="48">
        <v>1.1970000000000001</v>
      </c>
      <c r="DA45" s="48">
        <v>0.7</v>
      </c>
      <c r="DB45" s="48">
        <v>2.2970000000000002</v>
      </c>
      <c r="DC45" s="49">
        <v>2E-3</v>
      </c>
      <c r="DD45" s="49">
        <v>0</v>
      </c>
      <c r="DE45" s="48">
        <v>0.184</v>
      </c>
      <c r="DF45" s="48">
        <v>0.13</v>
      </c>
      <c r="DG45" s="48">
        <v>0.44700000000000001</v>
      </c>
      <c r="DH45" s="48">
        <v>1.712</v>
      </c>
      <c r="DI45" s="48">
        <v>1.454</v>
      </c>
      <c r="DJ45" s="48">
        <v>0.314</v>
      </c>
      <c r="DK45" s="48">
        <v>1.0449999999999999</v>
      </c>
      <c r="DL45" s="48">
        <v>0.60799999999999998</v>
      </c>
      <c r="DM45" s="48">
        <v>0.77</v>
      </c>
      <c r="DN45" s="48">
        <v>0.76100000000000001</v>
      </c>
      <c r="DO45" s="48">
        <v>0.70099999999999996</v>
      </c>
      <c r="DP45" s="48">
        <v>64.495999999999995</v>
      </c>
      <c r="DQ45" s="48">
        <v>60.353999999999999</v>
      </c>
      <c r="DR45" s="48">
        <v>50.249000000000002</v>
      </c>
      <c r="DS45" s="48">
        <v>52.027999999999999</v>
      </c>
      <c r="DT45" s="48">
        <v>2.2799999999999998</v>
      </c>
      <c r="DU45" s="48">
        <v>2.63</v>
      </c>
      <c r="DV45" s="48">
        <v>7.42</v>
      </c>
      <c r="DW45" s="48">
        <v>6.28</v>
      </c>
      <c r="DX45" s="48">
        <v>2.5</v>
      </c>
      <c r="DY45" s="48">
        <v>2.66</v>
      </c>
      <c r="DZ45" s="48">
        <v>7.14</v>
      </c>
      <c r="EA45" s="48">
        <v>6.04</v>
      </c>
      <c r="EB45" s="48">
        <v>23.28</v>
      </c>
      <c r="EC45" s="48">
        <v>21.71</v>
      </c>
      <c r="ED45" s="48">
        <v>17.73</v>
      </c>
      <c r="EE45" s="48">
        <v>19.649999999999999</v>
      </c>
      <c r="EF45" s="49">
        <v>71.94</v>
      </c>
      <c r="EG45" s="49">
        <v>73</v>
      </c>
      <c r="EH45" s="49">
        <v>67.709999999999994</v>
      </c>
      <c r="EI45" s="49">
        <v>68.03</v>
      </c>
      <c r="EJ45" s="48">
        <v>4.766</v>
      </c>
      <c r="EK45" s="48">
        <v>59.145000000000003</v>
      </c>
      <c r="EL45" s="48">
        <v>0.85</v>
      </c>
      <c r="EM45" s="48">
        <v>0.4</v>
      </c>
      <c r="EN45" s="48">
        <v>1.1100000000000001</v>
      </c>
      <c r="EO45" s="48">
        <v>1.1000000000000001</v>
      </c>
      <c r="EP45" s="48">
        <v>-84.322000000000003</v>
      </c>
      <c r="EQ45" s="49">
        <v>-0.874</v>
      </c>
      <c r="ER45" s="48">
        <v>77.445999999999998</v>
      </c>
      <c r="ES45" s="48">
        <v>0.67900000000000005</v>
      </c>
      <c r="ET45" s="48">
        <v>0.76200000000000001</v>
      </c>
      <c r="EU45" s="48">
        <v>0.67100000000000004</v>
      </c>
      <c r="EV45" s="48">
        <v>8.0960000000000001</v>
      </c>
      <c r="EW45" s="48">
        <v>4.6689999999999996</v>
      </c>
      <c r="EX45" s="48">
        <v>-95.26</v>
      </c>
      <c r="EY45" s="49">
        <v>0.10100000000000001</v>
      </c>
      <c r="EZ45" s="48">
        <v>0</v>
      </c>
      <c r="FA45" s="49">
        <v>0</v>
      </c>
      <c r="FB45" s="48">
        <v>4.3949999999999996</v>
      </c>
      <c r="FC45" s="48">
        <v>60.786000000000001</v>
      </c>
      <c r="FD45" s="48">
        <v>57.826000000000001</v>
      </c>
      <c r="FE45" s="48">
        <v>62.981999999999999</v>
      </c>
      <c r="FF45" s="48">
        <v>60.695999999999998</v>
      </c>
      <c r="FG45" s="49">
        <v>0.97499999999999998</v>
      </c>
      <c r="FH45" s="49">
        <v>0.97399999999999998</v>
      </c>
      <c r="FI45" s="48">
        <v>0.998</v>
      </c>
      <c r="FJ45" s="48">
        <v>0.996</v>
      </c>
      <c r="FK45" s="49">
        <v>0.2</v>
      </c>
      <c r="FL45" s="49">
        <v>83</v>
      </c>
      <c r="FM45" s="48">
        <v>2.5099999999999998</v>
      </c>
      <c r="FN45" s="49">
        <v>0.56000000000000005</v>
      </c>
      <c r="FO45" s="48">
        <v>5.4</v>
      </c>
      <c r="FP45" s="49">
        <v>2.75</v>
      </c>
      <c r="FQ45" s="48">
        <v>4.5999999999999996</v>
      </c>
      <c r="FR45" s="48">
        <v>5.2</v>
      </c>
      <c r="FS45" s="49">
        <v>6.859</v>
      </c>
      <c r="FT45" s="49">
        <v>1070.7</v>
      </c>
      <c r="FU45" s="48">
        <v>6.68</v>
      </c>
      <c r="FV45" s="48">
        <v>5.79</v>
      </c>
      <c r="FW45" s="48">
        <v>3117</v>
      </c>
      <c r="FX45" s="48">
        <v>160500</v>
      </c>
      <c r="FY45" s="48">
        <v>161200</v>
      </c>
      <c r="FZ45" s="48">
        <v>45.578000000000003</v>
      </c>
      <c r="GA45" s="48">
        <v>43.91</v>
      </c>
      <c r="GB45" s="48">
        <v>2127.1</v>
      </c>
      <c r="GC45" s="48">
        <v>2189.1</v>
      </c>
      <c r="GD45" s="48">
        <v>2218.1999999999998</v>
      </c>
      <c r="GE45" s="48">
        <v>2189.1</v>
      </c>
      <c r="GF45" s="49">
        <v>1457.3594000000001</v>
      </c>
      <c r="GG45" s="48">
        <v>33</v>
      </c>
      <c r="GH45" s="48">
        <v>32.799999999999997</v>
      </c>
      <c r="GI45" s="49">
        <v>57.9</v>
      </c>
      <c r="GJ45" s="49">
        <v>63.7</v>
      </c>
      <c r="GK45" s="49">
        <v>88</v>
      </c>
      <c r="GL45" s="48">
        <v>111.2</v>
      </c>
      <c r="GM45" s="49">
        <v>0</v>
      </c>
      <c r="GN45" s="48">
        <v>23.573</v>
      </c>
      <c r="GO45" s="48">
        <v>84.322000000000003</v>
      </c>
      <c r="GP45" s="49">
        <v>0</v>
      </c>
      <c r="GQ45" s="48">
        <v>3.9529999999999998</v>
      </c>
      <c r="GR45" s="49">
        <v>0</v>
      </c>
      <c r="GS45" s="48">
        <v>4.0709999999999997</v>
      </c>
      <c r="GT45" s="49">
        <v>0</v>
      </c>
      <c r="GU45" s="48">
        <v>4.13</v>
      </c>
      <c r="GV45" s="49">
        <v>0</v>
      </c>
      <c r="GW45" s="48">
        <v>7.0149999999999997</v>
      </c>
      <c r="GX45" s="48">
        <v>20.776</v>
      </c>
      <c r="GY45" s="49">
        <v>0</v>
      </c>
      <c r="GZ45" s="49">
        <v>0</v>
      </c>
      <c r="HA45" s="49">
        <v>0</v>
      </c>
      <c r="HB45" s="49">
        <v>1</v>
      </c>
      <c r="HC45" s="48">
        <v>33.908999999999999</v>
      </c>
      <c r="HD45" s="48">
        <v>86</v>
      </c>
      <c r="HE45" s="49">
        <v>0</v>
      </c>
      <c r="HF45" s="49">
        <v>0</v>
      </c>
      <c r="HG45" s="48">
        <v>83.44</v>
      </c>
      <c r="HH45" s="49">
        <v>100</v>
      </c>
      <c r="HI45" s="49">
        <v>0</v>
      </c>
      <c r="HJ45" s="49">
        <v>0</v>
      </c>
      <c r="HK45" s="49">
        <v>0</v>
      </c>
      <c r="HL45" s="49">
        <v>53</v>
      </c>
      <c r="HM45" s="49">
        <v>51</v>
      </c>
      <c r="HN45" s="49">
        <v>61</v>
      </c>
      <c r="HO45" s="48">
        <v>55</v>
      </c>
      <c r="HP45" s="48">
        <v>58</v>
      </c>
      <c r="HQ45" s="48">
        <v>56</v>
      </c>
      <c r="HR45" s="49">
        <v>52</v>
      </c>
      <c r="HS45" s="48">
        <v>62</v>
      </c>
      <c r="HT45" s="48">
        <v>-0.161</v>
      </c>
      <c r="HU45" s="49">
        <v>0</v>
      </c>
      <c r="HV45" s="48">
        <v>0.69099999999999995</v>
      </c>
      <c r="HW45" s="48">
        <v>41.59</v>
      </c>
      <c r="HX45" s="48">
        <v>35.25</v>
      </c>
      <c r="HY45" s="3"/>
      <c r="HZ45" s="3"/>
      <c r="IA45" s="48">
        <v>2.5499999999999998</v>
      </c>
      <c r="IB45" s="48">
        <v>92</v>
      </c>
      <c r="IC45" s="48">
        <v>13.87</v>
      </c>
      <c r="ID45" s="48">
        <v>-5.1999999999999998E-2</v>
      </c>
      <c r="IE45" s="48">
        <v>-3.4000000000000002E-2</v>
      </c>
      <c r="IF45" s="48">
        <v>784.5</v>
      </c>
      <c r="IG45" s="48">
        <v>550.4</v>
      </c>
      <c r="IH45" s="48">
        <v>829.1</v>
      </c>
      <c r="II45" s="48">
        <v>575.20000000000005</v>
      </c>
      <c r="IJ45" s="48">
        <v>-4.5999999999999999E-2</v>
      </c>
      <c r="IK45" s="48">
        <v>-3.5999999999999997E-2</v>
      </c>
      <c r="IL45" s="49">
        <v>295.28100000000001</v>
      </c>
      <c r="IM45" s="49">
        <v>295.50200000000001</v>
      </c>
      <c r="IN45" s="48">
        <v>24.826000000000001</v>
      </c>
      <c r="IO45" s="48">
        <v>0.14799999999999999</v>
      </c>
      <c r="IP45" s="49">
        <v>13.24</v>
      </c>
      <c r="IQ45" s="48">
        <v>-6.0999999999999999E-2</v>
      </c>
      <c r="IR45" s="49">
        <v>0.03</v>
      </c>
      <c r="IS45">
        <v>0.33100000000000002</v>
      </c>
      <c r="IT45">
        <v>0.19000000000000003</v>
      </c>
    </row>
    <row r="46" spans="2:254" x14ac:dyDescent="0.25">
      <c r="B46" s="2" t="s">
        <v>407</v>
      </c>
      <c r="C46" s="2" t="s">
        <v>42</v>
      </c>
      <c r="D46" s="57">
        <v>2.4078703703703705E-3</v>
      </c>
      <c r="E46" s="48">
        <v>208.08</v>
      </c>
      <c r="F46" s="48">
        <v>328.76</v>
      </c>
      <c r="G46" s="48">
        <v>6.09</v>
      </c>
      <c r="H46" s="48">
        <v>24</v>
      </c>
      <c r="I46" s="49">
        <v>0</v>
      </c>
      <c r="J46" s="48">
        <v>9.5</v>
      </c>
      <c r="K46" s="49">
        <v>6</v>
      </c>
      <c r="L46" s="49">
        <v>4</v>
      </c>
      <c r="M46" s="49">
        <v>4</v>
      </c>
      <c r="N46" s="49">
        <v>3</v>
      </c>
      <c r="O46" s="49">
        <v>3</v>
      </c>
      <c r="P46" s="49">
        <v>1.085</v>
      </c>
      <c r="Q46" s="49">
        <v>2.0830000000000002</v>
      </c>
      <c r="R46" s="49">
        <v>1.274</v>
      </c>
      <c r="S46" s="48">
        <v>0.77600000000000002</v>
      </c>
      <c r="T46" s="49">
        <v>87.99</v>
      </c>
      <c r="U46" s="48">
        <v>60.762999999999998</v>
      </c>
      <c r="V46" s="48">
        <v>261.66000000000003</v>
      </c>
      <c r="W46" s="48">
        <v>248.34</v>
      </c>
      <c r="X46" s="48">
        <v>256.66000000000003</v>
      </c>
      <c r="Y46" s="48">
        <v>263.33999999999997</v>
      </c>
      <c r="Z46" s="48">
        <v>397.19</v>
      </c>
      <c r="AA46" s="48">
        <v>379.49</v>
      </c>
      <c r="AB46" s="48">
        <v>398.13</v>
      </c>
      <c r="AC46" s="48">
        <v>397.77</v>
      </c>
      <c r="AD46" s="48">
        <v>1.7410000000000001</v>
      </c>
      <c r="AE46" s="48">
        <v>1.79</v>
      </c>
      <c r="AF46" s="48">
        <v>1.7629999999999999</v>
      </c>
      <c r="AG46" s="48">
        <v>1.756</v>
      </c>
      <c r="AH46" s="48">
        <v>76</v>
      </c>
      <c r="AI46" s="48">
        <v>71.349999999999994</v>
      </c>
      <c r="AJ46" s="48">
        <v>104.73</v>
      </c>
      <c r="AK46" s="48">
        <v>95.18</v>
      </c>
      <c r="AL46" s="49">
        <v>720.16600000000005</v>
      </c>
      <c r="AM46" s="48">
        <v>695.38</v>
      </c>
      <c r="AN46" s="48">
        <v>806.45</v>
      </c>
      <c r="AO46" s="48">
        <v>775.54899999999998</v>
      </c>
      <c r="AP46" s="48">
        <v>2.68</v>
      </c>
      <c r="AQ46" s="48">
        <v>1.9810000000000001</v>
      </c>
      <c r="AR46" s="48">
        <v>39.085999999999999</v>
      </c>
      <c r="AS46" s="48">
        <v>35.061</v>
      </c>
      <c r="AT46" s="49">
        <v>82</v>
      </c>
      <c r="AU46" s="48">
        <v>103</v>
      </c>
      <c r="AV46" s="48">
        <v>2.8075000000000001</v>
      </c>
      <c r="AW46" s="48">
        <v>5.5023</v>
      </c>
      <c r="AX46" s="48">
        <v>994.8</v>
      </c>
      <c r="AY46" s="48">
        <v>1.05</v>
      </c>
      <c r="AZ46" s="48">
        <v>4.96</v>
      </c>
      <c r="BA46" s="48">
        <v>91.763000000000005</v>
      </c>
      <c r="BB46" s="48">
        <v>91.150999999999996</v>
      </c>
      <c r="BC46" s="48">
        <v>8173</v>
      </c>
      <c r="BD46" s="48">
        <v>88.5</v>
      </c>
      <c r="BE46" s="48">
        <v>25.42</v>
      </c>
      <c r="BF46" s="48">
        <v>15.63</v>
      </c>
      <c r="BG46" s="48">
        <v>30.49</v>
      </c>
      <c r="BH46" s="49">
        <v>31.25</v>
      </c>
      <c r="BI46" s="3"/>
      <c r="BJ46" s="3"/>
      <c r="BK46" s="3"/>
      <c r="BL46" s="3"/>
      <c r="BM46" s="3"/>
      <c r="BN46" s="49">
        <v>847.27200000000005</v>
      </c>
      <c r="BO46" s="49">
        <v>847.27200000000005</v>
      </c>
      <c r="BP46" s="48">
        <v>127.256</v>
      </c>
      <c r="BQ46" s="48">
        <v>124.2</v>
      </c>
      <c r="BR46" s="3"/>
      <c r="BS46" s="48">
        <v>23.7</v>
      </c>
      <c r="BT46" s="48">
        <v>7328.2960000000003</v>
      </c>
      <c r="BU46" s="48">
        <v>78.989000000000004</v>
      </c>
      <c r="BV46" s="48">
        <v>62.603000000000002</v>
      </c>
      <c r="BW46" s="48">
        <v>56.594000000000001</v>
      </c>
      <c r="BX46" s="48">
        <v>66.063999999999993</v>
      </c>
      <c r="BY46" s="48">
        <v>1.458</v>
      </c>
      <c r="BZ46" s="48">
        <v>3.246</v>
      </c>
      <c r="CA46" s="48">
        <v>3.7269999999999999</v>
      </c>
      <c r="CB46" s="48">
        <v>3.9950000000000001</v>
      </c>
      <c r="CC46" s="48">
        <v>6.0259999999999998</v>
      </c>
      <c r="CD46" s="48">
        <v>2.6139999999999999</v>
      </c>
      <c r="CE46" s="48">
        <v>4.0090000000000003</v>
      </c>
      <c r="CF46" s="48">
        <v>2.2930000000000001</v>
      </c>
      <c r="CG46" s="48">
        <v>13.643000000000001</v>
      </c>
      <c r="CH46" s="48">
        <v>13.391999999999999</v>
      </c>
      <c r="CI46" s="49">
        <v>5.0439999999999996</v>
      </c>
      <c r="CJ46" s="48">
        <v>3.51</v>
      </c>
      <c r="CK46" s="49">
        <v>1.7829999999999999</v>
      </c>
      <c r="CL46" s="49">
        <v>0</v>
      </c>
      <c r="CM46" s="48">
        <v>0.2</v>
      </c>
      <c r="CN46" s="49">
        <v>0</v>
      </c>
      <c r="CO46" s="49">
        <v>0</v>
      </c>
      <c r="CP46" s="48">
        <v>178.71600000000001</v>
      </c>
      <c r="CQ46" s="48">
        <v>220.51900000000001</v>
      </c>
      <c r="CR46" s="48">
        <v>115.557</v>
      </c>
      <c r="CS46" s="48">
        <v>113.68</v>
      </c>
      <c r="CT46" s="48">
        <v>0.42599999999999999</v>
      </c>
      <c r="CU46" s="48">
        <v>0.9</v>
      </c>
      <c r="CV46" s="48">
        <v>1.2969999999999999</v>
      </c>
      <c r="CW46" s="48">
        <v>1.8</v>
      </c>
      <c r="CX46" s="48">
        <v>1.3</v>
      </c>
      <c r="CY46" s="48">
        <v>1.1000000000000001</v>
      </c>
      <c r="CZ46" s="48">
        <v>1.8</v>
      </c>
      <c r="DA46" s="48">
        <v>1.3979999999999999</v>
      </c>
      <c r="DB46" s="48">
        <v>2.198</v>
      </c>
      <c r="DC46" s="48">
        <v>0</v>
      </c>
      <c r="DD46" s="49">
        <v>0</v>
      </c>
      <c r="DE46" s="49">
        <v>0.39700000000000002</v>
      </c>
      <c r="DF46" s="49">
        <v>0.13600000000000001</v>
      </c>
      <c r="DG46" s="49">
        <v>1.607</v>
      </c>
      <c r="DH46" s="49">
        <v>3.4529999999999998</v>
      </c>
      <c r="DI46" s="49">
        <v>1.978</v>
      </c>
      <c r="DJ46" s="49">
        <v>0.52900000000000003</v>
      </c>
      <c r="DK46" s="49">
        <v>1.204</v>
      </c>
      <c r="DL46" s="48">
        <v>0.60499999999999998</v>
      </c>
      <c r="DM46" s="48">
        <v>0.76300000000000001</v>
      </c>
      <c r="DN46" s="49">
        <v>0.80500000000000005</v>
      </c>
      <c r="DO46" s="48">
        <v>0.73599999999999999</v>
      </c>
      <c r="DP46" s="48">
        <v>65.254999999999995</v>
      </c>
      <c r="DQ46" s="48">
        <v>61.295000000000002</v>
      </c>
      <c r="DR46" s="49">
        <v>53.73</v>
      </c>
      <c r="DS46" s="48">
        <v>52.273000000000003</v>
      </c>
      <c r="DT46" s="48">
        <v>6.46</v>
      </c>
      <c r="DU46" s="48">
        <v>6.65</v>
      </c>
      <c r="DV46" s="48">
        <v>18.87</v>
      </c>
      <c r="DW46" s="48">
        <v>15.03</v>
      </c>
      <c r="DX46" s="48">
        <v>6.74</v>
      </c>
      <c r="DY46" s="48">
        <v>7.23</v>
      </c>
      <c r="DZ46" s="48">
        <v>18.420000000000002</v>
      </c>
      <c r="EA46" s="48">
        <v>14.95</v>
      </c>
      <c r="EB46" s="48">
        <v>41.73</v>
      </c>
      <c r="EC46" s="48">
        <v>40.5</v>
      </c>
      <c r="ED46" s="48">
        <v>30.08</v>
      </c>
      <c r="EE46" s="48">
        <v>33.64</v>
      </c>
      <c r="EF46" s="48">
        <v>45.07</v>
      </c>
      <c r="EG46" s="48">
        <v>45.63</v>
      </c>
      <c r="EH46" s="48">
        <v>32.630000000000003</v>
      </c>
      <c r="EI46" s="48">
        <v>36.380000000000003</v>
      </c>
      <c r="EJ46" s="49">
        <v>6.0670000000000002</v>
      </c>
      <c r="EK46" s="49">
        <v>63.481999999999999</v>
      </c>
      <c r="EL46" s="48">
        <v>0.8</v>
      </c>
      <c r="EM46" s="48">
        <v>0.4</v>
      </c>
      <c r="EN46" s="48">
        <v>1.1399999999999999</v>
      </c>
      <c r="EO46" s="48">
        <v>1.1399999999999999</v>
      </c>
      <c r="EP46" s="48">
        <v>-112.354</v>
      </c>
      <c r="EQ46" s="48">
        <v>-2.4470000000000001</v>
      </c>
      <c r="ER46" s="48">
        <v>101.098</v>
      </c>
      <c r="ES46" s="49">
        <v>1.3069999999999999</v>
      </c>
      <c r="ET46" s="49">
        <v>1.462</v>
      </c>
      <c r="EU46" s="49">
        <v>1.274</v>
      </c>
      <c r="EV46" s="49">
        <v>8.1780000000000008</v>
      </c>
      <c r="EW46" s="49">
        <v>4.7690000000000001</v>
      </c>
      <c r="EX46" s="48">
        <v>76.52</v>
      </c>
      <c r="EY46" s="48">
        <v>0</v>
      </c>
      <c r="EZ46" s="48">
        <v>0</v>
      </c>
      <c r="FA46" s="49">
        <v>0</v>
      </c>
      <c r="FB46" s="48">
        <v>8.9719999999999995</v>
      </c>
      <c r="FC46" s="48">
        <v>68.721000000000004</v>
      </c>
      <c r="FD46" s="48">
        <v>66.105000000000004</v>
      </c>
      <c r="FE46" s="48">
        <v>76.835999999999999</v>
      </c>
      <c r="FF46" s="48">
        <v>72.915000000000006</v>
      </c>
      <c r="FG46" s="48">
        <v>0.91300000000000003</v>
      </c>
      <c r="FH46" s="48">
        <v>0.91200000000000003</v>
      </c>
      <c r="FI46" s="48">
        <v>0.98599999999999999</v>
      </c>
      <c r="FJ46" s="48">
        <v>0.98099999999999998</v>
      </c>
      <c r="FK46" s="48">
        <v>0</v>
      </c>
      <c r="FL46" s="49">
        <v>83</v>
      </c>
      <c r="FM46" s="48">
        <v>2.4900000000000002</v>
      </c>
      <c r="FN46" s="48">
        <v>1.1499999999999999</v>
      </c>
      <c r="FO46" s="48">
        <v>4.91</v>
      </c>
      <c r="FP46" s="3"/>
      <c r="FQ46" s="48">
        <v>4.7</v>
      </c>
      <c r="FR46" s="48">
        <v>5.2</v>
      </c>
      <c r="FS46" s="48">
        <v>6.7359999999999998</v>
      </c>
      <c r="FT46" s="48">
        <v>1064.7</v>
      </c>
      <c r="FU46" s="49">
        <v>7.62</v>
      </c>
      <c r="FV46" s="48">
        <v>11.89</v>
      </c>
      <c r="FW46" s="48">
        <v>3140.5</v>
      </c>
      <c r="FX46" s="48">
        <v>169600</v>
      </c>
      <c r="FY46" s="48">
        <v>169200</v>
      </c>
      <c r="FZ46" s="48">
        <v>44.390999999999998</v>
      </c>
      <c r="GA46" s="48">
        <v>42.945</v>
      </c>
      <c r="GB46" s="48">
        <v>2138.1</v>
      </c>
      <c r="GC46" s="48">
        <v>2131.1999999999998</v>
      </c>
      <c r="GD46" s="48">
        <v>2202.8000000000002</v>
      </c>
      <c r="GE46" s="49">
        <v>2526.8000000000002</v>
      </c>
      <c r="GF46" s="48">
        <v>1452.5938000000001</v>
      </c>
      <c r="GG46" s="48">
        <v>31</v>
      </c>
      <c r="GH46" s="48">
        <v>31.2</v>
      </c>
      <c r="GI46" s="48">
        <v>46.5</v>
      </c>
      <c r="GJ46" s="48">
        <v>52.2</v>
      </c>
      <c r="GK46" s="48">
        <v>99.5</v>
      </c>
      <c r="GL46" s="48">
        <v>112.2</v>
      </c>
      <c r="GM46" s="49">
        <v>0</v>
      </c>
      <c r="GN46" s="48">
        <v>22.957000000000001</v>
      </c>
      <c r="GO46" s="48">
        <v>112.354</v>
      </c>
      <c r="GP46" s="48">
        <v>0.29499999999999998</v>
      </c>
      <c r="GQ46" s="48">
        <v>1.829</v>
      </c>
      <c r="GR46" s="48">
        <v>0.53100000000000003</v>
      </c>
      <c r="GS46" s="48">
        <v>1.8879999999999999</v>
      </c>
      <c r="GT46" s="48">
        <v>0.47199999999999998</v>
      </c>
      <c r="GU46" s="48">
        <v>1.829</v>
      </c>
      <c r="GV46" s="48">
        <v>12.446</v>
      </c>
      <c r="GW46" s="49">
        <v>14.054</v>
      </c>
      <c r="GX46" s="48">
        <v>16.071999999999999</v>
      </c>
      <c r="GY46" s="49">
        <v>0</v>
      </c>
      <c r="GZ46" s="49">
        <v>0</v>
      </c>
      <c r="HA46" s="49">
        <v>0</v>
      </c>
      <c r="HB46" s="48">
        <v>0</v>
      </c>
      <c r="HC46" s="49">
        <v>38.314</v>
      </c>
      <c r="HD46" s="49">
        <v>90</v>
      </c>
      <c r="HE46" s="49">
        <v>0</v>
      </c>
      <c r="HF46" s="49">
        <v>0</v>
      </c>
      <c r="HG46" s="49">
        <v>85.34</v>
      </c>
      <c r="HH46" s="48">
        <v>79.61</v>
      </c>
      <c r="HI46" s="49">
        <v>0</v>
      </c>
      <c r="HJ46" s="49">
        <v>0</v>
      </c>
      <c r="HK46" s="49">
        <v>0</v>
      </c>
      <c r="HL46" s="48">
        <v>51</v>
      </c>
      <c r="HM46" s="48">
        <v>50</v>
      </c>
      <c r="HN46" s="49">
        <v>61</v>
      </c>
      <c r="HO46" s="49">
        <v>56</v>
      </c>
      <c r="HP46" s="48">
        <v>59</v>
      </c>
      <c r="HQ46" s="49">
        <v>57</v>
      </c>
      <c r="HR46" s="49">
        <v>52</v>
      </c>
      <c r="HS46" s="49">
        <v>70</v>
      </c>
      <c r="HT46" s="49">
        <v>-0.189</v>
      </c>
      <c r="HU46" s="49">
        <v>0</v>
      </c>
      <c r="HV46" s="48">
        <v>1.4970000000000001</v>
      </c>
      <c r="HW46" s="48">
        <v>38.950000000000003</v>
      </c>
      <c r="HX46" s="49">
        <v>35.200000000000003</v>
      </c>
      <c r="HY46" s="48">
        <v>47.69</v>
      </c>
      <c r="HZ46" s="48">
        <v>47.69</v>
      </c>
      <c r="IA46" s="48">
        <v>3.14</v>
      </c>
      <c r="IB46" s="49">
        <v>103</v>
      </c>
      <c r="IC46" s="48">
        <v>21.541</v>
      </c>
      <c r="ID46" s="48">
        <v>-9.1999999999999998E-2</v>
      </c>
      <c r="IE46" s="48">
        <v>-1.7999999999999999E-2</v>
      </c>
      <c r="IF46" s="48">
        <v>778.8</v>
      </c>
      <c r="IG46" s="48">
        <v>748.1</v>
      </c>
      <c r="IH46" s="48">
        <v>810.9</v>
      </c>
      <c r="II46" s="48">
        <v>776.5</v>
      </c>
      <c r="IJ46" s="48">
        <v>-0.187</v>
      </c>
      <c r="IK46" s="48">
        <v>-0.14499999999999999</v>
      </c>
      <c r="IL46" s="48">
        <v>60.244</v>
      </c>
      <c r="IM46" s="48">
        <v>60.244</v>
      </c>
      <c r="IN46" s="48">
        <v>28.335000000000001</v>
      </c>
      <c r="IO46" s="49">
        <v>0.49099999999999999</v>
      </c>
      <c r="IP46" s="48">
        <v>12.8</v>
      </c>
      <c r="IQ46" s="48">
        <v>-0.84099999999999997</v>
      </c>
      <c r="IR46" s="48">
        <v>1.7999999999999999E-2</v>
      </c>
      <c r="IS46">
        <v>-0.51</v>
      </c>
      <c r="IT46">
        <v>0.20800000000000002</v>
      </c>
    </row>
    <row r="47" spans="2:254" x14ac:dyDescent="0.25">
      <c r="B47" s="2" t="s">
        <v>407</v>
      </c>
      <c r="C47" s="2" t="s">
        <v>43</v>
      </c>
      <c r="D47" s="57">
        <v>2.4030092592592592E-3</v>
      </c>
      <c r="E47" s="48">
        <v>207.65</v>
      </c>
      <c r="F47" s="48">
        <v>328.85</v>
      </c>
      <c r="G47" s="48">
        <v>6.09</v>
      </c>
      <c r="H47" s="48">
        <v>23.8</v>
      </c>
      <c r="I47" s="49">
        <v>0</v>
      </c>
      <c r="J47" s="48">
        <v>10.7</v>
      </c>
      <c r="K47" s="49">
        <v>6</v>
      </c>
      <c r="L47" s="49">
        <v>4</v>
      </c>
      <c r="M47" s="49">
        <v>4</v>
      </c>
      <c r="N47" s="49">
        <v>3</v>
      </c>
      <c r="O47" s="49">
        <v>3</v>
      </c>
      <c r="P47" s="48">
        <v>0.97</v>
      </c>
      <c r="Q47" s="48">
        <v>1.8839999999999999</v>
      </c>
      <c r="R47" s="48">
        <v>1.0209999999999999</v>
      </c>
      <c r="S47" s="48">
        <v>0.77800000000000002</v>
      </c>
      <c r="T47" s="48">
        <v>79.709999999999994</v>
      </c>
      <c r="U47" s="48">
        <v>60.552</v>
      </c>
      <c r="V47" s="48">
        <v>266.66000000000003</v>
      </c>
      <c r="W47" s="48">
        <v>251.66</v>
      </c>
      <c r="X47" s="48">
        <v>286.66000000000003</v>
      </c>
      <c r="Y47" s="48">
        <v>283.33999999999997</v>
      </c>
      <c r="Z47" s="49">
        <v>401.34</v>
      </c>
      <c r="AA47" s="49">
        <v>383.5</v>
      </c>
      <c r="AB47" s="48">
        <v>422.32</v>
      </c>
      <c r="AC47" s="48">
        <v>415.17</v>
      </c>
      <c r="AD47" s="48">
        <v>1.7729999999999999</v>
      </c>
      <c r="AE47" s="48">
        <v>1.8140000000000001</v>
      </c>
      <c r="AF47" s="48">
        <v>1.841</v>
      </c>
      <c r="AG47" s="48">
        <v>1.8280000000000001</v>
      </c>
      <c r="AH47" s="48">
        <v>81.78</v>
      </c>
      <c r="AI47" s="48">
        <v>76.12</v>
      </c>
      <c r="AJ47" s="48">
        <v>117.55</v>
      </c>
      <c r="AK47" s="48">
        <v>106.55</v>
      </c>
      <c r="AL47" s="48">
        <v>674.55200000000002</v>
      </c>
      <c r="AM47" s="48">
        <v>669.49400000000003</v>
      </c>
      <c r="AN47" s="48">
        <v>793.24300000000005</v>
      </c>
      <c r="AO47" s="48">
        <v>760.11199999999997</v>
      </c>
      <c r="AP47" s="48">
        <v>2.7149999999999999</v>
      </c>
      <c r="AQ47" s="49">
        <v>2.008</v>
      </c>
      <c r="AR47" s="48">
        <v>38.569000000000003</v>
      </c>
      <c r="AS47" s="48">
        <v>35.295000000000002</v>
      </c>
      <c r="AT47" s="49">
        <v>82</v>
      </c>
      <c r="AU47" s="48">
        <v>108</v>
      </c>
      <c r="AV47" s="49">
        <v>2.7389999999999999</v>
      </c>
      <c r="AW47" s="48">
        <v>5.4999000000000002</v>
      </c>
      <c r="AX47" s="48">
        <v>996.2</v>
      </c>
      <c r="AY47" s="48">
        <v>0.99</v>
      </c>
      <c r="AZ47" s="48">
        <v>5.53</v>
      </c>
      <c r="BA47" s="48">
        <v>111.55</v>
      </c>
      <c r="BB47" s="48">
        <v>117.467</v>
      </c>
      <c r="BC47" s="48">
        <v>7797</v>
      </c>
      <c r="BD47" s="48">
        <v>87.25</v>
      </c>
      <c r="BE47" s="49">
        <v>25.96</v>
      </c>
      <c r="BF47" s="48">
        <v>15.225</v>
      </c>
      <c r="BG47" s="49">
        <v>31.02</v>
      </c>
      <c r="BH47" s="48">
        <v>27.1</v>
      </c>
      <c r="BI47" s="3"/>
      <c r="BJ47" s="3"/>
      <c r="BK47" s="3"/>
      <c r="BL47" s="3"/>
      <c r="BM47" s="3"/>
      <c r="BN47" s="49">
        <v>847.27200000000005</v>
      </c>
      <c r="BO47" s="49">
        <v>847.27200000000005</v>
      </c>
      <c r="BP47" s="48">
        <v>138.376</v>
      </c>
      <c r="BQ47" s="48">
        <v>134.136</v>
      </c>
      <c r="BR47" s="3"/>
      <c r="BS47" s="48">
        <v>23.4</v>
      </c>
      <c r="BT47" s="48">
        <v>7321.43</v>
      </c>
      <c r="BU47" s="48">
        <v>79.269000000000005</v>
      </c>
      <c r="BV47" s="48">
        <v>62.134</v>
      </c>
      <c r="BW47" s="48">
        <v>57.927999999999997</v>
      </c>
      <c r="BX47" s="48">
        <v>65.941999999999993</v>
      </c>
      <c r="BY47" s="49">
        <v>1.573</v>
      </c>
      <c r="BZ47" s="48">
        <v>3.1259999999999999</v>
      </c>
      <c r="CA47" s="49">
        <v>4.117</v>
      </c>
      <c r="CB47" s="49">
        <v>4.1769999999999996</v>
      </c>
      <c r="CC47" s="49">
        <v>6.2510000000000003</v>
      </c>
      <c r="CD47" s="48">
        <v>2.4860000000000002</v>
      </c>
      <c r="CE47" s="48">
        <v>3.9990000000000001</v>
      </c>
      <c r="CF47" s="48">
        <v>2.2250000000000001</v>
      </c>
      <c r="CG47" s="48">
        <v>13.646000000000001</v>
      </c>
      <c r="CH47" s="48">
        <v>13.425000000000001</v>
      </c>
      <c r="CI47" s="48">
        <v>5.01</v>
      </c>
      <c r="CJ47" s="48">
        <v>3.5739999999999998</v>
      </c>
      <c r="CK47" s="48">
        <v>1.6719999999999999</v>
      </c>
      <c r="CL47" s="49">
        <v>0</v>
      </c>
      <c r="CM47" s="49">
        <v>0.7</v>
      </c>
      <c r="CN47" s="49">
        <v>0</v>
      </c>
      <c r="CO47" s="49">
        <v>0</v>
      </c>
      <c r="CP47" s="49">
        <v>222.697</v>
      </c>
      <c r="CQ47" s="48">
        <v>294.495</v>
      </c>
      <c r="CR47" s="48">
        <v>131.04400000000001</v>
      </c>
      <c r="CS47" s="48">
        <v>128.32599999999999</v>
      </c>
      <c r="CT47" s="48">
        <v>0.49399999999999999</v>
      </c>
      <c r="CU47" s="48">
        <v>1.498</v>
      </c>
      <c r="CV47" s="48">
        <v>1.395</v>
      </c>
      <c r="CW47" s="48">
        <v>1.099</v>
      </c>
      <c r="CX47" s="48">
        <v>0.89700000000000002</v>
      </c>
      <c r="CY47" s="48">
        <v>0.89600000000000002</v>
      </c>
      <c r="CZ47" s="48">
        <v>1.9970000000000001</v>
      </c>
      <c r="DA47" s="48">
        <v>1.5009999999999999</v>
      </c>
      <c r="DB47" s="48">
        <v>2.4990000000000001</v>
      </c>
      <c r="DC47" s="48">
        <v>0</v>
      </c>
      <c r="DD47" s="49">
        <v>0</v>
      </c>
      <c r="DE47" s="48">
        <v>0.33800000000000002</v>
      </c>
      <c r="DF47" s="48">
        <v>0.11899999999999999</v>
      </c>
      <c r="DG47" s="48">
        <v>1.4330000000000001</v>
      </c>
      <c r="DH47" s="48">
        <v>2.7250000000000001</v>
      </c>
      <c r="DI47" s="48">
        <v>1.625</v>
      </c>
      <c r="DJ47" s="48">
        <v>0.374</v>
      </c>
      <c r="DK47" s="48">
        <v>0.97899999999999998</v>
      </c>
      <c r="DL47" s="48">
        <v>0.60699999999999998</v>
      </c>
      <c r="DM47" s="48">
        <v>0.75900000000000001</v>
      </c>
      <c r="DN47" s="48">
        <v>0.754</v>
      </c>
      <c r="DO47" s="48">
        <v>0.70399999999999996</v>
      </c>
      <c r="DP47" s="49">
        <v>66.448999999999998</v>
      </c>
      <c r="DQ47" s="48">
        <v>62.872999999999998</v>
      </c>
      <c r="DR47" s="48">
        <v>53.511000000000003</v>
      </c>
      <c r="DS47" s="48">
        <v>52.752000000000002</v>
      </c>
      <c r="DT47" s="48">
        <v>6.24</v>
      </c>
      <c r="DU47" s="48">
        <v>6.42</v>
      </c>
      <c r="DV47" s="48">
        <v>18.920000000000002</v>
      </c>
      <c r="DW47" s="48">
        <v>15.2</v>
      </c>
      <c r="DX47" s="48">
        <v>6.79</v>
      </c>
      <c r="DY47" s="48">
        <v>6.97</v>
      </c>
      <c r="DZ47" s="48">
        <v>18.38</v>
      </c>
      <c r="EA47" s="48">
        <v>15.09</v>
      </c>
      <c r="EB47" s="48">
        <v>42.81</v>
      </c>
      <c r="EC47" s="48">
        <v>40.5</v>
      </c>
      <c r="ED47" s="48">
        <v>30.07</v>
      </c>
      <c r="EE47" s="48">
        <v>33.950000000000003</v>
      </c>
      <c r="EF47" s="48">
        <v>44.16</v>
      </c>
      <c r="EG47" s="48">
        <v>46.11</v>
      </c>
      <c r="EH47" s="48">
        <v>32.630000000000003</v>
      </c>
      <c r="EI47" s="48">
        <v>35.76</v>
      </c>
      <c r="EJ47" s="48">
        <v>5.31</v>
      </c>
      <c r="EK47" s="48">
        <v>63.116</v>
      </c>
      <c r="EL47" s="48">
        <v>0.75</v>
      </c>
      <c r="EM47" s="48">
        <v>0.4</v>
      </c>
      <c r="EN47" s="48">
        <v>1.1499999999999999</v>
      </c>
      <c r="EO47" s="48">
        <v>1.1399999999999999</v>
      </c>
      <c r="EP47" s="48">
        <v>-117.026</v>
      </c>
      <c r="EQ47" s="48">
        <v>-2.355</v>
      </c>
      <c r="ER47" s="48">
        <v>104.018</v>
      </c>
      <c r="ES47" s="48">
        <v>1.2829999999999999</v>
      </c>
      <c r="ET47" s="48">
        <v>1.385</v>
      </c>
      <c r="EU47" s="48">
        <v>1.198</v>
      </c>
      <c r="EV47" s="48">
        <v>7.9160000000000004</v>
      </c>
      <c r="EW47" s="48">
        <v>4.6139999999999999</v>
      </c>
      <c r="EX47" s="48">
        <v>76.5</v>
      </c>
      <c r="EY47" s="48">
        <v>0.04</v>
      </c>
      <c r="EZ47" s="48">
        <v>0</v>
      </c>
      <c r="FA47" s="49">
        <v>0</v>
      </c>
      <c r="FB47" s="48">
        <v>9.1620000000000008</v>
      </c>
      <c r="FC47" s="48">
        <v>71.825999999999993</v>
      </c>
      <c r="FD47" s="48">
        <v>67.662999999999997</v>
      </c>
      <c r="FE47" s="48">
        <v>84.820999999999998</v>
      </c>
      <c r="FF47" s="48">
        <v>80.221000000000004</v>
      </c>
      <c r="FG47" s="48">
        <v>0.91200000000000003</v>
      </c>
      <c r="FH47" s="48">
        <v>0.91</v>
      </c>
      <c r="FI47" s="48">
        <v>0.98699999999999999</v>
      </c>
      <c r="FJ47" s="48">
        <v>0.98399999999999999</v>
      </c>
      <c r="FK47" s="48">
        <v>0</v>
      </c>
      <c r="FL47" s="49">
        <v>83</v>
      </c>
      <c r="FM47" s="48">
        <v>2.4900000000000002</v>
      </c>
      <c r="FN47" s="48">
        <v>1.1299999999999999</v>
      </c>
      <c r="FO47" s="48">
        <v>5.37</v>
      </c>
      <c r="FP47" s="3"/>
      <c r="FQ47" s="48">
        <v>4.55</v>
      </c>
      <c r="FR47" s="49">
        <v>5.05</v>
      </c>
      <c r="FS47" s="48">
        <v>6.8280000000000003</v>
      </c>
      <c r="FT47" s="48">
        <v>1067.8</v>
      </c>
      <c r="FU47" s="48">
        <v>7.33</v>
      </c>
      <c r="FV47" s="48">
        <v>17.98</v>
      </c>
      <c r="FW47" s="48">
        <v>3038.5</v>
      </c>
      <c r="FX47" s="49">
        <v>173500</v>
      </c>
      <c r="FY47" s="49">
        <v>173400</v>
      </c>
      <c r="FZ47" s="48">
        <v>44.637</v>
      </c>
      <c r="GA47" s="48">
        <v>42.862000000000002</v>
      </c>
      <c r="GB47" s="49">
        <v>2319.6999999999998</v>
      </c>
      <c r="GC47" s="48">
        <v>2185.6</v>
      </c>
      <c r="GD47" s="49">
        <v>2324.9</v>
      </c>
      <c r="GE47" s="48">
        <v>2185.6</v>
      </c>
      <c r="GF47" s="48">
        <v>1366.8280999999999</v>
      </c>
      <c r="GG47" s="48">
        <v>32</v>
      </c>
      <c r="GH47" s="48">
        <v>32.200000000000003</v>
      </c>
      <c r="GI47" s="48">
        <v>45.6</v>
      </c>
      <c r="GJ47" s="48">
        <v>50.7</v>
      </c>
      <c r="GK47" s="48">
        <v>99.5</v>
      </c>
      <c r="GL47" s="48">
        <v>112.7</v>
      </c>
      <c r="GM47" s="49">
        <v>0</v>
      </c>
      <c r="GN47" s="49">
        <v>24.183</v>
      </c>
      <c r="GO47" s="48">
        <v>117.026</v>
      </c>
      <c r="GP47" s="48">
        <v>0.29499999999999998</v>
      </c>
      <c r="GQ47" s="48">
        <v>1.829</v>
      </c>
      <c r="GR47" s="48">
        <v>0.53100000000000003</v>
      </c>
      <c r="GS47" s="48">
        <v>1.8879999999999999</v>
      </c>
      <c r="GT47" s="48">
        <v>0.41299999999999998</v>
      </c>
      <c r="GU47" s="48">
        <v>1.829</v>
      </c>
      <c r="GV47" s="48">
        <v>12.74</v>
      </c>
      <c r="GW47" s="48">
        <v>13.971</v>
      </c>
      <c r="GX47" s="48">
        <v>16.268000000000001</v>
      </c>
      <c r="GY47" s="49">
        <v>0</v>
      </c>
      <c r="GZ47" s="49">
        <v>0</v>
      </c>
      <c r="HA47" s="49">
        <v>0</v>
      </c>
      <c r="HB47" s="48">
        <v>0</v>
      </c>
      <c r="HC47" s="48">
        <v>37.896999999999998</v>
      </c>
      <c r="HD47" s="49">
        <v>90</v>
      </c>
      <c r="HE47" s="49">
        <v>0</v>
      </c>
      <c r="HF47" s="49">
        <v>0</v>
      </c>
      <c r="HG47" s="48">
        <v>70.88</v>
      </c>
      <c r="HH47" s="48">
        <v>79.17</v>
      </c>
      <c r="HI47" s="49">
        <v>0</v>
      </c>
      <c r="HJ47" s="49">
        <v>0</v>
      </c>
      <c r="HK47" s="49">
        <v>0</v>
      </c>
      <c r="HL47" s="48">
        <v>52</v>
      </c>
      <c r="HM47" s="48">
        <v>49</v>
      </c>
      <c r="HN47" s="49">
        <v>61</v>
      </c>
      <c r="HO47" s="48">
        <v>55</v>
      </c>
      <c r="HP47" s="49">
        <v>60</v>
      </c>
      <c r="HQ47" s="49">
        <v>57</v>
      </c>
      <c r="HR47" s="48">
        <v>51</v>
      </c>
      <c r="HS47" s="49">
        <v>70</v>
      </c>
      <c r="HT47" s="49">
        <v>-0.189</v>
      </c>
      <c r="HU47" s="49">
        <v>0</v>
      </c>
      <c r="HV47" s="48">
        <v>1.504</v>
      </c>
      <c r="HW47" s="49">
        <v>35.270000000000003</v>
      </c>
      <c r="HX47" s="49">
        <v>35.200000000000003</v>
      </c>
      <c r="HY47" s="49">
        <v>50.02</v>
      </c>
      <c r="HZ47" s="49">
        <v>50.02</v>
      </c>
      <c r="IA47" s="48">
        <v>3.1539999999999999</v>
      </c>
      <c r="IB47" s="49">
        <v>103</v>
      </c>
      <c r="IC47" s="49">
        <v>21.962</v>
      </c>
      <c r="ID47" s="48">
        <v>-0.13300000000000001</v>
      </c>
      <c r="IE47" s="48">
        <v>-0.03</v>
      </c>
      <c r="IF47" s="48">
        <v>789</v>
      </c>
      <c r="IG47" s="48">
        <v>747.9</v>
      </c>
      <c r="IH47" s="48">
        <v>809.8</v>
      </c>
      <c r="II47" s="48">
        <v>776.7</v>
      </c>
      <c r="IJ47" s="48">
        <v>-0.23699999999999999</v>
      </c>
      <c r="IK47" s="48">
        <v>-0.20499999999999999</v>
      </c>
      <c r="IL47" s="48">
        <v>61.209000000000003</v>
      </c>
      <c r="IM47" s="48">
        <v>61.209000000000003</v>
      </c>
      <c r="IN47" s="48">
        <v>28.788</v>
      </c>
      <c r="IO47" s="48">
        <v>0.41</v>
      </c>
      <c r="IP47" s="48">
        <v>13.06</v>
      </c>
      <c r="IQ47" s="48">
        <v>-1.0999999999999999E-2</v>
      </c>
      <c r="IR47" s="48">
        <v>1.9E-2</v>
      </c>
      <c r="IS47">
        <v>-0.52100000000000002</v>
      </c>
      <c r="IT47">
        <v>0.22700000000000001</v>
      </c>
    </row>
    <row r="48" spans="2:254" x14ac:dyDescent="0.25">
      <c r="B48" s="2" t="s">
        <v>407</v>
      </c>
      <c r="C48" s="2" t="s">
        <v>421</v>
      </c>
      <c r="D48" s="57">
        <v>2.4826388888888888E-3</v>
      </c>
      <c r="E48" s="48">
        <v>214.54</v>
      </c>
      <c r="F48" s="49">
        <v>331.72</v>
      </c>
      <c r="G48" s="48">
        <v>5.88</v>
      </c>
      <c r="H48" s="48">
        <v>23.4</v>
      </c>
      <c r="I48" s="49">
        <v>0</v>
      </c>
      <c r="J48" s="48">
        <v>11</v>
      </c>
      <c r="K48" s="49">
        <v>6</v>
      </c>
      <c r="L48" s="49">
        <v>4</v>
      </c>
      <c r="M48" s="49">
        <v>4</v>
      </c>
      <c r="N48" s="49">
        <v>3</v>
      </c>
      <c r="O48" s="49">
        <v>3</v>
      </c>
      <c r="P48" s="48">
        <v>0.752</v>
      </c>
      <c r="Q48" s="48">
        <v>1.528</v>
      </c>
      <c r="R48" s="48">
        <v>0.69599999999999995</v>
      </c>
      <c r="S48" s="48">
        <v>0.68799999999999994</v>
      </c>
      <c r="T48" s="48">
        <v>84.33</v>
      </c>
      <c r="U48" s="48">
        <v>60.908000000000001</v>
      </c>
      <c r="V48" s="48">
        <v>270</v>
      </c>
      <c r="W48" s="48">
        <v>253.34</v>
      </c>
      <c r="X48" s="48">
        <v>307</v>
      </c>
      <c r="Y48" s="48">
        <v>296.66000000000003</v>
      </c>
      <c r="Z48" s="48">
        <v>397.94</v>
      </c>
      <c r="AA48" s="48">
        <v>377.62</v>
      </c>
      <c r="AB48" s="49">
        <v>430.48</v>
      </c>
      <c r="AC48" s="49">
        <v>421.11</v>
      </c>
      <c r="AD48" s="49">
        <v>1.776</v>
      </c>
      <c r="AE48" s="49">
        <v>1.8169999999999999</v>
      </c>
      <c r="AF48" s="49">
        <v>1.881</v>
      </c>
      <c r="AG48" s="49">
        <v>1.8660000000000001</v>
      </c>
      <c r="AH48" s="49">
        <v>82.15</v>
      </c>
      <c r="AI48" s="49">
        <v>76.319999999999993</v>
      </c>
      <c r="AJ48" s="49">
        <v>121.66</v>
      </c>
      <c r="AK48" s="49">
        <v>109.74</v>
      </c>
      <c r="AL48" s="48">
        <v>657.08600000000001</v>
      </c>
      <c r="AM48" s="48">
        <v>648.98400000000004</v>
      </c>
      <c r="AN48" s="48">
        <v>758.971</v>
      </c>
      <c r="AO48" s="48">
        <v>749.10599999999999</v>
      </c>
      <c r="AP48" s="49">
        <v>2.74</v>
      </c>
      <c r="AQ48" s="48">
        <v>1.9890000000000001</v>
      </c>
      <c r="AR48" s="48">
        <v>39.536000000000001</v>
      </c>
      <c r="AS48" s="49">
        <v>38.402999999999999</v>
      </c>
      <c r="AT48" s="49">
        <v>82</v>
      </c>
      <c r="AU48" s="48">
        <v>109</v>
      </c>
      <c r="AV48" s="48">
        <v>3.1280000000000001</v>
      </c>
      <c r="AW48" s="49">
        <v>5.5631000000000004</v>
      </c>
      <c r="AX48" s="48">
        <v>994.8</v>
      </c>
      <c r="AY48" s="48">
        <v>1.08</v>
      </c>
      <c r="AZ48" s="48">
        <v>5.68</v>
      </c>
      <c r="BA48" s="48">
        <v>137.94</v>
      </c>
      <c r="BB48" s="48">
        <v>138.1</v>
      </c>
      <c r="BC48" s="49">
        <v>8610</v>
      </c>
      <c r="BD48" s="49">
        <v>89.25</v>
      </c>
      <c r="BE48" s="48">
        <v>25.37</v>
      </c>
      <c r="BF48" s="48">
        <v>12.795</v>
      </c>
      <c r="BG48" s="48">
        <v>29.96</v>
      </c>
      <c r="BH48" s="48">
        <v>27.19</v>
      </c>
      <c r="BI48" s="3"/>
      <c r="BJ48" s="3"/>
      <c r="BK48" s="3"/>
      <c r="BL48" s="3"/>
      <c r="BM48" s="3"/>
      <c r="BN48" s="49">
        <v>847.27200000000005</v>
      </c>
      <c r="BO48" s="49">
        <v>847.27200000000005</v>
      </c>
      <c r="BP48" s="49">
        <v>147.03200000000001</v>
      </c>
      <c r="BQ48" s="49">
        <v>140.55199999999999</v>
      </c>
      <c r="BR48" s="3"/>
      <c r="BS48" s="48">
        <v>23</v>
      </c>
      <c r="BT48" s="49">
        <v>7393.4780000000001</v>
      </c>
      <c r="BU48" s="48">
        <v>79.954999999999998</v>
      </c>
      <c r="BV48" s="48">
        <v>64.775999999999996</v>
      </c>
      <c r="BW48" s="48">
        <v>60.460999999999999</v>
      </c>
      <c r="BX48" s="48">
        <v>72.811999999999998</v>
      </c>
      <c r="BY48" s="48">
        <v>1.494</v>
      </c>
      <c r="BZ48" s="49">
        <v>3.8809999999999998</v>
      </c>
      <c r="CA48" s="48">
        <v>3.1520000000000001</v>
      </c>
      <c r="CB48" s="48">
        <v>3.7559999999999998</v>
      </c>
      <c r="CC48" s="48">
        <v>6.1180000000000003</v>
      </c>
      <c r="CD48" s="48">
        <v>2.4500000000000002</v>
      </c>
      <c r="CE48" s="48">
        <v>4.05</v>
      </c>
      <c r="CF48" s="48">
        <v>2.2250000000000001</v>
      </c>
      <c r="CG48" s="48">
        <v>13.66</v>
      </c>
      <c r="CH48" s="48">
        <v>13.452</v>
      </c>
      <c r="CI48" s="48">
        <v>4.6589999999999998</v>
      </c>
      <c r="CJ48" s="49">
        <v>3.6190000000000002</v>
      </c>
      <c r="CK48" s="48">
        <v>1.6379999999999999</v>
      </c>
      <c r="CL48" s="49">
        <v>0</v>
      </c>
      <c r="CM48" s="48">
        <v>0.3</v>
      </c>
      <c r="CN48" s="49">
        <v>0</v>
      </c>
      <c r="CO48" s="49">
        <v>0</v>
      </c>
      <c r="CP48" s="48">
        <v>190.655</v>
      </c>
      <c r="CQ48" s="49">
        <v>302.55</v>
      </c>
      <c r="CR48" s="49">
        <v>140.21100000000001</v>
      </c>
      <c r="CS48" s="49">
        <v>134.90199999999999</v>
      </c>
      <c r="CT48" s="48">
        <v>0.47199999999999998</v>
      </c>
      <c r="CU48" s="48">
        <v>1</v>
      </c>
      <c r="CV48" s="48">
        <v>1.399</v>
      </c>
      <c r="CW48" s="48">
        <v>1.2</v>
      </c>
      <c r="CX48" s="48">
        <v>2.194</v>
      </c>
      <c r="CY48" s="48">
        <v>0.89500000000000002</v>
      </c>
      <c r="CZ48" s="48">
        <v>1.399</v>
      </c>
      <c r="DA48" s="48">
        <v>1.1020000000000001</v>
      </c>
      <c r="DB48" s="48">
        <v>1.3939999999999999</v>
      </c>
      <c r="DC48" s="48">
        <v>0</v>
      </c>
      <c r="DD48" s="49">
        <v>0</v>
      </c>
      <c r="DE48" s="48">
        <v>0.26300000000000001</v>
      </c>
      <c r="DF48" s="48">
        <v>5.0999999999999997E-2</v>
      </c>
      <c r="DG48" s="48">
        <v>0.69699999999999995</v>
      </c>
      <c r="DH48" s="48">
        <v>2.6549999999999998</v>
      </c>
      <c r="DI48" s="48">
        <v>1.206</v>
      </c>
      <c r="DJ48" s="48">
        <v>0.23400000000000001</v>
      </c>
      <c r="DK48" s="48">
        <v>0.76600000000000001</v>
      </c>
      <c r="DL48" s="48">
        <v>0.61299999999999999</v>
      </c>
      <c r="DM48" s="48">
        <v>0.76200000000000001</v>
      </c>
      <c r="DN48" s="48">
        <v>0.77800000000000002</v>
      </c>
      <c r="DO48" s="48">
        <v>0.71499999999999997</v>
      </c>
      <c r="DP48" s="48">
        <v>66.415999999999997</v>
      </c>
      <c r="DQ48" s="48">
        <v>63.72</v>
      </c>
      <c r="DR48" s="48">
        <v>52.978000000000002</v>
      </c>
      <c r="DS48" s="48">
        <v>53.768000000000001</v>
      </c>
      <c r="DT48" s="48">
        <v>5.7</v>
      </c>
      <c r="DU48" s="48">
        <v>5.73</v>
      </c>
      <c r="DV48" s="48">
        <v>17.91</v>
      </c>
      <c r="DW48" s="48">
        <v>14.65</v>
      </c>
      <c r="DX48" s="48">
        <v>6.35</v>
      </c>
      <c r="DY48" s="48">
        <v>6.25</v>
      </c>
      <c r="DZ48" s="48">
        <v>17.04</v>
      </c>
      <c r="EA48" s="48">
        <v>14.51</v>
      </c>
      <c r="EB48" s="48">
        <v>42.78</v>
      </c>
      <c r="EC48" s="48">
        <v>41.16</v>
      </c>
      <c r="ED48" s="48">
        <v>30.44</v>
      </c>
      <c r="EE48" s="48">
        <v>33.950000000000003</v>
      </c>
      <c r="EF48" s="48">
        <v>45.17</v>
      </c>
      <c r="EG48" s="48">
        <v>46.86</v>
      </c>
      <c r="EH48" s="48">
        <v>34.61</v>
      </c>
      <c r="EI48" s="48">
        <v>36.9</v>
      </c>
      <c r="EJ48" s="48">
        <v>4.827</v>
      </c>
      <c r="EK48" s="48">
        <v>62.837000000000003</v>
      </c>
      <c r="EL48" s="48">
        <v>0.85</v>
      </c>
      <c r="EM48" s="48">
        <v>0.45</v>
      </c>
      <c r="EN48" s="49">
        <v>1.1599999999999999</v>
      </c>
      <c r="EO48" s="49">
        <v>1.1499999999999999</v>
      </c>
      <c r="EP48" s="48">
        <v>-110.31</v>
      </c>
      <c r="EQ48" s="48">
        <v>-2.012</v>
      </c>
      <c r="ER48" s="48">
        <v>106.354</v>
      </c>
      <c r="ES48" s="48">
        <v>1.238</v>
      </c>
      <c r="ET48" s="48">
        <v>1.2909999999999999</v>
      </c>
      <c r="EU48" s="48">
        <v>1.0920000000000001</v>
      </c>
      <c r="EV48" s="48">
        <v>7.702</v>
      </c>
      <c r="EW48" s="48">
        <v>4.2779999999999996</v>
      </c>
      <c r="EX48" s="48">
        <v>73.040000000000006</v>
      </c>
      <c r="EY48" s="48">
        <v>0</v>
      </c>
      <c r="EZ48" s="49">
        <v>8.6999999999999994E-2</v>
      </c>
      <c r="FA48" s="49">
        <v>0</v>
      </c>
      <c r="FB48" s="48">
        <v>9.2050000000000001</v>
      </c>
      <c r="FC48" s="49">
        <v>73.322999999999993</v>
      </c>
      <c r="FD48" s="49">
        <v>68.566000000000003</v>
      </c>
      <c r="FE48" s="49">
        <v>89.769000000000005</v>
      </c>
      <c r="FF48" s="49">
        <v>84.353999999999999</v>
      </c>
      <c r="FG48" s="48">
        <v>0.91</v>
      </c>
      <c r="FH48" s="48">
        <v>0.90900000000000003</v>
      </c>
      <c r="FI48" s="48">
        <v>0.98899999999999999</v>
      </c>
      <c r="FJ48" s="48">
        <v>0.98599999999999999</v>
      </c>
      <c r="FK48" s="48">
        <v>0</v>
      </c>
      <c r="FL48" s="49">
        <v>83</v>
      </c>
      <c r="FM48" s="48">
        <v>2.5299999999999998</v>
      </c>
      <c r="FN48" s="48">
        <v>1.1299999999999999</v>
      </c>
      <c r="FO48" s="48">
        <v>5.4</v>
      </c>
      <c r="FP48" s="3"/>
      <c r="FQ48" s="48">
        <v>4.5</v>
      </c>
      <c r="FR48" s="49">
        <v>5.05</v>
      </c>
      <c r="FS48" s="48">
        <v>6.8449999999999998</v>
      </c>
      <c r="FT48" s="48">
        <v>1062.7</v>
      </c>
      <c r="FU48" s="48">
        <v>7.02</v>
      </c>
      <c r="FV48" s="48">
        <v>23.86</v>
      </c>
      <c r="FW48" s="48">
        <v>3095.5</v>
      </c>
      <c r="FX48" s="48">
        <v>168700</v>
      </c>
      <c r="FY48" s="48">
        <v>166900</v>
      </c>
      <c r="FZ48" s="48">
        <v>44.716000000000001</v>
      </c>
      <c r="GA48" s="48">
        <v>43.066000000000003</v>
      </c>
      <c r="GB48" s="48">
        <v>2217</v>
      </c>
      <c r="GC48" s="48">
        <v>2103.6</v>
      </c>
      <c r="GD48" s="48">
        <v>2237.4</v>
      </c>
      <c r="GE48" s="48">
        <v>2138.3000000000002</v>
      </c>
      <c r="GF48" s="48">
        <v>1432.25</v>
      </c>
      <c r="GG48" s="48">
        <v>33</v>
      </c>
      <c r="GH48" s="48">
        <v>33.200000000000003</v>
      </c>
      <c r="GI48" s="48">
        <v>46.1</v>
      </c>
      <c r="GJ48" s="48">
        <v>51.3</v>
      </c>
      <c r="GK48" s="48">
        <v>99.5</v>
      </c>
      <c r="GL48" s="49">
        <v>115.8</v>
      </c>
      <c r="GM48" s="49">
        <v>0</v>
      </c>
      <c r="GN48" s="48">
        <v>24.013000000000002</v>
      </c>
      <c r="GO48" s="48">
        <v>110.31</v>
      </c>
      <c r="GP48" s="48">
        <v>0.29499999999999998</v>
      </c>
      <c r="GQ48" s="48">
        <v>1.829</v>
      </c>
      <c r="GR48" s="48">
        <v>0.53100000000000003</v>
      </c>
      <c r="GS48" s="48">
        <v>1.8879999999999999</v>
      </c>
      <c r="GT48" s="48">
        <v>0.35399999999999998</v>
      </c>
      <c r="GU48" s="48">
        <v>1.829</v>
      </c>
      <c r="GV48" s="48">
        <v>12.936</v>
      </c>
      <c r="GW48" s="48">
        <v>14.042</v>
      </c>
      <c r="GX48" s="48">
        <v>15.875999999999999</v>
      </c>
      <c r="GY48" s="49">
        <v>0</v>
      </c>
      <c r="GZ48" s="49">
        <v>0</v>
      </c>
      <c r="HA48" s="49">
        <v>0</v>
      </c>
      <c r="HB48" s="48">
        <v>0</v>
      </c>
      <c r="HC48" s="48">
        <v>37.262</v>
      </c>
      <c r="HD48" s="49">
        <v>90</v>
      </c>
      <c r="HE48" s="49">
        <v>0</v>
      </c>
      <c r="HF48" s="49">
        <v>0</v>
      </c>
      <c r="HG48" s="48">
        <v>70.08</v>
      </c>
      <c r="HH48" s="48">
        <v>78.489999999999995</v>
      </c>
      <c r="HI48" s="49">
        <v>0</v>
      </c>
      <c r="HJ48" s="49">
        <v>0</v>
      </c>
      <c r="HK48" s="49">
        <v>0</v>
      </c>
      <c r="HL48" s="48">
        <v>52</v>
      </c>
      <c r="HM48" s="48">
        <v>45</v>
      </c>
      <c r="HN48" s="48">
        <v>59</v>
      </c>
      <c r="HO48" s="48">
        <v>54</v>
      </c>
      <c r="HP48" s="48">
        <v>59</v>
      </c>
      <c r="HQ48" s="48">
        <v>56</v>
      </c>
      <c r="HR48" s="48">
        <v>51</v>
      </c>
      <c r="HS48" s="48">
        <v>62</v>
      </c>
      <c r="HT48" s="48">
        <v>-0.17949999999999999</v>
      </c>
      <c r="HU48" s="49">
        <v>0</v>
      </c>
      <c r="HV48" s="48">
        <v>1.45</v>
      </c>
      <c r="HW48" s="49">
        <v>35.270000000000003</v>
      </c>
      <c r="HX48" s="48">
        <v>35.880000000000003</v>
      </c>
      <c r="HY48" s="48">
        <v>49.71</v>
      </c>
      <c r="HZ48" s="48">
        <v>49.71</v>
      </c>
      <c r="IA48" s="48">
        <v>3.0960000000000001</v>
      </c>
      <c r="IB48" s="49">
        <v>103</v>
      </c>
      <c r="IC48" s="48">
        <v>21.887</v>
      </c>
      <c r="ID48" s="48">
        <v>-0.151</v>
      </c>
      <c r="IE48" s="48">
        <v>-3.9E-2</v>
      </c>
      <c r="IF48" s="48">
        <v>827.7</v>
      </c>
      <c r="IG48" s="49">
        <v>752.8</v>
      </c>
      <c r="IH48" s="48">
        <v>874</v>
      </c>
      <c r="II48" s="49">
        <v>779.6</v>
      </c>
      <c r="IJ48" s="48">
        <v>-0.28999999999999998</v>
      </c>
      <c r="IK48" s="48">
        <v>-0.24299999999999999</v>
      </c>
      <c r="IL48" s="48">
        <v>67.212000000000003</v>
      </c>
      <c r="IM48" s="48">
        <v>67.212000000000003</v>
      </c>
      <c r="IN48" s="48">
        <v>26.783000000000001</v>
      </c>
      <c r="IO48" s="48">
        <v>0.39300000000000002</v>
      </c>
      <c r="IP48" s="48">
        <v>13.17</v>
      </c>
      <c r="IQ48" s="48">
        <v>-1E-3</v>
      </c>
      <c r="IR48" s="48">
        <v>7.0000000000000001E-3</v>
      </c>
      <c r="IS48">
        <v>-0.52200000000000002</v>
      </c>
      <c r="IT48">
        <v>0.23400000000000001</v>
      </c>
    </row>
    <row r="49" spans="1:254" x14ac:dyDescent="0.25">
      <c r="B49" s="2" t="s">
        <v>407</v>
      </c>
      <c r="C49" s="58" t="s">
        <v>422</v>
      </c>
      <c r="D49" s="59">
        <v>2.3944444444444443E-3</v>
      </c>
      <c r="E49" s="48">
        <v>206.91</v>
      </c>
      <c r="F49" s="48">
        <v>328.69</v>
      </c>
      <c r="G49" s="49">
        <v>6.13</v>
      </c>
      <c r="H49" s="48">
        <v>23</v>
      </c>
      <c r="I49" s="49">
        <v>0</v>
      </c>
      <c r="J49" s="48">
        <v>7.9</v>
      </c>
      <c r="K49" s="49">
        <v>6</v>
      </c>
      <c r="L49" s="49">
        <v>4</v>
      </c>
      <c r="M49" s="49">
        <v>4</v>
      </c>
      <c r="N49" s="49">
        <v>3</v>
      </c>
      <c r="O49" s="49">
        <v>3</v>
      </c>
      <c r="P49" s="48">
        <v>0.80700000000000005</v>
      </c>
      <c r="Q49" s="48">
        <v>1.669</v>
      </c>
      <c r="R49" s="48">
        <v>0.82599999999999996</v>
      </c>
      <c r="S49" s="48">
        <v>0.64800000000000002</v>
      </c>
      <c r="T49" s="48">
        <v>78.41</v>
      </c>
      <c r="U49" s="48">
        <v>60.668999999999997</v>
      </c>
      <c r="V49" s="48">
        <v>263.33999999999997</v>
      </c>
      <c r="W49" s="48">
        <v>245</v>
      </c>
      <c r="X49" s="48">
        <v>288.33999999999997</v>
      </c>
      <c r="Y49" s="48">
        <v>275</v>
      </c>
      <c r="Z49" s="48">
        <v>393.68</v>
      </c>
      <c r="AA49" s="48">
        <v>369.77</v>
      </c>
      <c r="AB49" s="48">
        <v>410.71</v>
      </c>
      <c r="AC49" s="48">
        <v>402.91</v>
      </c>
      <c r="AD49" s="48">
        <v>1.7490000000000001</v>
      </c>
      <c r="AE49" s="48">
        <v>1.788</v>
      </c>
      <c r="AF49" s="48">
        <v>1.8640000000000001</v>
      </c>
      <c r="AG49" s="48">
        <v>1.843</v>
      </c>
      <c r="AH49" s="48">
        <v>77.319999999999993</v>
      </c>
      <c r="AI49" s="48">
        <v>71.760000000000005</v>
      </c>
      <c r="AJ49" s="48">
        <v>115.25</v>
      </c>
      <c r="AK49" s="48">
        <v>103.9</v>
      </c>
      <c r="AL49" s="48">
        <v>714.91</v>
      </c>
      <c r="AM49" s="49">
        <v>715</v>
      </c>
      <c r="AN49" s="49">
        <v>815.43399999999997</v>
      </c>
      <c r="AO49" s="49">
        <v>795.87199999999996</v>
      </c>
      <c r="AP49" s="48">
        <v>2.71</v>
      </c>
      <c r="AQ49" s="48">
        <v>1.98</v>
      </c>
      <c r="AR49" s="48">
        <v>38.313000000000002</v>
      </c>
      <c r="AS49" s="48">
        <v>37.218000000000004</v>
      </c>
      <c r="AT49" s="49">
        <v>82</v>
      </c>
      <c r="AU49" s="49">
        <v>110</v>
      </c>
      <c r="AV49" s="48">
        <v>2.762</v>
      </c>
      <c r="AW49" s="48">
        <v>5.4680999999999997</v>
      </c>
      <c r="AX49" s="48">
        <v>996.4</v>
      </c>
      <c r="AY49" s="48">
        <v>1.1000000000000001</v>
      </c>
      <c r="AZ49" s="48">
        <v>1</v>
      </c>
      <c r="BA49" s="48">
        <v>103.919</v>
      </c>
      <c r="BB49" s="48">
        <v>107.523</v>
      </c>
      <c r="BC49" s="48">
        <v>7881</v>
      </c>
      <c r="BD49" s="48">
        <v>88.25</v>
      </c>
      <c r="BE49" s="48">
        <v>25.33</v>
      </c>
      <c r="BF49" s="49">
        <v>16.074999999999999</v>
      </c>
      <c r="BG49" s="48">
        <v>30.66</v>
      </c>
      <c r="BH49" s="48">
        <v>30.91</v>
      </c>
      <c r="BI49" s="3"/>
      <c r="BJ49" s="3"/>
      <c r="BK49" s="3"/>
      <c r="BL49" s="3"/>
      <c r="BM49" s="3"/>
      <c r="BN49" s="49">
        <v>847.27200000000005</v>
      </c>
      <c r="BO49" s="49">
        <v>847.27200000000005</v>
      </c>
      <c r="BP49" s="48">
        <v>146.072</v>
      </c>
      <c r="BQ49" s="48">
        <v>138.55199999999999</v>
      </c>
      <c r="BR49" s="3"/>
      <c r="BS49" s="48">
        <v>22.7</v>
      </c>
      <c r="BT49" s="48">
        <v>7337.7209999999995</v>
      </c>
      <c r="BU49" s="48">
        <v>78.884</v>
      </c>
      <c r="BV49" s="48">
        <v>63.244999999999997</v>
      </c>
      <c r="BW49" s="48">
        <v>56.424999999999997</v>
      </c>
      <c r="BX49" s="48">
        <v>65.861000000000004</v>
      </c>
      <c r="BY49" s="48">
        <v>1.5149999999999999</v>
      </c>
      <c r="BZ49" s="48">
        <v>3.1989999999999998</v>
      </c>
      <c r="CA49" s="48">
        <v>3.9009999999999998</v>
      </c>
      <c r="CB49" s="49">
        <v>4.1769999999999996</v>
      </c>
      <c r="CC49" s="48">
        <v>6.1669999999999998</v>
      </c>
      <c r="CD49" s="48">
        <v>2.4420000000000002</v>
      </c>
      <c r="CE49" s="48">
        <v>4.0650000000000004</v>
      </c>
      <c r="CF49" s="48">
        <v>2.2240000000000002</v>
      </c>
      <c r="CG49" s="48">
        <v>13.654999999999999</v>
      </c>
      <c r="CH49" s="48">
        <v>13.416</v>
      </c>
      <c r="CI49" s="48">
        <v>2.7829999999999999</v>
      </c>
      <c r="CJ49" s="48">
        <v>2.9990000000000001</v>
      </c>
      <c r="CK49" s="48">
        <v>1.232</v>
      </c>
      <c r="CL49" s="49">
        <v>0</v>
      </c>
      <c r="CM49" s="49">
        <v>0.7</v>
      </c>
      <c r="CN49" s="49">
        <v>0</v>
      </c>
      <c r="CO49" s="49">
        <v>0</v>
      </c>
      <c r="CP49" s="48">
        <v>201.054</v>
      </c>
      <c r="CQ49" s="48">
        <v>188.654</v>
      </c>
      <c r="CR49" s="48">
        <v>136.62</v>
      </c>
      <c r="CS49" s="48">
        <v>131.49799999999999</v>
      </c>
      <c r="CT49" s="48">
        <v>0.47699999999999998</v>
      </c>
      <c r="CU49" s="48">
        <v>1.2030000000000001</v>
      </c>
      <c r="CV49" s="48">
        <v>0.9</v>
      </c>
      <c r="CW49" s="48">
        <v>1.5</v>
      </c>
      <c r="CX49" s="48">
        <v>2.6</v>
      </c>
      <c r="CY49" s="48">
        <v>1.0009999999999999</v>
      </c>
      <c r="CZ49" s="48">
        <v>1.3</v>
      </c>
      <c r="DA49" s="48">
        <v>2.1019999999999999</v>
      </c>
      <c r="DB49" s="48">
        <v>2.601</v>
      </c>
      <c r="DC49" s="48">
        <v>0</v>
      </c>
      <c r="DD49" s="49">
        <v>0</v>
      </c>
      <c r="DE49" s="48">
        <v>0.28199999999999997</v>
      </c>
      <c r="DF49" s="48">
        <v>0.104</v>
      </c>
      <c r="DG49" s="48">
        <v>1.2789999999999999</v>
      </c>
      <c r="DH49" s="48">
        <v>2.6760000000000002</v>
      </c>
      <c r="DI49" s="48">
        <v>1.4019999999999999</v>
      </c>
      <c r="DJ49" s="48">
        <v>0.33900000000000002</v>
      </c>
      <c r="DK49" s="48">
        <v>0.86499999999999999</v>
      </c>
      <c r="DL49" s="48">
        <v>0.60799999999999998</v>
      </c>
      <c r="DM49" s="48">
        <v>0.76700000000000002</v>
      </c>
      <c r="DN49" s="48">
        <v>0.79</v>
      </c>
      <c r="DO49" s="48">
        <v>0.73499999999999999</v>
      </c>
      <c r="DP49" s="48">
        <v>64.694000000000003</v>
      </c>
      <c r="DQ49" s="48">
        <v>62.789000000000001</v>
      </c>
      <c r="DR49" s="48">
        <v>52.084000000000003</v>
      </c>
      <c r="DS49" s="48">
        <v>53.893999999999998</v>
      </c>
      <c r="DT49" s="49">
        <v>6.49</v>
      </c>
      <c r="DU49" s="49">
        <v>6.86</v>
      </c>
      <c r="DV49" s="49">
        <v>19.14</v>
      </c>
      <c r="DW49" s="49">
        <v>16.11</v>
      </c>
      <c r="DX49" s="49">
        <v>7.23</v>
      </c>
      <c r="DY49" s="49">
        <v>7.24</v>
      </c>
      <c r="DZ49" s="49">
        <v>18.62</v>
      </c>
      <c r="EA49" s="49">
        <v>15.84</v>
      </c>
      <c r="EB49" s="48">
        <v>42.43</v>
      </c>
      <c r="EC49" s="48">
        <v>40.01</v>
      </c>
      <c r="ED49" s="48">
        <v>29.25</v>
      </c>
      <c r="EE49" s="48">
        <v>32.76</v>
      </c>
      <c r="EF49" s="48">
        <v>43.85</v>
      </c>
      <c r="EG49" s="48">
        <v>45.89</v>
      </c>
      <c r="EH49" s="48">
        <v>32.99</v>
      </c>
      <c r="EI49" s="48">
        <v>35.29</v>
      </c>
      <c r="EJ49" s="48">
        <v>4.7969999999999997</v>
      </c>
      <c r="EK49" s="48">
        <v>63.241999999999997</v>
      </c>
      <c r="EL49" s="48">
        <v>0.75</v>
      </c>
      <c r="EM49" s="48">
        <v>0.45</v>
      </c>
      <c r="EN49" s="48">
        <v>1.1499999999999999</v>
      </c>
      <c r="EO49" s="48">
        <v>1.1399999999999999</v>
      </c>
      <c r="EP49" s="49">
        <v>-119.07</v>
      </c>
      <c r="EQ49" s="48">
        <v>-2.5640000000000001</v>
      </c>
      <c r="ER49" s="49">
        <v>110.15</v>
      </c>
      <c r="ES49" s="48">
        <v>0.999</v>
      </c>
      <c r="ET49" s="48">
        <v>0.94899999999999995</v>
      </c>
      <c r="EU49" s="48">
        <v>0.76400000000000001</v>
      </c>
      <c r="EV49" s="48">
        <v>7.89</v>
      </c>
      <c r="EW49" s="48">
        <v>4.4039999999999999</v>
      </c>
      <c r="EX49" s="49">
        <v>76.78</v>
      </c>
      <c r="EY49" s="48">
        <v>0</v>
      </c>
      <c r="EZ49" s="48">
        <v>0</v>
      </c>
      <c r="FA49" s="49">
        <v>0</v>
      </c>
      <c r="FB49" s="48">
        <v>9.2070000000000007</v>
      </c>
      <c r="FC49" s="48">
        <v>71.367000000000004</v>
      </c>
      <c r="FD49" s="48">
        <v>66.769000000000005</v>
      </c>
      <c r="FE49" s="48">
        <v>88.697000000000003</v>
      </c>
      <c r="FF49" s="48">
        <v>83.141999999999996</v>
      </c>
      <c r="FG49" s="48">
        <v>0.91400000000000003</v>
      </c>
      <c r="FH49" s="48">
        <v>0.91200000000000003</v>
      </c>
      <c r="FI49" s="48">
        <v>0.99</v>
      </c>
      <c r="FJ49" s="48">
        <v>0.98699999999999999</v>
      </c>
      <c r="FK49" s="48">
        <v>0</v>
      </c>
      <c r="FL49" s="49">
        <v>83</v>
      </c>
      <c r="FM49" s="48">
        <v>2.54</v>
      </c>
      <c r="FN49" s="48">
        <v>1.19</v>
      </c>
      <c r="FO49" s="48">
        <v>0.98</v>
      </c>
      <c r="FP49" s="3"/>
      <c r="FQ49" s="48">
        <v>4.6500000000000004</v>
      </c>
      <c r="FR49" s="48">
        <v>5.0999999999999996</v>
      </c>
      <c r="FS49" s="48">
        <v>6.8155000000000001</v>
      </c>
      <c r="FT49" s="48">
        <v>1059.0999999999999</v>
      </c>
      <c r="FU49" s="48">
        <v>7.34</v>
      </c>
      <c r="FV49" s="48">
        <v>29.98</v>
      </c>
      <c r="FW49" s="49">
        <v>3349.5</v>
      </c>
      <c r="FX49" s="48">
        <v>164900</v>
      </c>
      <c r="FY49" s="48">
        <v>164600</v>
      </c>
      <c r="FZ49" s="48">
        <v>44.658000000000001</v>
      </c>
      <c r="GA49" s="48">
        <v>43.110999999999997</v>
      </c>
      <c r="GB49" s="48">
        <v>2156.1</v>
      </c>
      <c r="GC49" s="49">
        <v>2193.6</v>
      </c>
      <c r="GD49" s="48">
        <v>2193.1</v>
      </c>
      <c r="GE49" s="48">
        <v>2247.8000000000002</v>
      </c>
      <c r="GF49" s="48">
        <v>1427.9063000000001</v>
      </c>
      <c r="GG49" s="48">
        <v>35</v>
      </c>
      <c r="GH49" s="48">
        <v>34.6</v>
      </c>
      <c r="GI49" s="48">
        <v>46.2</v>
      </c>
      <c r="GJ49" s="48">
        <v>51.5</v>
      </c>
      <c r="GK49" s="48">
        <v>99.5</v>
      </c>
      <c r="GL49" s="48">
        <v>109.8</v>
      </c>
      <c r="GM49" s="49">
        <v>0</v>
      </c>
      <c r="GN49" s="48">
        <v>22.939</v>
      </c>
      <c r="GO49" s="49">
        <v>119.07</v>
      </c>
      <c r="GP49" s="48">
        <v>0.23599999999999999</v>
      </c>
      <c r="GQ49" s="48">
        <v>1.829</v>
      </c>
      <c r="GR49" s="48">
        <v>0.29499999999999998</v>
      </c>
      <c r="GS49" s="48">
        <v>1.8879999999999999</v>
      </c>
      <c r="GT49" s="48">
        <v>0.23599999999999999</v>
      </c>
      <c r="GU49" s="48">
        <v>1.7110000000000001</v>
      </c>
      <c r="GV49" s="48">
        <v>8.2319999999999993</v>
      </c>
      <c r="GW49" s="48">
        <v>13.968999999999999</v>
      </c>
      <c r="GX49" s="48">
        <v>16.071999999999999</v>
      </c>
      <c r="GY49" s="49">
        <v>0</v>
      </c>
      <c r="GZ49" s="49">
        <v>0</v>
      </c>
      <c r="HA49" s="49">
        <v>0</v>
      </c>
      <c r="HB49" s="48">
        <v>0</v>
      </c>
      <c r="HC49" s="48">
        <v>37.338000000000001</v>
      </c>
      <c r="HD49" s="49">
        <v>90</v>
      </c>
      <c r="HE49" s="49">
        <v>0</v>
      </c>
      <c r="HF49" s="49">
        <v>0</v>
      </c>
      <c r="HG49" s="48">
        <v>69.22</v>
      </c>
      <c r="HH49" s="48">
        <v>78.7</v>
      </c>
      <c r="HI49" s="49">
        <v>0</v>
      </c>
      <c r="HJ49" s="49">
        <v>0</v>
      </c>
      <c r="HK49" s="49">
        <v>0</v>
      </c>
      <c r="HL49" s="49">
        <v>53</v>
      </c>
      <c r="HM49" s="48">
        <v>41</v>
      </c>
      <c r="HN49" s="48">
        <v>58</v>
      </c>
      <c r="HO49" s="48">
        <v>53</v>
      </c>
      <c r="HP49" s="48">
        <v>57</v>
      </c>
      <c r="HQ49" s="48">
        <v>55</v>
      </c>
      <c r="HR49" s="48">
        <v>51</v>
      </c>
      <c r="HS49" s="48">
        <v>64</v>
      </c>
      <c r="HT49" s="48">
        <v>-0.18099999999999999</v>
      </c>
      <c r="HU49" s="49">
        <v>0</v>
      </c>
      <c r="HV49" s="49">
        <v>1.52</v>
      </c>
      <c r="HW49" s="48">
        <v>39.4</v>
      </c>
      <c r="HX49" s="48">
        <v>36.33</v>
      </c>
      <c r="HY49" s="48">
        <v>46.9</v>
      </c>
      <c r="HZ49" s="48">
        <v>46.9</v>
      </c>
      <c r="IA49" s="49">
        <v>3.3119999999999998</v>
      </c>
      <c r="IB49" s="49">
        <v>103</v>
      </c>
      <c r="IC49" s="48">
        <v>21.483000000000001</v>
      </c>
      <c r="ID49" s="48">
        <v>-0.13300000000000001</v>
      </c>
      <c r="IE49" s="48">
        <v>-4.3999999999999997E-2</v>
      </c>
      <c r="IF49" s="48">
        <v>788.9</v>
      </c>
      <c r="IG49" s="48">
        <v>748.8</v>
      </c>
      <c r="IH49" s="48">
        <v>814.7</v>
      </c>
      <c r="II49" s="48">
        <v>776.5</v>
      </c>
      <c r="IJ49" s="48">
        <v>-0.21099999999999999</v>
      </c>
      <c r="IK49" s="48">
        <v>-0.16</v>
      </c>
      <c r="IL49" s="48">
        <v>60.75</v>
      </c>
      <c r="IM49" s="48">
        <v>60.75</v>
      </c>
      <c r="IN49" s="48">
        <v>27.696999999999999</v>
      </c>
      <c r="IO49" s="48">
        <v>0.45200000000000001</v>
      </c>
      <c r="IP49" s="48">
        <v>12.94</v>
      </c>
      <c r="IQ49" s="48">
        <v>-1E-3</v>
      </c>
      <c r="IR49" s="48">
        <v>1.7999999999999999E-2</v>
      </c>
      <c r="IS49">
        <v>-0.52300000000000002</v>
      </c>
      <c r="IT49">
        <v>0.252</v>
      </c>
    </row>
    <row r="50" spans="1:254" x14ac:dyDescent="0.25">
      <c r="B50" s="2" t="s">
        <v>407</v>
      </c>
      <c r="C50" s="2" t="s">
        <v>423</v>
      </c>
      <c r="D50" s="57">
        <v>3.754629629629629E-3</v>
      </c>
      <c r="E50" s="48">
        <v>324.39600000000002</v>
      </c>
      <c r="F50" s="48">
        <v>288.31</v>
      </c>
      <c r="G50" s="48">
        <v>3.65</v>
      </c>
      <c r="H50" s="48">
        <v>22.8</v>
      </c>
      <c r="I50" s="49">
        <v>0</v>
      </c>
      <c r="J50" s="48">
        <v>40.200000000000003</v>
      </c>
      <c r="K50" s="49">
        <v>6</v>
      </c>
      <c r="L50" s="49">
        <v>4</v>
      </c>
      <c r="M50" s="49">
        <v>4</v>
      </c>
      <c r="N50" s="49">
        <v>3</v>
      </c>
      <c r="O50" s="49">
        <v>3</v>
      </c>
      <c r="P50" s="48">
        <v>0.76200000000000001</v>
      </c>
      <c r="Q50" s="48">
        <v>0.94299999999999995</v>
      </c>
      <c r="R50" s="48">
        <v>0.77</v>
      </c>
      <c r="S50" s="3"/>
      <c r="T50" s="48">
        <v>68.67</v>
      </c>
      <c r="U50" s="49">
        <v>61.29</v>
      </c>
      <c r="V50" s="48">
        <v>110</v>
      </c>
      <c r="W50" s="49">
        <v>90</v>
      </c>
      <c r="X50" s="48">
        <v>110</v>
      </c>
      <c r="Y50" s="48">
        <v>110</v>
      </c>
      <c r="Z50" s="48">
        <v>210.43</v>
      </c>
      <c r="AA50" s="48">
        <v>203.16</v>
      </c>
      <c r="AB50" s="48">
        <v>209.92</v>
      </c>
      <c r="AC50" s="48">
        <v>210.16</v>
      </c>
      <c r="AD50" s="48">
        <v>1.6639999999999999</v>
      </c>
      <c r="AE50" s="48">
        <v>1.7150000000000001</v>
      </c>
      <c r="AF50" s="48">
        <v>1.7490000000000001</v>
      </c>
      <c r="AG50" s="48">
        <v>1.742</v>
      </c>
      <c r="AH50" s="48">
        <v>65.47</v>
      </c>
      <c r="AI50" s="48">
        <v>61.71</v>
      </c>
      <c r="AJ50" s="48">
        <v>94.38</v>
      </c>
      <c r="AK50" s="48">
        <v>86.45</v>
      </c>
      <c r="AL50" s="48">
        <v>606.92999999999995</v>
      </c>
      <c r="AM50" s="48">
        <v>626.63800000000003</v>
      </c>
      <c r="AN50" s="48">
        <v>759.11400000000003</v>
      </c>
      <c r="AO50" s="48">
        <v>686.42</v>
      </c>
      <c r="AP50" s="3"/>
      <c r="AQ50" s="3"/>
      <c r="AR50" s="3"/>
      <c r="AS50" s="3"/>
      <c r="AT50" s="49">
        <v>82</v>
      </c>
      <c r="AU50" s="49">
        <v>110</v>
      </c>
      <c r="AV50" s="48">
        <v>3.2685</v>
      </c>
      <c r="AW50" s="48">
        <v>5.2576999999999998</v>
      </c>
      <c r="AX50" s="48">
        <v>985.6</v>
      </c>
      <c r="AY50" s="49">
        <v>1.23</v>
      </c>
      <c r="AZ50" s="49">
        <v>0.83</v>
      </c>
      <c r="BA50" s="48">
        <v>137.1</v>
      </c>
      <c r="BB50" s="48">
        <v>140.25299999999999</v>
      </c>
      <c r="BC50" s="48">
        <v>7648</v>
      </c>
      <c r="BD50" s="49">
        <v>89.25</v>
      </c>
      <c r="BE50" s="48">
        <v>23.44</v>
      </c>
      <c r="BF50" s="48">
        <v>12.845000000000001</v>
      </c>
      <c r="BG50" s="48">
        <v>26.51</v>
      </c>
      <c r="BH50" s="48">
        <v>20.83</v>
      </c>
      <c r="BI50" s="49">
        <v>66.616</v>
      </c>
      <c r="BJ50" s="49">
        <v>82.965999999999994</v>
      </c>
      <c r="BK50" s="49">
        <v>64.887</v>
      </c>
      <c r="BL50" s="49">
        <v>80.724999999999994</v>
      </c>
      <c r="BM50" s="49">
        <v>79.977999999999994</v>
      </c>
      <c r="BN50" s="49">
        <v>847.27200000000005</v>
      </c>
      <c r="BO50" s="48">
        <v>676.84</v>
      </c>
      <c r="BP50" s="48">
        <v>139.01599999999999</v>
      </c>
      <c r="BQ50" s="48">
        <v>136.6</v>
      </c>
      <c r="BR50" s="49">
        <v>59.564999999999998</v>
      </c>
      <c r="BS50" s="48">
        <v>22</v>
      </c>
      <c r="BT50" s="48">
        <v>5798.6369999999997</v>
      </c>
      <c r="BU50" s="48">
        <v>81.233000000000004</v>
      </c>
      <c r="BV50" s="49">
        <v>68.647000000000006</v>
      </c>
      <c r="BW50" s="49">
        <v>68.644000000000005</v>
      </c>
      <c r="BX50" s="49">
        <v>79.477999999999994</v>
      </c>
      <c r="BY50" s="48">
        <v>1.395</v>
      </c>
      <c r="BZ50" s="48">
        <v>2.6659999999999999</v>
      </c>
      <c r="CA50" s="48">
        <v>2.5840000000000001</v>
      </c>
      <c r="CB50" s="48">
        <v>3.5830000000000002</v>
      </c>
      <c r="CC50" s="48">
        <v>6.1879999999999997</v>
      </c>
      <c r="CD50" s="48">
        <v>2.1469999999999998</v>
      </c>
      <c r="CE50" s="49">
        <v>4.1260000000000003</v>
      </c>
      <c r="CF50" s="48">
        <v>2.0249999999999999</v>
      </c>
      <c r="CG50" s="49">
        <v>13.742000000000001</v>
      </c>
      <c r="CH50" s="48">
        <v>10.614000000000001</v>
      </c>
      <c r="CI50" s="3"/>
      <c r="CJ50" s="3"/>
      <c r="CK50" s="3"/>
      <c r="CL50" s="49">
        <v>0</v>
      </c>
      <c r="CM50" s="48">
        <v>0</v>
      </c>
      <c r="CN50" s="49">
        <v>0</v>
      </c>
      <c r="CO50" s="49">
        <v>0</v>
      </c>
      <c r="CP50" s="48">
        <v>96.656000000000006</v>
      </c>
      <c r="CQ50" s="48">
        <v>116.098</v>
      </c>
      <c r="CR50" s="48">
        <v>110.55800000000001</v>
      </c>
      <c r="CS50" s="48">
        <v>107.127</v>
      </c>
      <c r="CT50" s="49">
        <v>0.54100000000000004</v>
      </c>
      <c r="CU50" s="49">
        <v>4.6379999999999999</v>
      </c>
      <c r="CV50" s="49">
        <v>4.04</v>
      </c>
      <c r="CW50" s="49">
        <v>4.242</v>
      </c>
      <c r="CX50" s="49">
        <v>4.1390000000000002</v>
      </c>
      <c r="CY50" s="49">
        <v>3.54</v>
      </c>
      <c r="CZ50" s="49">
        <v>4.242</v>
      </c>
      <c r="DA50" s="49">
        <v>4.4370000000000003</v>
      </c>
      <c r="DB50" s="49">
        <v>4.4420000000000002</v>
      </c>
      <c r="DC50" s="48">
        <v>0</v>
      </c>
      <c r="DD50" s="49">
        <v>0</v>
      </c>
      <c r="DE50" s="48">
        <v>0.191</v>
      </c>
      <c r="DF50" s="48">
        <v>3.1E-2</v>
      </c>
      <c r="DG50" s="48">
        <v>0.3</v>
      </c>
      <c r="DH50" s="48">
        <v>0.90400000000000003</v>
      </c>
      <c r="DI50" s="48">
        <v>0.83699999999999997</v>
      </c>
      <c r="DJ50" s="48">
        <v>0.23899999999999999</v>
      </c>
      <c r="DK50" s="48">
        <v>0.73799999999999999</v>
      </c>
      <c r="DL50" s="49">
        <v>0.66800000000000004</v>
      </c>
      <c r="DM50" s="49">
        <v>0.80800000000000005</v>
      </c>
      <c r="DN50" s="48">
        <v>0.78400000000000003</v>
      </c>
      <c r="DO50" s="49">
        <v>0.77700000000000002</v>
      </c>
      <c r="DP50" s="48">
        <v>58.28</v>
      </c>
      <c r="DQ50" s="49">
        <v>68.813999999999993</v>
      </c>
      <c r="DR50" s="48">
        <v>51.91</v>
      </c>
      <c r="DS50" s="49">
        <v>58.405000000000001</v>
      </c>
      <c r="DT50" s="48">
        <v>2.5299999999999998</v>
      </c>
      <c r="DU50" s="48">
        <v>2.6</v>
      </c>
      <c r="DV50" s="48">
        <v>7.87</v>
      </c>
      <c r="DW50" s="48">
        <v>6.06</v>
      </c>
      <c r="DX50" s="48">
        <v>3.06</v>
      </c>
      <c r="DY50" s="48">
        <v>2.92</v>
      </c>
      <c r="DZ50" s="48">
        <v>7.39</v>
      </c>
      <c r="EA50" s="48">
        <v>6.04</v>
      </c>
      <c r="EB50" s="49">
        <v>43.31</v>
      </c>
      <c r="EC50" s="49">
        <v>41.78</v>
      </c>
      <c r="ED50" s="49">
        <v>38.11</v>
      </c>
      <c r="EE50" s="49">
        <v>40.21</v>
      </c>
      <c r="EF50" s="48">
        <v>51.09</v>
      </c>
      <c r="EG50" s="48">
        <v>52.69</v>
      </c>
      <c r="EH50" s="48">
        <v>46.62</v>
      </c>
      <c r="EI50" s="48">
        <v>47.68</v>
      </c>
      <c r="EJ50" s="48">
        <v>4.9000000000000004</v>
      </c>
      <c r="EK50" s="48">
        <v>62.405000000000001</v>
      </c>
      <c r="EL50" s="49">
        <v>1.05</v>
      </c>
      <c r="EM50" s="49">
        <v>0.3</v>
      </c>
      <c r="EN50" s="48">
        <v>1.1299999999999999</v>
      </c>
      <c r="EO50" s="48">
        <v>1.1100000000000001</v>
      </c>
      <c r="EP50" s="48">
        <v>-99.213999999999999</v>
      </c>
      <c r="EQ50" s="48">
        <v>-0.91600000000000004</v>
      </c>
      <c r="ER50" s="48">
        <v>66.933999999999997</v>
      </c>
      <c r="ES50" s="48">
        <v>0.624</v>
      </c>
      <c r="ET50" s="48">
        <v>0.49399999999999999</v>
      </c>
      <c r="EU50" s="48">
        <v>0.48299999999999998</v>
      </c>
      <c r="EV50" s="3"/>
      <c r="EW50" s="3"/>
      <c r="EX50" s="48">
        <v>37.58</v>
      </c>
      <c r="EY50" s="48">
        <v>0</v>
      </c>
      <c r="EZ50" s="48">
        <v>0</v>
      </c>
      <c r="FA50" s="49">
        <v>0</v>
      </c>
      <c r="FB50" s="49">
        <v>9.39</v>
      </c>
      <c r="FC50" s="48">
        <v>65.674000000000007</v>
      </c>
      <c r="FD50" s="48">
        <v>61.746000000000002</v>
      </c>
      <c r="FE50" s="48">
        <v>80.501000000000005</v>
      </c>
      <c r="FF50" s="48">
        <v>76.212000000000003</v>
      </c>
      <c r="FG50" s="48">
        <v>0.93600000000000005</v>
      </c>
      <c r="FH50" s="48">
        <v>0.92200000000000004</v>
      </c>
      <c r="FI50" s="49">
        <v>1.0169999999999999</v>
      </c>
      <c r="FJ50" s="49">
        <v>1.014</v>
      </c>
      <c r="FK50" s="48">
        <v>0</v>
      </c>
      <c r="FL50" s="48">
        <v>82</v>
      </c>
      <c r="FM50" s="49">
        <v>2.5499999999999998</v>
      </c>
      <c r="FN50" s="48">
        <v>0.64</v>
      </c>
      <c r="FO50" s="49">
        <v>0.86</v>
      </c>
      <c r="FP50" s="48">
        <v>4.1500000000000004</v>
      </c>
      <c r="FQ50" s="49">
        <v>4.45</v>
      </c>
      <c r="FR50" s="48">
        <v>5.25</v>
      </c>
      <c r="FS50" s="48">
        <v>6.5185000000000004</v>
      </c>
      <c r="FT50" s="48">
        <v>1037.7</v>
      </c>
      <c r="FU50" s="48">
        <v>6.35</v>
      </c>
      <c r="FV50" s="49">
        <v>33.64</v>
      </c>
      <c r="FW50" s="48">
        <v>2987</v>
      </c>
      <c r="FX50" s="48">
        <v>171400</v>
      </c>
      <c r="FY50" s="48">
        <v>172700</v>
      </c>
      <c r="FZ50" s="49">
        <v>52.524000000000001</v>
      </c>
      <c r="GA50" s="49">
        <v>51.033999999999999</v>
      </c>
      <c r="GB50" s="48">
        <v>2097</v>
      </c>
      <c r="GC50" s="48">
        <v>2089.3000000000002</v>
      </c>
      <c r="GD50" s="48">
        <v>2163</v>
      </c>
      <c r="GE50" s="48">
        <v>2310.1999999999998</v>
      </c>
      <c r="GF50" s="48">
        <v>966.76559999999995</v>
      </c>
      <c r="GG50" s="49">
        <v>38</v>
      </c>
      <c r="GH50" s="49">
        <v>38.5</v>
      </c>
      <c r="GI50" s="48">
        <v>46.3</v>
      </c>
      <c r="GJ50" s="48">
        <v>52.7</v>
      </c>
      <c r="GK50" s="48">
        <v>99.5</v>
      </c>
      <c r="GL50" s="48">
        <v>106</v>
      </c>
      <c r="GM50" s="49">
        <v>0</v>
      </c>
      <c r="GN50" s="48">
        <v>23.536000000000001</v>
      </c>
      <c r="GO50" s="48">
        <v>99.213999999999999</v>
      </c>
      <c r="GP50" s="49">
        <v>0</v>
      </c>
      <c r="GQ50" s="49">
        <v>4.6020000000000003</v>
      </c>
      <c r="GR50" s="49">
        <v>0</v>
      </c>
      <c r="GS50" s="49">
        <v>5.1920000000000002</v>
      </c>
      <c r="GT50" s="49">
        <v>0</v>
      </c>
      <c r="GU50" s="49">
        <v>5.3689999999999998</v>
      </c>
      <c r="GV50" s="49">
        <v>0</v>
      </c>
      <c r="GW50" s="48">
        <v>13.959</v>
      </c>
      <c r="GX50" s="49">
        <v>24.99</v>
      </c>
      <c r="GY50" s="49">
        <v>0</v>
      </c>
      <c r="GZ50" s="49">
        <v>0</v>
      </c>
      <c r="HA50" s="49">
        <v>0</v>
      </c>
      <c r="HB50" s="48">
        <v>0</v>
      </c>
      <c r="HC50" s="48">
        <v>35.252000000000002</v>
      </c>
      <c r="HD50" s="49">
        <v>90</v>
      </c>
      <c r="HE50" s="49">
        <v>0</v>
      </c>
      <c r="HF50" s="49">
        <v>0</v>
      </c>
      <c r="HG50" s="48">
        <v>69.58</v>
      </c>
      <c r="HH50" s="48">
        <v>78.34</v>
      </c>
      <c r="HI50" s="49">
        <v>0</v>
      </c>
      <c r="HJ50" s="49">
        <v>0</v>
      </c>
      <c r="HK50" s="49">
        <v>0</v>
      </c>
      <c r="HL50" s="49">
        <v>53</v>
      </c>
      <c r="HM50" s="48">
        <v>39</v>
      </c>
      <c r="HN50" s="48">
        <v>58</v>
      </c>
      <c r="HO50" s="48">
        <v>52</v>
      </c>
      <c r="HP50" s="48">
        <v>57</v>
      </c>
      <c r="HQ50" s="48">
        <v>54</v>
      </c>
      <c r="HR50" s="48">
        <v>51</v>
      </c>
      <c r="HS50" s="48">
        <v>64</v>
      </c>
      <c r="HT50" s="48">
        <v>-0.18099999999999999</v>
      </c>
      <c r="HU50" s="49">
        <v>0</v>
      </c>
      <c r="HV50" s="48">
        <v>0.83799999999999997</v>
      </c>
      <c r="HW50" s="48">
        <v>42.64</v>
      </c>
      <c r="HX50" s="48">
        <v>36.33</v>
      </c>
      <c r="HY50" s="3"/>
      <c r="HZ50" s="3"/>
      <c r="IA50" s="48">
        <v>3.0720000000000001</v>
      </c>
      <c r="IB50" s="48">
        <v>97</v>
      </c>
      <c r="IC50" s="48">
        <v>17.762</v>
      </c>
      <c r="ID50" s="49">
        <v>-1.4999999999999999E-2</v>
      </c>
      <c r="IE50" s="49">
        <v>-7.0000000000000001E-3</v>
      </c>
      <c r="IF50" s="49">
        <v>857.7</v>
      </c>
      <c r="IG50" s="48">
        <v>735.6</v>
      </c>
      <c r="IH50" s="49">
        <v>900</v>
      </c>
      <c r="II50" s="48">
        <v>765.7</v>
      </c>
      <c r="IJ50" s="49">
        <v>-1.7999999999999999E-2</v>
      </c>
      <c r="IK50" s="49">
        <v>-1.2999999999999999E-2</v>
      </c>
      <c r="IL50" s="48">
        <v>95.936000000000007</v>
      </c>
      <c r="IM50" s="48">
        <v>95.936000000000007</v>
      </c>
      <c r="IN50" s="49">
        <v>30.193000000000001</v>
      </c>
      <c r="IO50" s="48">
        <v>7.6999999999999999E-2</v>
      </c>
      <c r="IP50" s="48">
        <v>13.03</v>
      </c>
      <c r="IQ50" s="49">
        <v>0</v>
      </c>
      <c r="IR50" s="48">
        <v>0</v>
      </c>
      <c r="IS50">
        <v>-0.52300000000000002</v>
      </c>
      <c r="IT50">
        <v>0.252</v>
      </c>
    </row>
    <row r="51" spans="1:254" x14ac:dyDescent="0.25">
      <c r="IS51">
        <v>-0.52300000000000002</v>
      </c>
      <c r="IT51">
        <v>0.252</v>
      </c>
    </row>
    <row r="52" spans="1:254" x14ac:dyDescent="0.25">
      <c r="IS52">
        <v>-0.52300000000000002</v>
      </c>
      <c r="IT52">
        <v>0.252</v>
      </c>
    </row>
    <row r="53" spans="1:254" x14ac:dyDescent="0.25">
      <c r="IS53">
        <v>-0.52300000000000002</v>
      </c>
      <c r="IT53">
        <v>0.252</v>
      </c>
    </row>
    <row r="54" spans="1:254" x14ac:dyDescent="0.25">
      <c r="B54" s="2" t="s">
        <v>407</v>
      </c>
      <c r="C54" s="2" t="s">
        <v>41</v>
      </c>
      <c r="D54" s="57">
        <v>2.5140972222222224E-2</v>
      </c>
      <c r="E54" s="49">
        <v>2172.1750000000002</v>
      </c>
      <c r="F54" s="48">
        <v>326.25</v>
      </c>
      <c r="G54" s="48">
        <v>5.61</v>
      </c>
      <c r="H54" s="49">
        <v>26</v>
      </c>
      <c r="I54" s="49">
        <v>0</v>
      </c>
      <c r="J54" s="49">
        <v>1945.6</v>
      </c>
      <c r="K54" s="49">
        <v>6</v>
      </c>
      <c r="L54" s="49">
        <v>4</v>
      </c>
      <c r="M54" s="49">
        <v>4</v>
      </c>
      <c r="N54" s="49">
        <v>3</v>
      </c>
      <c r="O54" s="49">
        <v>3</v>
      </c>
      <c r="P54" s="49">
        <v>1.0489999999999999</v>
      </c>
      <c r="Q54" s="48">
        <v>1.4079999999999999</v>
      </c>
      <c r="R54" s="49">
        <v>1.248</v>
      </c>
      <c r="S54" s="49">
        <v>0.89400000000000002</v>
      </c>
      <c r="T54" s="48">
        <v>57.56</v>
      </c>
      <c r="U54" s="48">
        <v>60.427</v>
      </c>
      <c r="V54" s="49">
        <v>70</v>
      </c>
      <c r="W54" s="49">
        <v>40</v>
      </c>
      <c r="X54" s="49">
        <v>40</v>
      </c>
      <c r="Y54" s="49">
        <v>30</v>
      </c>
      <c r="Z54" s="48">
        <v>169.62</v>
      </c>
      <c r="AA54" s="48">
        <v>158.6</v>
      </c>
      <c r="AB54" s="48">
        <v>133.38</v>
      </c>
      <c r="AC54" s="48">
        <v>132.74</v>
      </c>
      <c r="AD54" s="48">
        <v>1.653</v>
      </c>
      <c r="AE54" s="48">
        <v>1.73</v>
      </c>
      <c r="AF54" s="48">
        <v>1.5309999999999999</v>
      </c>
      <c r="AG54" s="48">
        <v>1.5669999999999999</v>
      </c>
      <c r="AH54" s="48">
        <v>51.65</v>
      </c>
      <c r="AI54" s="48">
        <v>14.34</v>
      </c>
      <c r="AJ54" s="48">
        <v>58.13</v>
      </c>
      <c r="AK54" s="48">
        <v>17.27</v>
      </c>
      <c r="AL54" s="48">
        <v>572.22699999999998</v>
      </c>
      <c r="AM54" s="48">
        <v>585</v>
      </c>
      <c r="AN54" s="48">
        <v>648.42499999999995</v>
      </c>
      <c r="AO54" s="48">
        <v>666.34400000000005</v>
      </c>
      <c r="AP54" s="49">
        <v>2.5640000000000001</v>
      </c>
      <c r="AQ54" s="49">
        <v>1.889</v>
      </c>
      <c r="AR54" s="49">
        <v>43.411000000000001</v>
      </c>
      <c r="AS54" s="48">
        <v>39.000999999999998</v>
      </c>
      <c r="AT54" s="49">
        <v>82</v>
      </c>
      <c r="AU54" s="48">
        <v>90</v>
      </c>
      <c r="AV54" s="48">
        <v>2.8965000000000001</v>
      </c>
      <c r="AW54" s="48">
        <v>5.1055999999999999</v>
      </c>
      <c r="AX54" s="49">
        <v>1008.6</v>
      </c>
      <c r="AY54" s="48">
        <v>1.1399999999999999</v>
      </c>
      <c r="AZ54" s="49">
        <v>1.55</v>
      </c>
      <c r="BA54" s="49">
        <v>5.7</v>
      </c>
      <c r="BB54" s="49">
        <v>6.1020000000000003</v>
      </c>
      <c r="BC54" s="48">
        <v>7674</v>
      </c>
      <c r="BD54" s="49">
        <v>89.5</v>
      </c>
      <c r="BE54" s="48">
        <v>23.515000000000001</v>
      </c>
      <c r="BF54" s="48">
        <v>12.82</v>
      </c>
      <c r="BG54" s="48">
        <v>27.31</v>
      </c>
      <c r="BH54" s="48">
        <v>26.55</v>
      </c>
      <c r="BI54" s="48">
        <v>67.62</v>
      </c>
      <c r="BJ54" s="48">
        <v>81.738</v>
      </c>
      <c r="BK54" s="48">
        <v>66.126999999999995</v>
      </c>
      <c r="BL54" s="48">
        <v>79.611999999999995</v>
      </c>
      <c r="BM54" s="48">
        <v>79.349999999999994</v>
      </c>
      <c r="BN54" s="48">
        <v>74.680000000000007</v>
      </c>
      <c r="BO54" s="48">
        <v>73.751999999999995</v>
      </c>
      <c r="BP54" s="48">
        <v>93.48</v>
      </c>
      <c r="BQ54" s="48">
        <v>96.376000000000005</v>
      </c>
      <c r="BR54" s="48">
        <v>57.213000000000001</v>
      </c>
      <c r="BS54" s="49">
        <v>24.8</v>
      </c>
      <c r="BT54" s="48">
        <v>6756.9189999999999</v>
      </c>
      <c r="BU54" s="49">
        <v>89.474000000000004</v>
      </c>
      <c r="BV54" s="49">
        <v>66.638999999999996</v>
      </c>
      <c r="BW54" s="49">
        <v>70.212000000000003</v>
      </c>
      <c r="BX54" s="48">
        <v>62.781999999999996</v>
      </c>
      <c r="BY54" s="48">
        <v>1.42</v>
      </c>
      <c r="BZ54" s="48">
        <v>2.177</v>
      </c>
      <c r="CA54" s="48">
        <v>3.1960000000000002</v>
      </c>
      <c r="CB54" s="48">
        <v>3.34</v>
      </c>
      <c r="CC54" s="48">
        <v>5.79</v>
      </c>
      <c r="CD54" s="48">
        <v>2.3530000000000002</v>
      </c>
      <c r="CE54" s="49">
        <v>3.8359999999999999</v>
      </c>
      <c r="CF54" s="49">
        <v>2.1880000000000002</v>
      </c>
      <c r="CG54" s="48">
        <v>12.930999999999999</v>
      </c>
      <c r="CH54" s="49">
        <v>9.6829999999999998</v>
      </c>
      <c r="CI54" s="49">
        <v>11.038</v>
      </c>
      <c r="CJ54" s="49">
        <v>6.8</v>
      </c>
      <c r="CK54" s="48">
        <v>1.6439999999999999</v>
      </c>
      <c r="CL54" s="48">
        <v>0</v>
      </c>
      <c r="CM54" s="48">
        <v>0.3</v>
      </c>
      <c r="CN54" s="49">
        <v>0</v>
      </c>
      <c r="CO54" s="49">
        <v>0</v>
      </c>
      <c r="CP54" s="48">
        <v>36.610999999999997</v>
      </c>
      <c r="CQ54" s="48">
        <v>37.530999999999999</v>
      </c>
      <c r="CR54" s="48">
        <v>50.116999999999997</v>
      </c>
      <c r="CS54" s="48">
        <v>48.935000000000002</v>
      </c>
      <c r="CT54" s="48">
        <v>0.247</v>
      </c>
      <c r="CU54" s="49">
        <v>1.4950000000000001</v>
      </c>
      <c r="CV54" s="49">
        <v>0.998</v>
      </c>
      <c r="CW54" s="48">
        <v>0.69899999999999995</v>
      </c>
      <c r="CX54" s="49">
        <v>1.9990000000000001</v>
      </c>
      <c r="CY54" s="48">
        <v>0.8</v>
      </c>
      <c r="CZ54" s="49">
        <v>1.1020000000000001</v>
      </c>
      <c r="DA54" s="49">
        <v>1.5960000000000001</v>
      </c>
      <c r="DB54" s="48">
        <v>1.1970000000000001</v>
      </c>
      <c r="DC54" s="49">
        <v>0</v>
      </c>
      <c r="DD54" s="49">
        <v>0</v>
      </c>
      <c r="DE54" s="48">
        <v>0.19400000000000001</v>
      </c>
      <c r="DF54" s="48">
        <v>0.155</v>
      </c>
      <c r="DG54" s="48">
        <v>0.54800000000000004</v>
      </c>
      <c r="DH54" s="48">
        <v>2.14</v>
      </c>
      <c r="DI54" s="48">
        <v>1.458</v>
      </c>
      <c r="DJ54" s="48">
        <v>0.23899999999999999</v>
      </c>
      <c r="DK54" s="48">
        <v>1.089</v>
      </c>
      <c r="DL54" s="48">
        <v>0.60899999999999999</v>
      </c>
      <c r="DM54" s="49">
        <v>0.78200000000000003</v>
      </c>
      <c r="DN54" s="48">
        <v>0.77700000000000002</v>
      </c>
      <c r="DO54" s="49">
        <v>0.73799999999999999</v>
      </c>
      <c r="DP54" s="48">
        <v>67.472999999999999</v>
      </c>
      <c r="DQ54" s="49">
        <v>63.645000000000003</v>
      </c>
      <c r="DR54" s="49">
        <v>55.938000000000002</v>
      </c>
      <c r="DS54" s="48">
        <v>52.908000000000001</v>
      </c>
      <c r="DT54" s="48">
        <v>0.48</v>
      </c>
      <c r="DU54" s="48">
        <v>0.57999999999999996</v>
      </c>
      <c r="DV54" s="48">
        <v>1.46</v>
      </c>
      <c r="DW54" s="48">
        <v>1.18</v>
      </c>
      <c r="DX54" s="48">
        <v>0.56999999999999995</v>
      </c>
      <c r="DY54" s="48">
        <v>0.56999999999999995</v>
      </c>
      <c r="DZ54" s="48">
        <v>1.37</v>
      </c>
      <c r="EA54" s="48">
        <v>1.1399999999999999</v>
      </c>
      <c r="EB54" s="48">
        <v>5.41</v>
      </c>
      <c r="EC54" s="48">
        <v>4.91</v>
      </c>
      <c r="ED54" s="48">
        <v>4.16</v>
      </c>
      <c r="EE54" s="48">
        <v>4.3</v>
      </c>
      <c r="EF54" s="49">
        <v>93.54</v>
      </c>
      <c r="EG54" s="49">
        <v>93.94</v>
      </c>
      <c r="EH54" s="49">
        <v>93.01</v>
      </c>
      <c r="EI54" s="49">
        <v>93.38</v>
      </c>
      <c r="EJ54" s="49">
        <v>6.55</v>
      </c>
      <c r="EK54" s="48">
        <v>45.356000000000002</v>
      </c>
      <c r="EL54" s="48">
        <v>0.85</v>
      </c>
      <c r="EM54" s="49">
        <v>0.35</v>
      </c>
      <c r="EN54" s="48">
        <v>1.1100000000000001</v>
      </c>
      <c r="EO54" s="48">
        <v>1.1000000000000001</v>
      </c>
      <c r="EP54" s="48">
        <v>-85.197999999999993</v>
      </c>
      <c r="EQ54" s="49">
        <v>-0.53400000000000003</v>
      </c>
      <c r="ER54" s="48">
        <v>82.41</v>
      </c>
      <c r="ES54" s="48">
        <v>0.77400000000000002</v>
      </c>
      <c r="ET54" s="48">
        <v>0.85299999999999998</v>
      </c>
      <c r="EU54" s="48">
        <v>0.75800000000000001</v>
      </c>
      <c r="EV54" s="48">
        <v>7.3140000000000001</v>
      </c>
      <c r="EW54" s="48">
        <v>3.738</v>
      </c>
      <c r="EX54" s="48">
        <v>-344.16</v>
      </c>
      <c r="EY54" s="49">
        <v>2.4609999999999999</v>
      </c>
      <c r="EZ54" s="49">
        <v>0</v>
      </c>
      <c r="FA54" s="49">
        <v>0</v>
      </c>
      <c r="FB54" s="48">
        <v>3.9319999999999999</v>
      </c>
      <c r="FC54" s="48">
        <v>58.780999999999999</v>
      </c>
      <c r="FD54" s="48">
        <v>37.957999999999998</v>
      </c>
      <c r="FE54" s="48">
        <v>61.143999999999998</v>
      </c>
      <c r="FF54" s="48">
        <v>37.308999999999997</v>
      </c>
      <c r="FG54" s="48">
        <v>0.98799999999999999</v>
      </c>
      <c r="FH54" s="48">
        <v>0.98799999999999999</v>
      </c>
      <c r="FI54" s="49">
        <v>1.0009999999999999</v>
      </c>
      <c r="FJ54" s="49">
        <v>0.999</v>
      </c>
      <c r="FK54" s="49">
        <v>0.79900000000000004</v>
      </c>
      <c r="FL54" s="48">
        <v>82</v>
      </c>
      <c r="FM54" s="48">
        <v>2.61</v>
      </c>
      <c r="FN54" s="49">
        <v>0.51</v>
      </c>
      <c r="FO54" s="49">
        <v>1.55</v>
      </c>
      <c r="FP54" s="49">
        <v>2.2999999999999998</v>
      </c>
      <c r="FQ54" s="48">
        <v>4.75</v>
      </c>
      <c r="FR54" s="48">
        <v>5.3</v>
      </c>
      <c r="FS54" s="48">
        <v>6.7859999999999996</v>
      </c>
      <c r="FT54" s="48">
        <v>1056.9000000000001</v>
      </c>
      <c r="FU54" s="48">
        <v>6.33</v>
      </c>
      <c r="FV54" s="48">
        <v>5.61</v>
      </c>
      <c r="FW54" s="49">
        <v>16383.5</v>
      </c>
      <c r="FX54" s="48">
        <v>166700</v>
      </c>
      <c r="FY54" s="48">
        <v>166900</v>
      </c>
      <c r="FZ54" s="49">
        <v>45.276000000000003</v>
      </c>
      <c r="GA54" s="49">
        <v>43.548999999999999</v>
      </c>
      <c r="GB54" s="48">
        <v>2109.4</v>
      </c>
      <c r="GC54" s="48">
        <v>2107.1999999999998</v>
      </c>
      <c r="GD54" s="49">
        <v>2311</v>
      </c>
      <c r="GE54" s="48">
        <v>2134.5</v>
      </c>
      <c r="GF54" s="49">
        <v>1444.5313000000001</v>
      </c>
      <c r="GG54" s="49">
        <v>41</v>
      </c>
      <c r="GH54" s="49">
        <v>41.5</v>
      </c>
      <c r="GI54" s="49">
        <v>73.599999999999994</v>
      </c>
      <c r="GJ54" s="49">
        <v>74.099999999999994</v>
      </c>
      <c r="GK54" s="49">
        <v>53.5</v>
      </c>
      <c r="GL54" s="48">
        <v>112.7</v>
      </c>
      <c r="GM54" s="49">
        <v>0</v>
      </c>
      <c r="GN54" s="48">
        <v>20.61</v>
      </c>
      <c r="GO54" s="48">
        <v>85.197999999999993</v>
      </c>
      <c r="GP54" s="49">
        <v>0</v>
      </c>
      <c r="GQ54" s="48">
        <v>5.1920000000000002</v>
      </c>
      <c r="GR54" s="49">
        <v>0</v>
      </c>
      <c r="GS54" s="48">
        <v>4.8970000000000002</v>
      </c>
      <c r="GT54" s="49">
        <v>0</v>
      </c>
      <c r="GU54" s="48">
        <v>4.3659999999999997</v>
      </c>
      <c r="GV54" s="49">
        <v>0</v>
      </c>
      <c r="GW54" s="48">
        <v>7.085</v>
      </c>
      <c r="GX54" s="49">
        <v>24.99</v>
      </c>
      <c r="GY54" s="49">
        <v>0</v>
      </c>
      <c r="GZ54" s="49">
        <v>0</v>
      </c>
      <c r="HA54" s="49">
        <v>0</v>
      </c>
      <c r="HB54" s="49">
        <v>1</v>
      </c>
      <c r="HC54" s="48">
        <v>31.678000000000001</v>
      </c>
      <c r="HD54" s="48">
        <v>86</v>
      </c>
      <c r="HE54" s="49">
        <v>0</v>
      </c>
      <c r="HF54" s="49">
        <v>0</v>
      </c>
      <c r="HG54" s="49">
        <v>88.02</v>
      </c>
      <c r="HH54" s="49">
        <v>81.52</v>
      </c>
      <c r="HI54" s="49">
        <v>0</v>
      </c>
      <c r="HJ54" s="49">
        <v>0</v>
      </c>
      <c r="HK54" s="49">
        <v>0</v>
      </c>
      <c r="HL54" s="49">
        <v>53</v>
      </c>
      <c r="HM54" s="49">
        <v>50</v>
      </c>
      <c r="HN54" s="48">
        <v>56</v>
      </c>
      <c r="HO54" s="48">
        <v>49</v>
      </c>
      <c r="HP54" s="48">
        <v>52</v>
      </c>
      <c r="HQ54" s="48">
        <v>50</v>
      </c>
      <c r="HR54" s="48">
        <v>47</v>
      </c>
      <c r="HS54" s="49">
        <v>62</v>
      </c>
      <c r="HT54" s="48">
        <v>-0.1225</v>
      </c>
      <c r="HU54" s="49">
        <v>0</v>
      </c>
      <c r="HV54" s="48">
        <v>0.61299999999999999</v>
      </c>
      <c r="HW54" s="49">
        <v>36.25</v>
      </c>
      <c r="HX54" s="48">
        <v>50.08</v>
      </c>
      <c r="HY54" s="3"/>
      <c r="HZ54" s="3"/>
      <c r="IA54" s="48">
        <v>2.6179999999999999</v>
      </c>
      <c r="IB54" s="48">
        <v>78</v>
      </c>
      <c r="IC54" s="48">
        <v>14.589</v>
      </c>
      <c r="ID54" s="49">
        <v>-8.8999999999999996E-2</v>
      </c>
      <c r="IE54" s="49">
        <v>-0.05</v>
      </c>
      <c r="IF54" s="49">
        <v>806.5</v>
      </c>
      <c r="IG54" s="48">
        <v>357.1</v>
      </c>
      <c r="IH54" s="49">
        <v>844.2</v>
      </c>
      <c r="II54" s="48">
        <v>374.1</v>
      </c>
      <c r="IJ54" s="49">
        <v>-7.0000000000000007E-2</v>
      </c>
      <c r="IK54" s="49">
        <v>-6.3E-2</v>
      </c>
      <c r="IL54" s="49">
        <v>2023.8969999999999</v>
      </c>
      <c r="IM54" s="49">
        <v>2023.8969999999999</v>
      </c>
      <c r="IN54" s="48">
        <v>17.010999999999999</v>
      </c>
      <c r="IO54" s="48">
        <v>0.126</v>
      </c>
      <c r="IP54" s="49">
        <v>12.45</v>
      </c>
      <c r="IQ54" s="49">
        <v>1.0999999999999999E-2</v>
      </c>
      <c r="IR54" s="49">
        <v>2.4E-2</v>
      </c>
      <c r="IS54">
        <v>-0.52300000000000002</v>
      </c>
      <c r="IT54">
        <v>0.252</v>
      </c>
    </row>
    <row r="55" spans="1:254" x14ac:dyDescent="0.25">
      <c r="B55" s="2" t="s">
        <v>407</v>
      </c>
      <c r="C55" s="58" t="s">
        <v>42</v>
      </c>
      <c r="D55" s="59">
        <v>2.4646990740740744E-3</v>
      </c>
      <c r="E55" s="48">
        <v>212.95</v>
      </c>
      <c r="F55" s="49">
        <v>329.54</v>
      </c>
      <c r="G55" s="49">
        <v>5.94</v>
      </c>
      <c r="H55" s="48">
        <v>23.6</v>
      </c>
      <c r="I55" s="49">
        <v>0</v>
      </c>
      <c r="J55" s="48">
        <v>13.2</v>
      </c>
      <c r="K55" s="49">
        <v>6</v>
      </c>
      <c r="L55" s="49">
        <v>4</v>
      </c>
      <c r="M55" s="49">
        <v>4</v>
      </c>
      <c r="N55" s="49">
        <v>3</v>
      </c>
      <c r="O55" s="49">
        <v>3</v>
      </c>
      <c r="P55" s="48">
        <v>0.98099999999999998</v>
      </c>
      <c r="Q55" s="49">
        <v>1.7529999999999999</v>
      </c>
      <c r="R55" s="48">
        <v>1.0389999999999999</v>
      </c>
      <c r="S55" s="48">
        <v>0.67100000000000004</v>
      </c>
      <c r="T55" s="49">
        <v>71.92</v>
      </c>
      <c r="U55" s="48">
        <v>60.457000000000001</v>
      </c>
      <c r="V55" s="48">
        <v>235</v>
      </c>
      <c r="W55" s="48">
        <v>233.34</v>
      </c>
      <c r="X55" s="48">
        <v>223.34</v>
      </c>
      <c r="Y55" s="48">
        <v>243.34</v>
      </c>
      <c r="Z55" s="49">
        <v>412.91</v>
      </c>
      <c r="AA55" s="49">
        <v>402.83</v>
      </c>
      <c r="AB55" s="49">
        <v>377.4</v>
      </c>
      <c r="AC55" s="49">
        <v>394.87</v>
      </c>
      <c r="AD55" s="48">
        <v>1.8260000000000001</v>
      </c>
      <c r="AE55" s="48">
        <v>1.8720000000000001</v>
      </c>
      <c r="AF55" s="48">
        <v>1.8180000000000001</v>
      </c>
      <c r="AG55" s="48">
        <v>1.847</v>
      </c>
      <c r="AH55" s="48">
        <v>75.39</v>
      </c>
      <c r="AI55" s="48">
        <v>70.42</v>
      </c>
      <c r="AJ55" s="48">
        <v>96.39</v>
      </c>
      <c r="AK55" s="48">
        <v>92.66</v>
      </c>
      <c r="AL55" s="49">
        <v>631.38</v>
      </c>
      <c r="AM55" s="49">
        <v>676.81399999999996</v>
      </c>
      <c r="AN55" s="49">
        <v>746.98299999999995</v>
      </c>
      <c r="AO55" s="49">
        <v>739.76700000000005</v>
      </c>
      <c r="AP55" s="48">
        <v>2.544</v>
      </c>
      <c r="AQ55" s="48">
        <v>1.881</v>
      </c>
      <c r="AR55" s="48">
        <v>41.578000000000003</v>
      </c>
      <c r="AS55" s="48">
        <v>37.036999999999999</v>
      </c>
      <c r="AT55" s="49">
        <v>82</v>
      </c>
      <c r="AU55" s="48">
        <v>100</v>
      </c>
      <c r="AV55" s="48">
        <v>2.8075000000000001</v>
      </c>
      <c r="AW55" s="49">
        <v>5.4217000000000004</v>
      </c>
      <c r="AX55" s="48">
        <v>991.1</v>
      </c>
      <c r="AY55" s="48">
        <v>1.1000000000000001</v>
      </c>
      <c r="AZ55" s="48">
        <v>5.17</v>
      </c>
      <c r="BA55" s="48">
        <v>86.869</v>
      </c>
      <c r="BB55" s="48">
        <v>87.156999999999996</v>
      </c>
      <c r="BC55" s="49">
        <v>7691</v>
      </c>
      <c r="BD55" s="48">
        <v>88.75</v>
      </c>
      <c r="BE55" s="48">
        <v>24.195</v>
      </c>
      <c r="BF55" s="48">
        <v>13.91</v>
      </c>
      <c r="BG55" s="49">
        <v>29.6</v>
      </c>
      <c r="BH55" s="48">
        <v>30.18</v>
      </c>
      <c r="BI55" s="3"/>
      <c r="BJ55" s="3"/>
      <c r="BK55" s="3"/>
      <c r="BL55" s="3"/>
      <c r="BM55" s="3"/>
      <c r="BN55" s="48">
        <v>87.656000000000006</v>
      </c>
      <c r="BO55" s="48">
        <v>87.48</v>
      </c>
      <c r="BP55" s="48">
        <v>119.416</v>
      </c>
      <c r="BQ55" s="48">
        <v>123.432</v>
      </c>
      <c r="BR55" s="3"/>
      <c r="BS55" s="48">
        <v>23.3</v>
      </c>
      <c r="BT55" s="48">
        <v>7386.9189999999999</v>
      </c>
      <c r="BU55" s="48">
        <v>79.38</v>
      </c>
      <c r="BV55" s="48">
        <v>63.000999999999998</v>
      </c>
      <c r="BW55" s="48">
        <v>61.411000000000001</v>
      </c>
      <c r="BX55" s="48">
        <v>65.39</v>
      </c>
      <c r="BY55" s="49">
        <v>1.548</v>
      </c>
      <c r="BZ55" s="49">
        <v>2.6579999999999999</v>
      </c>
      <c r="CA55" s="49">
        <v>3.641</v>
      </c>
      <c r="CB55" s="48">
        <v>3.2810000000000001</v>
      </c>
      <c r="CC55" s="49">
        <v>5.8390000000000004</v>
      </c>
      <c r="CD55" s="49">
        <v>2.492</v>
      </c>
      <c r="CE55" s="48">
        <v>3.7450000000000001</v>
      </c>
      <c r="CF55" s="48">
        <v>2.1360000000000001</v>
      </c>
      <c r="CG55" s="48">
        <v>13.254</v>
      </c>
      <c r="CH55" s="48">
        <v>12.984999999999999</v>
      </c>
      <c r="CI55" s="48">
        <v>5.7889999999999997</v>
      </c>
      <c r="CJ55" s="48">
        <v>4.8849999999999998</v>
      </c>
      <c r="CK55" s="49">
        <v>1.651</v>
      </c>
      <c r="CL55" s="49">
        <v>0.1</v>
      </c>
      <c r="CM55" s="48">
        <v>0.5</v>
      </c>
      <c r="CN55" s="49">
        <v>0</v>
      </c>
      <c r="CO55" s="49">
        <v>0</v>
      </c>
      <c r="CP55" s="48">
        <v>80.051000000000002</v>
      </c>
      <c r="CQ55" s="48">
        <v>80.790999999999997</v>
      </c>
      <c r="CR55" s="48">
        <v>105.57599999999999</v>
      </c>
      <c r="CS55" s="48">
        <v>110.78700000000001</v>
      </c>
      <c r="CT55" s="49">
        <v>0.41399999999999998</v>
      </c>
      <c r="CU55" s="48">
        <v>0.90200000000000002</v>
      </c>
      <c r="CV55" s="48">
        <v>0.89800000000000002</v>
      </c>
      <c r="CW55" s="48">
        <v>0.80100000000000005</v>
      </c>
      <c r="CX55" s="48">
        <v>1.7010000000000001</v>
      </c>
      <c r="CY55" s="49">
        <v>0.9</v>
      </c>
      <c r="CZ55" s="48">
        <v>0.90100000000000002</v>
      </c>
      <c r="DA55" s="48">
        <v>0.90200000000000002</v>
      </c>
      <c r="DB55" s="49">
        <v>1.903</v>
      </c>
      <c r="DC55" s="49">
        <v>0</v>
      </c>
      <c r="DD55" s="49">
        <v>0</v>
      </c>
      <c r="DE55" s="49">
        <v>0.373</v>
      </c>
      <c r="DF55" s="49">
        <v>0.156</v>
      </c>
      <c r="DG55" s="49">
        <v>1.1879999999999999</v>
      </c>
      <c r="DH55" s="49">
        <v>3.0310000000000001</v>
      </c>
      <c r="DI55" s="49">
        <v>1.466</v>
      </c>
      <c r="DJ55" s="49">
        <v>0.28399999999999997</v>
      </c>
      <c r="DK55" s="49">
        <v>1.2190000000000001</v>
      </c>
      <c r="DL55" s="48">
        <v>0.60899999999999999</v>
      </c>
      <c r="DM55" s="48">
        <v>0.76400000000000001</v>
      </c>
      <c r="DN55" s="48">
        <v>0.77300000000000002</v>
      </c>
      <c r="DO55" s="48">
        <v>0.71099999999999997</v>
      </c>
      <c r="DP55" s="48">
        <v>70.319000000000003</v>
      </c>
      <c r="DQ55" s="48">
        <v>62.597000000000001</v>
      </c>
      <c r="DR55" s="48">
        <v>55.57</v>
      </c>
      <c r="DS55" s="48">
        <v>53.18</v>
      </c>
      <c r="DT55" s="49">
        <v>6.33</v>
      </c>
      <c r="DU55" s="49">
        <v>6.82</v>
      </c>
      <c r="DV55" s="49">
        <v>17.39</v>
      </c>
      <c r="DW55" s="49">
        <v>14.16</v>
      </c>
      <c r="DX55" s="49">
        <v>7.1</v>
      </c>
      <c r="DY55" s="49">
        <v>7.29</v>
      </c>
      <c r="DZ55" s="49">
        <v>16.79</v>
      </c>
      <c r="EA55" s="49">
        <v>13.85</v>
      </c>
      <c r="EB55" s="49">
        <v>42.73</v>
      </c>
      <c r="EC55" s="49">
        <v>40.75</v>
      </c>
      <c r="ED55" s="49">
        <v>30.79</v>
      </c>
      <c r="EE55" s="49">
        <v>33.909999999999997</v>
      </c>
      <c r="EF55" s="48">
        <v>43.84</v>
      </c>
      <c r="EG55" s="48">
        <v>45.14</v>
      </c>
      <c r="EH55" s="48">
        <v>35.03</v>
      </c>
      <c r="EI55" s="48">
        <v>38.08</v>
      </c>
      <c r="EJ55" s="48">
        <v>6.0119999999999996</v>
      </c>
      <c r="EK55" s="48">
        <v>63.679000000000002</v>
      </c>
      <c r="EL55" s="48">
        <v>0.9</v>
      </c>
      <c r="EM55" s="48">
        <v>0.55000000000000004</v>
      </c>
      <c r="EN55" s="48">
        <v>1.19</v>
      </c>
      <c r="EO55" s="48">
        <v>1.18</v>
      </c>
      <c r="EP55" s="48">
        <v>-106.514</v>
      </c>
      <c r="EQ55" s="48">
        <v>-2.806</v>
      </c>
      <c r="ER55" s="48">
        <v>104.018</v>
      </c>
      <c r="ES55" s="49">
        <v>1.276</v>
      </c>
      <c r="ET55" s="49">
        <v>1.4410000000000001</v>
      </c>
      <c r="EU55" s="49">
        <v>1.27</v>
      </c>
      <c r="EV55" s="49">
        <v>7.5209999999999999</v>
      </c>
      <c r="EW55" s="49">
        <v>4.0970000000000004</v>
      </c>
      <c r="EX55" s="49">
        <v>74.42</v>
      </c>
      <c r="EY55" s="48">
        <v>0.02</v>
      </c>
      <c r="EZ55" s="49">
        <v>0</v>
      </c>
      <c r="FA55" s="49">
        <v>0</v>
      </c>
      <c r="FB55" s="48">
        <v>8.44</v>
      </c>
      <c r="FC55" s="48">
        <v>65.55</v>
      </c>
      <c r="FD55" s="48">
        <v>63.597000000000001</v>
      </c>
      <c r="FE55" s="48">
        <v>73.772000000000006</v>
      </c>
      <c r="FF55" s="48">
        <v>71.819000000000003</v>
      </c>
      <c r="FG55" s="48">
        <v>0.90900000000000003</v>
      </c>
      <c r="FH55" s="48">
        <v>0.90800000000000003</v>
      </c>
      <c r="FI55" s="48">
        <v>0.98499999999999999</v>
      </c>
      <c r="FJ55" s="48">
        <v>0.98099999999999998</v>
      </c>
      <c r="FK55" s="48">
        <v>0</v>
      </c>
      <c r="FL55" s="49">
        <v>83</v>
      </c>
      <c r="FM55" s="48">
        <v>2.68</v>
      </c>
      <c r="FN55" s="48">
        <v>1.2</v>
      </c>
      <c r="FO55" s="48">
        <v>5.08</v>
      </c>
      <c r="FP55" s="3"/>
      <c r="FQ55" s="48">
        <v>4.55</v>
      </c>
      <c r="FR55" s="48">
        <v>5.15</v>
      </c>
      <c r="FS55" s="48">
        <v>6.7480000000000002</v>
      </c>
      <c r="FT55" s="48">
        <v>1064.3</v>
      </c>
      <c r="FU55" s="48">
        <v>7.2</v>
      </c>
      <c r="FV55" s="48">
        <v>11.55</v>
      </c>
      <c r="FW55" s="48">
        <v>3036</v>
      </c>
      <c r="FX55" s="48">
        <v>164900</v>
      </c>
      <c r="FY55" s="48">
        <v>163500</v>
      </c>
      <c r="FZ55" s="48">
        <v>44.670999999999999</v>
      </c>
      <c r="GA55" s="48">
        <v>42.817999999999998</v>
      </c>
      <c r="GB55" s="49">
        <v>2305.5</v>
      </c>
      <c r="GC55" s="48">
        <v>2102.9</v>
      </c>
      <c r="GD55" s="48">
        <v>2305.5</v>
      </c>
      <c r="GE55" s="49">
        <v>2147.1</v>
      </c>
      <c r="GF55" s="48">
        <v>1422.7344000000001</v>
      </c>
      <c r="GG55" s="48">
        <v>28</v>
      </c>
      <c r="GH55" s="48">
        <v>27.9</v>
      </c>
      <c r="GI55" s="48">
        <v>48.2</v>
      </c>
      <c r="GJ55" s="48">
        <v>52.2</v>
      </c>
      <c r="GK55" s="48">
        <v>67</v>
      </c>
      <c r="GL55" s="49">
        <v>122.8</v>
      </c>
      <c r="GM55" s="49">
        <v>0</v>
      </c>
      <c r="GN55" s="48">
        <v>22.074000000000002</v>
      </c>
      <c r="GO55" s="48">
        <v>106.514</v>
      </c>
      <c r="GP55" s="48">
        <v>0.35399999999999998</v>
      </c>
      <c r="GQ55" s="48">
        <v>1.7110000000000001</v>
      </c>
      <c r="GR55" s="48">
        <v>0.53100000000000003</v>
      </c>
      <c r="GS55" s="48">
        <v>1.829</v>
      </c>
      <c r="GT55" s="48">
        <v>0.53100000000000003</v>
      </c>
      <c r="GU55" s="48">
        <v>1.7110000000000001</v>
      </c>
      <c r="GV55" s="48">
        <v>11.956</v>
      </c>
      <c r="GW55" s="49">
        <v>13.672000000000001</v>
      </c>
      <c r="GX55" s="48">
        <v>15.875999999999999</v>
      </c>
      <c r="GY55" s="49">
        <v>0</v>
      </c>
      <c r="GZ55" s="49">
        <v>0</v>
      </c>
      <c r="HA55" s="49">
        <v>0</v>
      </c>
      <c r="HB55" s="48">
        <v>0</v>
      </c>
      <c r="HC55" s="49">
        <v>56.475999999999999</v>
      </c>
      <c r="HD55" s="48">
        <v>90</v>
      </c>
      <c r="HE55" s="49">
        <v>0</v>
      </c>
      <c r="HF55" s="49">
        <v>0</v>
      </c>
      <c r="HG55" s="48">
        <v>74.7</v>
      </c>
      <c r="HH55" s="48">
        <v>79.290000000000006</v>
      </c>
      <c r="HI55" s="49">
        <v>0</v>
      </c>
      <c r="HJ55" s="49">
        <v>0</v>
      </c>
      <c r="HK55" s="49">
        <v>0</v>
      </c>
      <c r="HL55" s="48">
        <v>49</v>
      </c>
      <c r="HM55" s="48">
        <v>49</v>
      </c>
      <c r="HN55" s="48">
        <v>57</v>
      </c>
      <c r="HO55" s="48">
        <v>51</v>
      </c>
      <c r="HP55" s="48">
        <v>54</v>
      </c>
      <c r="HQ55" s="48">
        <v>53</v>
      </c>
      <c r="HR55" s="48">
        <v>47</v>
      </c>
      <c r="HS55" s="49">
        <v>62</v>
      </c>
      <c r="HT55" s="48">
        <v>-0.17</v>
      </c>
      <c r="HU55" s="49">
        <v>0</v>
      </c>
      <c r="HV55" s="49">
        <v>1.5069999999999999</v>
      </c>
      <c r="HW55" s="49">
        <v>36.25</v>
      </c>
      <c r="HX55" s="49">
        <v>49.26</v>
      </c>
      <c r="HY55" s="49">
        <v>50.74</v>
      </c>
      <c r="HZ55" s="49">
        <v>50.74</v>
      </c>
      <c r="IA55" s="49">
        <v>2.7679999999999998</v>
      </c>
      <c r="IB55" s="49">
        <v>102</v>
      </c>
      <c r="IC55" s="49">
        <v>20.814</v>
      </c>
      <c r="ID55" s="48">
        <v>-0.29799999999999999</v>
      </c>
      <c r="IE55" s="48">
        <v>-0.13500000000000001</v>
      </c>
      <c r="IF55" s="48">
        <v>788</v>
      </c>
      <c r="IG55" s="49">
        <v>744.5</v>
      </c>
      <c r="IH55" s="48">
        <v>822.3</v>
      </c>
      <c r="II55" s="49">
        <v>772.2</v>
      </c>
      <c r="IJ55" s="48">
        <v>-0.26900000000000002</v>
      </c>
      <c r="IK55" s="48">
        <v>-0.27300000000000002</v>
      </c>
      <c r="IL55" s="48">
        <v>71.126999999999995</v>
      </c>
      <c r="IM55" s="48">
        <v>71.126999999999995</v>
      </c>
      <c r="IN55" s="48">
        <v>27.753</v>
      </c>
      <c r="IO55" s="49">
        <v>0.44900000000000001</v>
      </c>
      <c r="IP55" s="48">
        <v>11.86</v>
      </c>
      <c r="IQ55" s="48">
        <v>6.0000000000000001E-3</v>
      </c>
      <c r="IR55" s="48">
        <v>8.9999999999999993E-3</v>
      </c>
      <c r="IS55">
        <v>-0.51700000000000002</v>
      </c>
      <c r="IT55">
        <v>0.26100000000000001</v>
      </c>
    </row>
    <row r="56" spans="1:254" x14ac:dyDescent="0.25">
      <c r="B56" s="2" t="s">
        <v>407</v>
      </c>
      <c r="C56" s="2" t="s">
        <v>43</v>
      </c>
      <c r="D56" s="57">
        <v>3.264351851851852E-3</v>
      </c>
      <c r="E56" s="48">
        <v>282.04000000000002</v>
      </c>
      <c r="F56" s="48">
        <v>328.24</v>
      </c>
      <c r="G56" s="48">
        <v>-11.55</v>
      </c>
      <c r="H56" s="48">
        <v>24</v>
      </c>
      <c r="I56" s="49">
        <v>0</v>
      </c>
      <c r="J56" s="48">
        <v>56.8</v>
      </c>
      <c r="K56" s="49">
        <v>6</v>
      </c>
      <c r="L56" s="49">
        <v>4</v>
      </c>
      <c r="M56" s="49">
        <v>4</v>
      </c>
      <c r="N56" s="49">
        <v>3</v>
      </c>
      <c r="O56" s="49">
        <v>3</v>
      </c>
      <c r="P56" s="48">
        <v>0.83099999999999996</v>
      </c>
      <c r="Q56" s="48">
        <v>1.6220000000000001</v>
      </c>
      <c r="R56" s="48">
        <v>0.81100000000000005</v>
      </c>
      <c r="S56" s="48">
        <v>0.57799999999999996</v>
      </c>
      <c r="T56" s="48">
        <v>70.180000000000007</v>
      </c>
      <c r="U56" s="49">
        <v>60.463000000000001</v>
      </c>
      <c r="V56" s="48">
        <v>258.33999999999997</v>
      </c>
      <c r="W56" s="48">
        <v>258.33999999999997</v>
      </c>
      <c r="X56" s="48">
        <v>261.66000000000003</v>
      </c>
      <c r="Y56" s="48">
        <v>276.66000000000003</v>
      </c>
      <c r="Z56" s="48">
        <v>408.75</v>
      </c>
      <c r="AA56" s="48">
        <v>402.5</v>
      </c>
      <c r="AB56" s="48">
        <v>369.9</v>
      </c>
      <c r="AC56" s="48">
        <v>379.79</v>
      </c>
      <c r="AD56" s="49">
        <v>1.84</v>
      </c>
      <c r="AE56" s="49">
        <v>1.885</v>
      </c>
      <c r="AF56" s="49">
        <v>1.871</v>
      </c>
      <c r="AG56" s="49">
        <v>1.899</v>
      </c>
      <c r="AH56" s="49">
        <v>76.92</v>
      </c>
      <c r="AI56" s="49">
        <v>71.97</v>
      </c>
      <c r="AJ56" s="49">
        <v>102.3</v>
      </c>
      <c r="AK56" s="49">
        <v>98.51</v>
      </c>
      <c r="AL56" s="48">
        <v>628.15499999999997</v>
      </c>
      <c r="AM56" s="48">
        <v>660.06500000000005</v>
      </c>
      <c r="AN56" s="48">
        <v>728.95</v>
      </c>
      <c r="AO56" s="48">
        <v>727.096</v>
      </c>
      <c r="AP56" s="48">
        <v>2.5379999999999998</v>
      </c>
      <c r="AQ56" s="48">
        <v>1.853</v>
      </c>
      <c r="AR56" s="48">
        <v>42.805</v>
      </c>
      <c r="AS56" s="49">
        <v>39.167999999999999</v>
      </c>
      <c r="AT56" s="49">
        <v>82</v>
      </c>
      <c r="AU56" s="49">
        <v>105</v>
      </c>
      <c r="AV56" s="49">
        <v>2.7705000000000002</v>
      </c>
      <c r="AW56" s="48">
        <v>5.2302999999999997</v>
      </c>
      <c r="AX56" s="48">
        <v>999.3</v>
      </c>
      <c r="AY56" s="49">
        <v>1.19</v>
      </c>
      <c r="AZ56" s="48">
        <v>5.43</v>
      </c>
      <c r="BA56" s="48">
        <v>66.796999999999997</v>
      </c>
      <c r="BB56" s="48">
        <v>66.5</v>
      </c>
      <c r="BC56" s="48">
        <v>7650</v>
      </c>
      <c r="BD56" s="48">
        <v>87.75</v>
      </c>
      <c r="BE56" s="49">
        <v>24.61</v>
      </c>
      <c r="BF56" s="49">
        <v>14.4</v>
      </c>
      <c r="BG56" s="48">
        <v>27.69</v>
      </c>
      <c r="BH56" s="49">
        <v>30.72</v>
      </c>
      <c r="BI56" s="49">
        <v>68.057000000000002</v>
      </c>
      <c r="BJ56" s="49">
        <v>82.64</v>
      </c>
      <c r="BK56" s="49">
        <v>66.515000000000001</v>
      </c>
      <c r="BL56" s="49">
        <v>80.480999999999995</v>
      </c>
      <c r="BM56" s="49">
        <v>80.137</v>
      </c>
      <c r="BN56" s="49">
        <v>112.72799999999999</v>
      </c>
      <c r="BO56" s="49">
        <v>114.08799999999999</v>
      </c>
      <c r="BP56" s="49">
        <v>138.232</v>
      </c>
      <c r="BQ56" s="49">
        <v>138.232</v>
      </c>
      <c r="BR56" s="49">
        <v>59.795000000000002</v>
      </c>
      <c r="BS56" s="48">
        <v>23.4</v>
      </c>
      <c r="BT56" s="49">
        <v>7393.3040000000001</v>
      </c>
      <c r="BU56" s="48">
        <v>82.921000000000006</v>
      </c>
      <c r="BV56" s="48">
        <v>63.981000000000002</v>
      </c>
      <c r="BW56" s="48">
        <v>62.158999999999999</v>
      </c>
      <c r="BX56" s="49">
        <v>65.438999999999993</v>
      </c>
      <c r="BY56" s="48">
        <v>1.494</v>
      </c>
      <c r="BZ56" s="48">
        <v>2.585</v>
      </c>
      <c r="CA56" s="48">
        <v>3.4609999999999999</v>
      </c>
      <c r="CB56" s="49">
        <v>3.5059999999999998</v>
      </c>
      <c r="CC56" s="48">
        <v>5.7130000000000001</v>
      </c>
      <c r="CD56" s="48">
        <v>2.41</v>
      </c>
      <c r="CE56" s="48">
        <v>3.8250000000000002</v>
      </c>
      <c r="CF56" s="48">
        <v>2.101</v>
      </c>
      <c r="CG56" s="49">
        <v>13.305</v>
      </c>
      <c r="CH56" s="48">
        <v>12.891</v>
      </c>
      <c r="CI56" s="3"/>
      <c r="CJ56" s="3"/>
      <c r="CK56" s="3"/>
      <c r="CL56" s="49">
        <v>0.1</v>
      </c>
      <c r="CM56" s="49">
        <v>1</v>
      </c>
      <c r="CN56" s="49">
        <v>0</v>
      </c>
      <c r="CO56" s="49">
        <v>0</v>
      </c>
      <c r="CP56" s="49">
        <v>90.712999999999994</v>
      </c>
      <c r="CQ56" s="49">
        <v>91.259</v>
      </c>
      <c r="CR56" s="49">
        <v>124.676</v>
      </c>
      <c r="CS56" s="49">
        <v>127.163</v>
      </c>
      <c r="CT56" s="48">
        <v>0.41299999999999998</v>
      </c>
      <c r="CU56" s="48">
        <v>1.0980000000000001</v>
      </c>
      <c r="CV56" s="48">
        <v>0.7</v>
      </c>
      <c r="CW56" s="49">
        <v>1.4</v>
      </c>
      <c r="CX56" s="48">
        <v>1.6950000000000001</v>
      </c>
      <c r="CY56" s="48">
        <v>0.79800000000000004</v>
      </c>
      <c r="CZ56" s="48">
        <v>0.998</v>
      </c>
      <c r="DA56" s="48">
        <v>1.1020000000000001</v>
      </c>
      <c r="DB56" s="48">
        <v>0.998</v>
      </c>
      <c r="DC56" s="49">
        <v>0</v>
      </c>
      <c r="DD56" s="49">
        <v>0</v>
      </c>
      <c r="DE56" s="48">
        <v>0.24299999999999999</v>
      </c>
      <c r="DF56" s="48">
        <v>0.127</v>
      </c>
      <c r="DG56" s="48">
        <v>0.61299999999999999</v>
      </c>
      <c r="DH56" s="48">
        <v>2.048</v>
      </c>
      <c r="DI56" s="48">
        <v>1.137</v>
      </c>
      <c r="DJ56" s="48">
        <v>0.21099999999999999</v>
      </c>
      <c r="DK56" s="48">
        <v>1.1990000000000001</v>
      </c>
      <c r="DL56" s="49">
        <v>0.61199999999999999</v>
      </c>
      <c r="DM56" s="48">
        <v>0.77600000000000002</v>
      </c>
      <c r="DN56" s="49">
        <v>0.80400000000000005</v>
      </c>
      <c r="DO56" s="48">
        <v>0.70299999999999996</v>
      </c>
      <c r="DP56" s="49">
        <v>71.040999999999997</v>
      </c>
      <c r="DQ56" s="48">
        <v>63.421999999999997</v>
      </c>
      <c r="DR56" s="48">
        <v>54.445</v>
      </c>
      <c r="DS56" s="49">
        <v>55.478999999999999</v>
      </c>
      <c r="DT56" s="48">
        <v>4.92</v>
      </c>
      <c r="DU56" s="48">
        <v>5.27</v>
      </c>
      <c r="DV56" s="48">
        <v>14.17</v>
      </c>
      <c r="DW56" s="48">
        <v>11.18</v>
      </c>
      <c r="DX56" s="48">
        <v>5.54</v>
      </c>
      <c r="DY56" s="48">
        <v>5.78</v>
      </c>
      <c r="DZ56" s="48">
        <v>13.38</v>
      </c>
      <c r="EA56" s="48">
        <v>11.05</v>
      </c>
      <c r="EB56" s="48">
        <v>37.409999999999997</v>
      </c>
      <c r="EC56" s="48">
        <v>36.409999999999997</v>
      </c>
      <c r="ED56" s="48">
        <v>28.82</v>
      </c>
      <c r="EE56" s="48">
        <v>29.65</v>
      </c>
      <c r="EF56" s="48">
        <v>52.14</v>
      </c>
      <c r="EG56" s="48">
        <v>52.54</v>
      </c>
      <c r="EH56" s="48">
        <v>43.63</v>
      </c>
      <c r="EI56" s="48">
        <v>48.12</v>
      </c>
      <c r="EJ56" s="48">
        <v>6.1959999999999997</v>
      </c>
      <c r="EK56" s="49">
        <v>63.737000000000002</v>
      </c>
      <c r="EL56" s="49">
        <v>0.95</v>
      </c>
      <c r="EM56" s="48">
        <v>0.55000000000000004</v>
      </c>
      <c r="EN56" s="49">
        <v>1.29</v>
      </c>
      <c r="EO56" s="49">
        <v>1.31</v>
      </c>
      <c r="EP56" s="49">
        <v>-107.098</v>
      </c>
      <c r="EQ56" s="48">
        <v>-2.1309999999999998</v>
      </c>
      <c r="ER56" s="49">
        <v>109.858</v>
      </c>
      <c r="ES56" s="48">
        <v>1.2490000000000001</v>
      </c>
      <c r="ET56" s="48">
        <v>1.3759999999999999</v>
      </c>
      <c r="EU56" s="48">
        <v>1.254</v>
      </c>
      <c r="EV56" s="48">
        <v>7.468</v>
      </c>
      <c r="EW56" s="48">
        <v>4.0259999999999998</v>
      </c>
      <c r="EX56" s="48">
        <v>72.38</v>
      </c>
      <c r="EY56" s="48">
        <v>4.1000000000000002E-2</v>
      </c>
      <c r="EZ56" s="49">
        <v>0</v>
      </c>
      <c r="FA56" s="49">
        <v>0</v>
      </c>
      <c r="FB56" s="49">
        <v>8.6280000000000001</v>
      </c>
      <c r="FC56" s="49">
        <v>66.48</v>
      </c>
      <c r="FD56" s="49">
        <v>63.77</v>
      </c>
      <c r="FE56" s="49">
        <v>79.114999999999995</v>
      </c>
      <c r="FF56" s="49">
        <v>76.498000000000005</v>
      </c>
      <c r="FG56" s="49">
        <v>1.127</v>
      </c>
      <c r="FH56" s="49">
        <v>1.1519999999999999</v>
      </c>
      <c r="FI56" s="48">
        <v>0.98899999999999999</v>
      </c>
      <c r="FJ56" s="48">
        <v>0.98699999999999999</v>
      </c>
      <c r="FK56" s="48">
        <v>0</v>
      </c>
      <c r="FL56" s="49">
        <v>83</v>
      </c>
      <c r="FM56" s="49">
        <v>2.74</v>
      </c>
      <c r="FN56" s="48">
        <v>0.84</v>
      </c>
      <c r="FO56" s="48">
        <v>5.38</v>
      </c>
      <c r="FP56" s="48">
        <v>3.95</v>
      </c>
      <c r="FQ56" s="49">
        <v>4.4000000000000004</v>
      </c>
      <c r="FR56" s="49">
        <v>5.0999999999999996</v>
      </c>
      <c r="FS56" s="49">
        <v>6.8414999999999999</v>
      </c>
      <c r="FT56" s="49">
        <v>1064.7</v>
      </c>
      <c r="FU56" s="49">
        <v>7.58</v>
      </c>
      <c r="FV56" s="49">
        <v>17.38</v>
      </c>
      <c r="FW56" s="48">
        <v>3056</v>
      </c>
      <c r="FX56" s="49">
        <v>171400</v>
      </c>
      <c r="FY56" s="49">
        <v>172300</v>
      </c>
      <c r="FZ56" s="48">
        <v>44.784999999999997</v>
      </c>
      <c r="GA56" s="48">
        <v>43.021999999999998</v>
      </c>
      <c r="GB56" s="48">
        <v>2121.9</v>
      </c>
      <c r="GC56" s="49">
        <v>2122.9</v>
      </c>
      <c r="GD56" s="48">
        <v>2173</v>
      </c>
      <c r="GE56" s="48">
        <v>2139.3000000000002</v>
      </c>
      <c r="GF56" s="48">
        <v>1166.5469000000001</v>
      </c>
      <c r="GG56" s="48">
        <v>29</v>
      </c>
      <c r="GH56" s="48">
        <v>29.1</v>
      </c>
      <c r="GI56" s="48">
        <v>45.2</v>
      </c>
      <c r="GJ56" s="48">
        <v>51.1</v>
      </c>
      <c r="GK56" s="48">
        <v>79</v>
      </c>
      <c r="GL56" s="48">
        <v>111.1</v>
      </c>
      <c r="GM56" s="49">
        <v>0</v>
      </c>
      <c r="GN56" s="49">
        <v>22.1</v>
      </c>
      <c r="GO56" s="49">
        <v>109.858</v>
      </c>
      <c r="GP56" s="49">
        <v>0</v>
      </c>
      <c r="GQ56" s="49">
        <v>5.9</v>
      </c>
      <c r="GR56" s="49">
        <v>0</v>
      </c>
      <c r="GS56" s="49">
        <v>5.8410000000000002</v>
      </c>
      <c r="GT56" s="49">
        <v>0</v>
      </c>
      <c r="GU56" s="49">
        <v>5.1920000000000002</v>
      </c>
      <c r="GV56" s="49">
        <v>0</v>
      </c>
      <c r="GW56" s="48">
        <v>11.565</v>
      </c>
      <c r="GX56" s="48">
        <v>16.366</v>
      </c>
      <c r="GY56" s="49">
        <v>0</v>
      </c>
      <c r="GZ56" s="49">
        <v>0</v>
      </c>
      <c r="HA56" s="49">
        <v>0</v>
      </c>
      <c r="HB56" s="48">
        <v>0</v>
      </c>
      <c r="HC56" s="48">
        <v>50.625999999999998</v>
      </c>
      <c r="HD56" s="49">
        <v>98</v>
      </c>
      <c r="HE56" s="49">
        <v>0</v>
      </c>
      <c r="HF56" s="49">
        <v>0</v>
      </c>
      <c r="HG56" s="48">
        <v>87.89</v>
      </c>
      <c r="HH56" s="48">
        <v>80.599999999999994</v>
      </c>
      <c r="HI56" s="49">
        <v>0</v>
      </c>
      <c r="HJ56" s="49">
        <v>0</v>
      </c>
      <c r="HK56" s="49">
        <v>0</v>
      </c>
      <c r="HL56" s="48">
        <v>50</v>
      </c>
      <c r="HM56" s="48">
        <v>49</v>
      </c>
      <c r="HN56" s="49">
        <v>59</v>
      </c>
      <c r="HO56" s="49">
        <v>53</v>
      </c>
      <c r="HP56" s="49">
        <v>56</v>
      </c>
      <c r="HQ56" s="49">
        <v>54</v>
      </c>
      <c r="HR56" s="49">
        <v>49</v>
      </c>
      <c r="HS56" s="49">
        <v>62</v>
      </c>
      <c r="HT56" s="49">
        <v>-0.17549999999999999</v>
      </c>
      <c r="HU56" s="49">
        <v>0</v>
      </c>
      <c r="HV56" s="48">
        <v>1.1579999999999999</v>
      </c>
      <c r="HW56" s="48">
        <v>36.79</v>
      </c>
      <c r="HX56" s="49">
        <v>49.26</v>
      </c>
      <c r="HY56" s="3"/>
      <c r="HZ56" s="3"/>
      <c r="IA56" s="48">
        <v>2.746</v>
      </c>
      <c r="IB56" s="48">
        <v>101</v>
      </c>
      <c r="IC56" s="48">
        <v>20.483000000000001</v>
      </c>
      <c r="ID56" s="48">
        <v>-0.191</v>
      </c>
      <c r="IE56" s="48">
        <v>-7.9000000000000001E-2</v>
      </c>
      <c r="IF56" s="48">
        <v>786.6</v>
      </c>
      <c r="IG56" s="48">
        <v>698.9</v>
      </c>
      <c r="IH56" s="48">
        <v>822</v>
      </c>
      <c r="II56" s="48">
        <v>729.3</v>
      </c>
      <c r="IJ56" s="48">
        <v>-0.22900000000000001</v>
      </c>
      <c r="IK56" s="48">
        <v>-0.19600000000000001</v>
      </c>
      <c r="IL56" s="48">
        <v>122.48699999999999</v>
      </c>
      <c r="IM56" s="48">
        <v>122.48699999999999</v>
      </c>
      <c r="IN56" s="49">
        <v>30.47</v>
      </c>
      <c r="IO56" s="48">
        <v>0.26900000000000002</v>
      </c>
      <c r="IP56" s="48">
        <v>12.32</v>
      </c>
      <c r="IQ56" s="48">
        <v>0</v>
      </c>
      <c r="IR56" s="48">
        <v>0</v>
      </c>
      <c r="IS56">
        <v>-0.51700000000000002</v>
      </c>
      <c r="IT56">
        <v>0.26100000000000001</v>
      </c>
    </row>
    <row r="57" spans="1:254" x14ac:dyDescent="0.25">
      <c r="A57" s="6" t="s">
        <v>47</v>
      </c>
      <c r="IS57">
        <v>-0.51700000000000002</v>
      </c>
      <c r="IT57">
        <v>0.26100000000000001</v>
      </c>
    </row>
    <row r="58" spans="1:254" x14ac:dyDescent="0.25">
      <c r="IS58">
        <v>-0.51700000000000002</v>
      </c>
      <c r="IT58">
        <v>0.26100000000000001</v>
      </c>
    </row>
    <row r="59" spans="1:254" x14ac:dyDescent="0.25">
      <c r="IS59">
        <v>-0.51700000000000002</v>
      </c>
      <c r="IT59">
        <v>0.26100000000000001</v>
      </c>
    </row>
    <row r="60" spans="1:254" x14ac:dyDescent="0.25">
      <c r="B60" s="2" t="s">
        <v>407</v>
      </c>
      <c r="C60" s="2" t="s">
        <v>41</v>
      </c>
      <c r="D60" s="57">
        <v>3.2262731481481478E-3</v>
      </c>
      <c r="E60" s="49">
        <v>278.75200000000001</v>
      </c>
      <c r="F60" s="48">
        <v>326.52</v>
      </c>
      <c r="G60" s="48">
        <v>5.6</v>
      </c>
      <c r="H60" s="49">
        <v>24.6</v>
      </c>
      <c r="I60" s="49">
        <v>0</v>
      </c>
      <c r="J60" s="49">
        <v>42.7</v>
      </c>
      <c r="K60" s="49">
        <v>6</v>
      </c>
      <c r="L60" s="49">
        <v>4</v>
      </c>
      <c r="M60" s="49">
        <v>4</v>
      </c>
      <c r="N60" s="49">
        <v>3</v>
      </c>
      <c r="O60" s="49">
        <v>3</v>
      </c>
      <c r="P60" s="49">
        <v>1.3080000000000001</v>
      </c>
      <c r="Q60" s="49">
        <v>1.7729999999999999</v>
      </c>
      <c r="R60" s="49">
        <v>1.5289999999999999</v>
      </c>
      <c r="S60" s="49">
        <v>1.2370000000000001</v>
      </c>
      <c r="T60" s="48">
        <v>62.68</v>
      </c>
      <c r="U60" s="48">
        <v>60.530999999999999</v>
      </c>
      <c r="V60" s="49">
        <v>160</v>
      </c>
      <c r="W60" s="49">
        <v>162.5</v>
      </c>
      <c r="X60" s="49">
        <v>170</v>
      </c>
      <c r="Y60" s="49">
        <v>175</v>
      </c>
      <c r="Z60" s="48">
        <v>345.7</v>
      </c>
      <c r="AA60" s="48">
        <v>344.07</v>
      </c>
      <c r="AB60" s="48">
        <v>313.14999999999998</v>
      </c>
      <c r="AC60" s="48">
        <v>322.01</v>
      </c>
      <c r="AD60" s="49">
        <v>1.895</v>
      </c>
      <c r="AE60" s="49">
        <v>1.9710000000000001</v>
      </c>
      <c r="AF60" s="48">
        <v>1.7909999999999999</v>
      </c>
      <c r="AG60" s="48">
        <v>1.798</v>
      </c>
      <c r="AH60" s="48">
        <v>72.64</v>
      </c>
      <c r="AI60" s="48">
        <v>68.44</v>
      </c>
      <c r="AJ60" s="48">
        <v>81.5</v>
      </c>
      <c r="AK60" s="48">
        <v>79.010000000000005</v>
      </c>
      <c r="AL60" s="48">
        <v>581.45100000000002</v>
      </c>
      <c r="AM60" s="48">
        <v>586.14200000000005</v>
      </c>
      <c r="AN60" s="48">
        <v>670.85799999999995</v>
      </c>
      <c r="AO60" s="48">
        <v>720.11400000000003</v>
      </c>
      <c r="AP60" s="49">
        <v>2.56</v>
      </c>
      <c r="AQ60" s="48">
        <v>1.849</v>
      </c>
      <c r="AR60" s="49">
        <v>41.502000000000002</v>
      </c>
      <c r="AS60" s="48">
        <v>38.113999999999997</v>
      </c>
      <c r="AT60" s="49">
        <v>84</v>
      </c>
      <c r="AU60" s="48">
        <v>104</v>
      </c>
      <c r="AV60" s="48">
        <v>2.9279999999999999</v>
      </c>
      <c r="AW60" s="48">
        <v>5.3266</v>
      </c>
      <c r="AX60" s="49">
        <v>996.1</v>
      </c>
      <c r="AY60" s="48">
        <v>1.23</v>
      </c>
      <c r="AZ60" s="48">
        <v>5.47</v>
      </c>
      <c r="BA60" s="48">
        <v>65.992999999999995</v>
      </c>
      <c r="BB60" s="49">
        <v>65.602000000000004</v>
      </c>
      <c r="BC60" s="49">
        <v>7681</v>
      </c>
      <c r="BD60" s="49">
        <v>89.5</v>
      </c>
      <c r="BE60" s="48">
        <v>23.524999999999999</v>
      </c>
      <c r="BF60" s="48">
        <v>13.38</v>
      </c>
      <c r="BG60" s="49">
        <v>28.5</v>
      </c>
      <c r="BH60" s="49">
        <v>29.82</v>
      </c>
      <c r="BI60" s="49">
        <v>67.688000000000002</v>
      </c>
      <c r="BJ60" s="48">
        <v>82.07</v>
      </c>
      <c r="BK60" s="49">
        <v>66.168000000000006</v>
      </c>
      <c r="BL60" s="48">
        <v>79.879000000000005</v>
      </c>
      <c r="BM60" s="48">
        <v>79.662000000000006</v>
      </c>
      <c r="BN60" s="49">
        <v>124.47199999999999</v>
      </c>
      <c r="BO60" s="49">
        <v>126.98399999999999</v>
      </c>
      <c r="BP60" s="49">
        <v>139.96</v>
      </c>
      <c r="BQ60" s="48">
        <v>140.232</v>
      </c>
      <c r="BR60" s="48">
        <v>58.244</v>
      </c>
      <c r="BS60" s="49">
        <v>23.9</v>
      </c>
      <c r="BT60" s="48">
        <v>7263.7809999999999</v>
      </c>
      <c r="BU60" s="49">
        <v>82.287999999999997</v>
      </c>
      <c r="BV60" s="49">
        <v>64.403999999999996</v>
      </c>
      <c r="BW60" s="49">
        <v>68.37</v>
      </c>
      <c r="BX60" s="48">
        <v>60.819000000000003</v>
      </c>
      <c r="BY60" s="49">
        <v>1.498</v>
      </c>
      <c r="BZ60" s="48">
        <v>2.4300000000000002</v>
      </c>
      <c r="CA60" s="48">
        <v>3.323</v>
      </c>
      <c r="CB60" s="48">
        <v>3.2509999999999999</v>
      </c>
      <c r="CC60" s="48">
        <v>5.6870000000000003</v>
      </c>
      <c r="CD60" s="48">
        <v>2.38</v>
      </c>
      <c r="CE60" s="48">
        <v>3.7890000000000001</v>
      </c>
      <c r="CF60" s="49">
        <v>2.1269999999999998</v>
      </c>
      <c r="CG60" s="48">
        <v>13.475</v>
      </c>
      <c r="CH60" s="49">
        <v>10.042</v>
      </c>
      <c r="CI60" s="49">
        <v>5.0179999999999998</v>
      </c>
      <c r="CJ60" s="48">
        <v>3.3919999999999999</v>
      </c>
      <c r="CK60" s="48">
        <v>1.52</v>
      </c>
      <c r="CL60" s="48">
        <v>0.1</v>
      </c>
      <c r="CM60" s="48">
        <v>0.3</v>
      </c>
      <c r="CN60" s="49">
        <v>0</v>
      </c>
      <c r="CO60" s="49">
        <v>0</v>
      </c>
      <c r="CP60" s="49">
        <v>97.087999999999994</v>
      </c>
      <c r="CQ60" s="49">
        <v>98.403000000000006</v>
      </c>
      <c r="CR60" s="49">
        <v>123.625</v>
      </c>
      <c r="CS60" s="48">
        <v>124.773</v>
      </c>
      <c r="CT60" s="49">
        <v>0.38200000000000001</v>
      </c>
      <c r="CU60" s="48">
        <v>0.89900000000000002</v>
      </c>
      <c r="CV60" s="48">
        <v>1</v>
      </c>
      <c r="CW60" s="49">
        <v>1.8979999999999999</v>
      </c>
      <c r="CX60" s="48">
        <v>1.496</v>
      </c>
      <c r="CY60" s="48">
        <v>0.70099999999999996</v>
      </c>
      <c r="CZ60" s="49">
        <v>1.4</v>
      </c>
      <c r="DA60" s="48">
        <v>0.89700000000000002</v>
      </c>
      <c r="DB60" s="48">
        <v>1.099</v>
      </c>
      <c r="DC60" s="49">
        <v>0</v>
      </c>
      <c r="DD60" s="49">
        <v>0</v>
      </c>
      <c r="DE60" s="49">
        <v>0.40699999999999997</v>
      </c>
      <c r="DF60" s="49">
        <v>0.219</v>
      </c>
      <c r="DG60" s="48">
        <v>0.55000000000000004</v>
      </c>
      <c r="DH60" s="49">
        <v>2.5369999999999999</v>
      </c>
      <c r="DI60" s="48">
        <v>1.595</v>
      </c>
      <c r="DJ60" s="49">
        <v>0.497</v>
      </c>
      <c r="DK60" s="49">
        <v>1.2589999999999999</v>
      </c>
      <c r="DL60" s="48">
        <v>0.61199999999999999</v>
      </c>
      <c r="DM60" s="49">
        <v>0.77800000000000002</v>
      </c>
      <c r="DN60" s="48">
        <v>0.77700000000000002</v>
      </c>
      <c r="DO60" s="49">
        <v>0.73799999999999999</v>
      </c>
      <c r="DP60" s="48">
        <v>68.671000000000006</v>
      </c>
      <c r="DQ60" s="48">
        <v>62.081000000000003</v>
      </c>
      <c r="DR60" s="48">
        <v>55.061</v>
      </c>
      <c r="DS60" s="48">
        <v>53.226999999999997</v>
      </c>
      <c r="DT60" s="48">
        <v>4.01</v>
      </c>
      <c r="DU60" s="48">
        <v>4.2300000000000004</v>
      </c>
      <c r="DV60" s="48">
        <v>12.23</v>
      </c>
      <c r="DW60" s="48">
        <v>10.15</v>
      </c>
      <c r="DX60" s="48">
        <v>4.45</v>
      </c>
      <c r="DY60" s="48">
        <v>4.45</v>
      </c>
      <c r="DZ60" s="48">
        <v>11.55</v>
      </c>
      <c r="EA60" s="48">
        <v>9.91</v>
      </c>
      <c r="EB60" s="48">
        <v>37.33</v>
      </c>
      <c r="EC60" s="48">
        <v>36.08</v>
      </c>
      <c r="ED60" s="48">
        <v>29.55</v>
      </c>
      <c r="EE60" s="48">
        <v>31.32</v>
      </c>
      <c r="EF60" s="49">
        <v>54.21</v>
      </c>
      <c r="EG60" s="49">
        <v>55.24</v>
      </c>
      <c r="EH60" s="49">
        <v>46.67</v>
      </c>
      <c r="EI60" s="49">
        <v>48.61</v>
      </c>
      <c r="EJ60" s="48">
        <v>6.4690000000000003</v>
      </c>
      <c r="EK60" s="48">
        <v>62.843000000000004</v>
      </c>
      <c r="EL60" s="49">
        <v>1.1000000000000001</v>
      </c>
      <c r="EM60" s="49">
        <v>0.55000000000000004</v>
      </c>
      <c r="EN60" s="48">
        <v>1.18</v>
      </c>
      <c r="EO60" s="48">
        <v>1.17</v>
      </c>
      <c r="EP60" s="48">
        <v>-98.921999999999997</v>
      </c>
      <c r="EQ60" s="49">
        <v>-0.81100000000000005</v>
      </c>
      <c r="ER60" s="49">
        <v>109.858</v>
      </c>
      <c r="ES60" s="48">
        <v>1.286</v>
      </c>
      <c r="ET60" s="48">
        <v>1.427</v>
      </c>
      <c r="EU60" s="48">
        <v>1.262</v>
      </c>
      <c r="EV60" s="48">
        <v>7.3410000000000002</v>
      </c>
      <c r="EW60" s="48">
        <v>3.871</v>
      </c>
      <c r="EX60" s="48">
        <v>-145.58000000000001</v>
      </c>
      <c r="EY60" s="49">
        <v>1.901</v>
      </c>
      <c r="EZ60" s="48">
        <v>0</v>
      </c>
      <c r="FA60" s="49">
        <v>0</v>
      </c>
      <c r="FB60" s="48">
        <v>8.8360000000000003</v>
      </c>
      <c r="FC60" s="49">
        <v>84.049000000000007</v>
      </c>
      <c r="FD60" s="49">
        <v>85.991</v>
      </c>
      <c r="FE60" s="49">
        <v>87.222999999999999</v>
      </c>
      <c r="FF60" s="49">
        <v>85.536000000000001</v>
      </c>
      <c r="FG60" s="48">
        <v>0.93200000000000005</v>
      </c>
      <c r="FH60" s="48">
        <v>0.93100000000000005</v>
      </c>
      <c r="FI60" s="49">
        <v>0.99</v>
      </c>
      <c r="FJ60" s="49">
        <v>0.98799999999999999</v>
      </c>
      <c r="FK60" s="49">
        <v>0.4</v>
      </c>
      <c r="FL60" s="49">
        <v>84</v>
      </c>
      <c r="FM60" s="48">
        <v>2.72</v>
      </c>
      <c r="FN60" s="48">
        <v>0.94</v>
      </c>
      <c r="FO60" s="48">
        <v>5.2</v>
      </c>
      <c r="FP60" s="49">
        <v>2.6</v>
      </c>
      <c r="FQ60" s="48">
        <v>4.45</v>
      </c>
      <c r="FR60" s="48">
        <v>5.0999999999999996</v>
      </c>
      <c r="FS60" s="48">
        <v>6.6749999999999998</v>
      </c>
      <c r="FT60" s="49">
        <v>1060.7</v>
      </c>
      <c r="FU60" s="48">
        <v>7.3</v>
      </c>
      <c r="FV60" s="48">
        <v>5.59</v>
      </c>
      <c r="FW60" s="48">
        <v>3153</v>
      </c>
      <c r="FX60" s="48">
        <v>162500</v>
      </c>
      <c r="FY60" s="48">
        <v>164200</v>
      </c>
      <c r="FZ60" s="49">
        <v>44.417000000000002</v>
      </c>
      <c r="GA60" s="49">
        <v>43.564999999999998</v>
      </c>
      <c r="GB60" s="49">
        <v>2154.6</v>
      </c>
      <c r="GC60" s="49">
        <v>2314.4</v>
      </c>
      <c r="GD60" s="48">
        <v>2154.6</v>
      </c>
      <c r="GE60" s="49">
        <v>2314.4</v>
      </c>
      <c r="GF60" s="48">
        <v>1411.4375</v>
      </c>
      <c r="GG60" s="48">
        <v>29</v>
      </c>
      <c r="GH60" s="49">
        <v>29.5</v>
      </c>
      <c r="GI60" s="49">
        <v>49.8</v>
      </c>
      <c r="GJ60" s="49">
        <v>56.4</v>
      </c>
      <c r="GK60" s="49">
        <v>91.5</v>
      </c>
      <c r="GL60" s="49">
        <v>112.4</v>
      </c>
      <c r="GM60" s="49">
        <v>0</v>
      </c>
      <c r="GN60" s="48">
        <v>23.132000000000001</v>
      </c>
      <c r="GO60" s="48">
        <v>109.858</v>
      </c>
      <c r="GP60" s="49">
        <v>0</v>
      </c>
      <c r="GQ60" s="48">
        <v>3.7170000000000001</v>
      </c>
      <c r="GR60" s="49">
        <v>0</v>
      </c>
      <c r="GS60" s="48">
        <v>3.6579999999999999</v>
      </c>
      <c r="GT60" s="49">
        <v>0</v>
      </c>
      <c r="GU60" s="48">
        <v>3.835</v>
      </c>
      <c r="GV60" s="49">
        <v>0</v>
      </c>
      <c r="GW60" s="48">
        <v>12.835000000000001</v>
      </c>
      <c r="GX60" s="49">
        <v>18.718</v>
      </c>
      <c r="GY60" s="49">
        <v>0</v>
      </c>
      <c r="GZ60" s="49">
        <v>0</v>
      </c>
      <c r="HA60" s="49">
        <v>0</v>
      </c>
      <c r="HB60" s="49">
        <v>1</v>
      </c>
      <c r="HC60" s="49">
        <v>45.277000000000001</v>
      </c>
      <c r="HD60" s="49">
        <v>106</v>
      </c>
      <c r="HE60" s="49">
        <v>0</v>
      </c>
      <c r="HF60" s="49">
        <v>0</v>
      </c>
      <c r="HG60" s="49">
        <v>88.72</v>
      </c>
      <c r="HH60" s="49">
        <v>100</v>
      </c>
      <c r="HI60" s="49">
        <v>0</v>
      </c>
      <c r="HJ60" s="49">
        <v>0</v>
      </c>
      <c r="HK60" s="49">
        <v>0</v>
      </c>
      <c r="HL60" s="49">
        <v>56</v>
      </c>
      <c r="HM60" s="49">
        <v>49</v>
      </c>
      <c r="HN60" s="48">
        <v>60</v>
      </c>
      <c r="HO60" s="48">
        <v>54</v>
      </c>
      <c r="HP60" s="48">
        <v>57</v>
      </c>
      <c r="HQ60" s="48">
        <v>55</v>
      </c>
      <c r="HR60" s="48">
        <v>50</v>
      </c>
      <c r="HS60" s="48">
        <v>60</v>
      </c>
      <c r="HT60" s="48">
        <v>-0.2165</v>
      </c>
      <c r="HU60" s="49">
        <v>0</v>
      </c>
      <c r="HV60" s="48">
        <v>1.1970000000000001</v>
      </c>
      <c r="HW60" s="48">
        <v>35.950000000000003</v>
      </c>
      <c r="HX60" s="48">
        <v>50.83</v>
      </c>
      <c r="HY60" s="48">
        <v>49.58</v>
      </c>
      <c r="HZ60" s="48">
        <v>49.58</v>
      </c>
      <c r="IA60" s="48">
        <v>2.673</v>
      </c>
      <c r="IB60" s="48">
        <v>99</v>
      </c>
      <c r="IC60" s="48">
        <v>18.678000000000001</v>
      </c>
      <c r="ID60" s="49">
        <v>-0.13600000000000001</v>
      </c>
      <c r="IE60" s="48">
        <v>-3.3000000000000002E-2</v>
      </c>
      <c r="IF60" s="48">
        <v>786.3</v>
      </c>
      <c r="IG60" s="48">
        <v>687.9</v>
      </c>
      <c r="IH60" s="48">
        <v>820.7</v>
      </c>
      <c r="II60" s="48">
        <v>717.7</v>
      </c>
      <c r="IJ60" s="48">
        <v>8.5999999999999993E-2</v>
      </c>
      <c r="IK60" s="49">
        <v>-0.13</v>
      </c>
      <c r="IL60" s="49">
        <v>134.49700000000001</v>
      </c>
      <c r="IM60" s="49">
        <v>134.49700000000001</v>
      </c>
      <c r="IN60" s="49">
        <v>29.861000000000001</v>
      </c>
      <c r="IO60" s="48">
        <v>0.99399999999999999</v>
      </c>
      <c r="IP60" s="49">
        <v>12.99</v>
      </c>
      <c r="IQ60" s="48">
        <v>8.9999999999999993E-3</v>
      </c>
      <c r="IR60" s="49">
        <v>6.0000000000000001E-3</v>
      </c>
      <c r="IS60">
        <v>-0.51700000000000002</v>
      </c>
      <c r="IT60">
        <v>0.26100000000000001</v>
      </c>
    </row>
    <row r="61" spans="1:254" x14ac:dyDescent="0.25">
      <c r="B61" s="2" t="s">
        <v>407</v>
      </c>
      <c r="C61" s="58" t="s">
        <v>42</v>
      </c>
      <c r="D61" s="59">
        <v>2.4615740740740739E-3</v>
      </c>
      <c r="E61" s="48">
        <v>212.68</v>
      </c>
      <c r="F61" s="49">
        <v>330.63</v>
      </c>
      <c r="G61" s="49">
        <v>5.93</v>
      </c>
      <c r="H61" s="48">
        <v>23.9</v>
      </c>
      <c r="I61" s="49">
        <v>0</v>
      </c>
      <c r="J61" s="48">
        <v>14.3</v>
      </c>
      <c r="K61" s="49">
        <v>6</v>
      </c>
      <c r="L61" s="49">
        <v>4</v>
      </c>
      <c r="M61" s="49">
        <v>4</v>
      </c>
      <c r="N61" s="49">
        <v>3</v>
      </c>
      <c r="O61" s="49">
        <v>3</v>
      </c>
      <c r="P61" s="48">
        <v>0.95099999999999996</v>
      </c>
      <c r="Q61" s="48">
        <v>1.2250000000000001</v>
      </c>
      <c r="R61" s="48">
        <v>1.1910000000000001</v>
      </c>
      <c r="S61" s="48">
        <v>0.84299999999999997</v>
      </c>
      <c r="T61" s="49">
        <v>73.510000000000005</v>
      </c>
      <c r="U61" s="48">
        <v>60.573</v>
      </c>
      <c r="V61" s="48">
        <v>246.66</v>
      </c>
      <c r="W61" s="48">
        <v>248.34</v>
      </c>
      <c r="X61" s="48">
        <v>240</v>
      </c>
      <c r="Y61" s="48">
        <v>258.33999999999997</v>
      </c>
      <c r="Z61" s="49">
        <v>411.36</v>
      </c>
      <c r="AA61" s="49">
        <v>410.08</v>
      </c>
      <c r="AB61" s="49">
        <v>379.56</v>
      </c>
      <c r="AC61" s="49">
        <v>395.87</v>
      </c>
      <c r="AD61" s="48">
        <v>1.806</v>
      </c>
      <c r="AE61" s="48">
        <v>1.8620000000000001</v>
      </c>
      <c r="AF61" s="48">
        <v>1.8420000000000001</v>
      </c>
      <c r="AG61" s="48">
        <v>1.845</v>
      </c>
      <c r="AH61" s="49">
        <v>73.98</v>
      </c>
      <c r="AI61" s="48">
        <v>71.739999999999995</v>
      </c>
      <c r="AJ61" s="48">
        <v>100.16</v>
      </c>
      <c r="AK61" s="48">
        <v>100.06</v>
      </c>
      <c r="AL61" s="49">
        <v>668.99400000000003</v>
      </c>
      <c r="AM61" s="49">
        <v>663.10699999999997</v>
      </c>
      <c r="AN61" s="49">
        <v>788.15700000000004</v>
      </c>
      <c r="AO61" s="49">
        <v>737.07</v>
      </c>
      <c r="AP61" s="48">
        <v>2.5350000000000001</v>
      </c>
      <c r="AQ61" s="48">
        <v>1.849</v>
      </c>
      <c r="AR61" s="48">
        <v>37.429000000000002</v>
      </c>
      <c r="AS61" s="48">
        <v>35.372999999999998</v>
      </c>
      <c r="AT61" s="48">
        <v>82</v>
      </c>
      <c r="AU61" s="48">
        <v>107</v>
      </c>
      <c r="AV61" s="49">
        <v>2.8075000000000001</v>
      </c>
      <c r="AW61" s="49">
        <v>5.4226000000000001</v>
      </c>
      <c r="AX61" s="48">
        <v>995.1</v>
      </c>
      <c r="AY61" s="49">
        <v>1.29</v>
      </c>
      <c r="AZ61" s="49">
        <v>4.91</v>
      </c>
      <c r="BA61" s="48">
        <v>104.803</v>
      </c>
      <c r="BB61" s="48">
        <v>102.655</v>
      </c>
      <c r="BC61" s="48">
        <v>7658</v>
      </c>
      <c r="BD61" s="49">
        <v>89.5</v>
      </c>
      <c r="BE61" s="49">
        <v>24.18</v>
      </c>
      <c r="BF61" s="48">
        <v>14.234999999999999</v>
      </c>
      <c r="BG61" s="48">
        <v>27.88</v>
      </c>
      <c r="BH61" s="48">
        <v>27</v>
      </c>
      <c r="BI61" s="3"/>
      <c r="BJ61" s="3"/>
      <c r="BK61" s="3"/>
      <c r="BL61" s="3"/>
      <c r="BM61" s="3"/>
      <c r="BN61" s="48">
        <v>90.103999999999999</v>
      </c>
      <c r="BO61" s="48">
        <v>91.4</v>
      </c>
      <c r="BP61" s="48">
        <v>125.384</v>
      </c>
      <c r="BQ61" s="48">
        <v>133.08000000000001</v>
      </c>
      <c r="BR61" s="3"/>
      <c r="BS61" s="48">
        <v>23.6</v>
      </c>
      <c r="BT61" s="48">
        <v>7396.1689999999999</v>
      </c>
      <c r="BU61" s="48">
        <v>79.241</v>
      </c>
      <c r="BV61" s="48">
        <v>63.823999999999998</v>
      </c>
      <c r="BW61" s="48">
        <v>60.671999999999997</v>
      </c>
      <c r="BX61" s="48">
        <v>65.147999999999996</v>
      </c>
      <c r="BY61" s="48">
        <v>1.38</v>
      </c>
      <c r="BZ61" s="49">
        <v>3.133</v>
      </c>
      <c r="CA61" s="49">
        <v>4.1760000000000002</v>
      </c>
      <c r="CB61" s="48">
        <v>3.2869999999999999</v>
      </c>
      <c r="CC61" s="49">
        <v>5.8479999999999999</v>
      </c>
      <c r="CD61" s="48">
        <v>2.4449999999999998</v>
      </c>
      <c r="CE61" s="49">
        <v>3.806</v>
      </c>
      <c r="CF61" s="48">
        <v>2.1120000000000001</v>
      </c>
      <c r="CG61" s="48">
        <v>13.672000000000001</v>
      </c>
      <c r="CH61" s="48">
        <v>13.507999999999999</v>
      </c>
      <c r="CI61" s="48">
        <v>4.7729999999999997</v>
      </c>
      <c r="CJ61" s="49">
        <v>3.5209999999999999</v>
      </c>
      <c r="CK61" s="49">
        <v>1.59</v>
      </c>
      <c r="CL61" s="48">
        <v>0.1</v>
      </c>
      <c r="CM61" s="49">
        <v>0.4</v>
      </c>
      <c r="CN61" s="49">
        <v>0</v>
      </c>
      <c r="CO61" s="49">
        <v>0</v>
      </c>
      <c r="CP61" s="48">
        <v>86.17</v>
      </c>
      <c r="CQ61" s="48">
        <v>87.87</v>
      </c>
      <c r="CR61" s="48">
        <v>119.922</v>
      </c>
      <c r="CS61" s="48">
        <v>126.892</v>
      </c>
      <c r="CT61" s="48">
        <v>0.32600000000000001</v>
      </c>
      <c r="CU61" s="49">
        <v>1.8959999999999999</v>
      </c>
      <c r="CV61" s="48">
        <v>0.998</v>
      </c>
      <c r="CW61" s="48">
        <v>1.4019999999999999</v>
      </c>
      <c r="CX61" s="49">
        <v>2.1989999999999998</v>
      </c>
      <c r="CY61" s="48">
        <v>0.60099999999999998</v>
      </c>
      <c r="CZ61" s="48">
        <v>1.1990000000000001</v>
      </c>
      <c r="DA61" s="49">
        <v>0.89900000000000002</v>
      </c>
      <c r="DB61" s="49">
        <v>1.2969999999999999</v>
      </c>
      <c r="DC61" s="49">
        <v>0</v>
      </c>
      <c r="DD61" s="49">
        <v>0</v>
      </c>
      <c r="DE61" s="48">
        <v>0.39100000000000001</v>
      </c>
      <c r="DF61" s="48">
        <v>0.19600000000000001</v>
      </c>
      <c r="DG61" s="49">
        <v>1.117</v>
      </c>
      <c r="DH61" s="48">
        <v>2.226</v>
      </c>
      <c r="DI61" s="49">
        <v>1.6639999999999999</v>
      </c>
      <c r="DJ61" s="48">
        <v>0.34499999999999997</v>
      </c>
      <c r="DK61" s="48">
        <v>1.1819999999999999</v>
      </c>
      <c r="DL61" s="48">
        <v>0.61099999999999999</v>
      </c>
      <c r="DM61" s="48">
        <v>0.76500000000000001</v>
      </c>
      <c r="DN61" s="49">
        <v>0.79900000000000004</v>
      </c>
      <c r="DO61" s="48">
        <v>0.71699999999999997</v>
      </c>
      <c r="DP61" s="49">
        <v>71.021000000000001</v>
      </c>
      <c r="DQ61" s="48">
        <v>62.512</v>
      </c>
      <c r="DR61" s="49">
        <v>55.396000000000001</v>
      </c>
      <c r="DS61" s="48">
        <v>53.56</v>
      </c>
      <c r="DT61" s="49">
        <v>6.48</v>
      </c>
      <c r="DU61" s="49">
        <v>6.65</v>
      </c>
      <c r="DV61" s="49">
        <v>18.850000000000001</v>
      </c>
      <c r="DW61" s="49">
        <v>14.9</v>
      </c>
      <c r="DX61" s="49">
        <v>7.18</v>
      </c>
      <c r="DY61" s="49">
        <v>7.05</v>
      </c>
      <c r="DZ61" s="49">
        <v>18.14</v>
      </c>
      <c r="EA61" s="49">
        <v>14.35</v>
      </c>
      <c r="EB61" s="49">
        <v>42.72</v>
      </c>
      <c r="EC61" s="49">
        <v>40.42</v>
      </c>
      <c r="ED61" s="48">
        <v>29.73</v>
      </c>
      <c r="EE61" s="48">
        <v>33.049999999999997</v>
      </c>
      <c r="EF61" s="48">
        <v>43.62</v>
      </c>
      <c r="EG61" s="48">
        <v>45.88</v>
      </c>
      <c r="EH61" s="48">
        <v>33.28</v>
      </c>
      <c r="EI61" s="48">
        <v>37.700000000000003</v>
      </c>
      <c r="EJ61" s="49">
        <v>6.53</v>
      </c>
      <c r="EK61" s="49">
        <v>63.981999999999999</v>
      </c>
      <c r="EL61" s="48">
        <v>0.95</v>
      </c>
      <c r="EM61" s="48">
        <v>0.6</v>
      </c>
      <c r="EN61" s="48">
        <v>1.19</v>
      </c>
      <c r="EO61" s="48">
        <v>1.17</v>
      </c>
      <c r="EP61" s="49">
        <v>-110.31</v>
      </c>
      <c r="EQ61" s="48">
        <v>-1.893</v>
      </c>
      <c r="ER61" s="48">
        <v>103.142</v>
      </c>
      <c r="ES61" s="49">
        <v>1.339</v>
      </c>
      <c r="ET61" s="49">
        <v>1.5129999999999999</v>
      </c>
      <c r="EU61" s="49">
        <v>1.3049999999999999</v>
      </c>
      <c r="EV61" s="49">
        <v>7.6230000000000002</v>
      </c>
      <c r="EW61" s="49">
        <v>4.1710000000000003</v>
      </c>
      <c r="EX61" s="49">
        <v>74.52</v>
      </c>
      <c r="EY61" s="48">
        <v>0</v>
      </c>
      <c r="EZ61" s="48">
        <v>0</v>
      </c>
      <c r="FA61" s="49">
        <v>0</v>
      </c>
      <c r="FB61" s="48">
        <v>8.9700000000000006</v>
      </c>
      <c r="FC61" s="48">
        <v>69.188999999999993</v>
      </c>
      <c r="FD61" s="48">
        <v>68.564999999999998</v>
      </c>
      <c r="FE61" s="48">
        <v>77.861000000000004</v>
      </c>
      <c r="FF61" s="48">
        <v>75.605000000000004</v>
      </c>
      <c r="FG61" s="48">
        <v>0.91</v>
      </c>
      <c r="FH61" s="48">
        <v>0.90900000000000003</v>
      </c>
      <c r="FI61" s="48">
        <v>0.98599999999999999</v>
      </c>
      <c r="FJ61" s="48">
        <v>0.98299999999999998</v>
      </c>
      <c r="FK61" s="48">
        <v>0</v>
      </c>
      <c r="FL61" s="48">
        <v>82</v>
      </c>
      <c r="FM61" s="48">
        <v>2.75</v>
      </c>
      <c r="FN61" s="48">
        <v>1.28</v>
      </c>
      <c r="FO61" s="49">
        <v>4.92</v>
      </c>
      <c r="FP61" s="3"/>
      <c r="FQ61" s="48">
        <v>4.5999999999999996</v>
      </c>
      <c r="FR61" s="48">
        <v>5.0999999999999996</v>
      </c>
      <c r="FS61" s="48">
        <v>6.7184999999999997</v>
      </c>
      <c r="FT61" s="48">
        <v>1060.2</v>
      </c>
      <c r="FU61" s="48">
        <v>7.55</v>
      </c>
      <c r="FV61" s="48">
        <v>11.53</v>
      </c>
      <c r="FW61" s="49">
        <v>3201.5</v>
      </c>
      <c r="FX61" s="49">
        <v>163800</v>
      </c>
      <c r="FY61" s="49">
        <v>164500</v>
      </c>
      <c r="FZ61" s="48">
        <v>44.238999999999997</v>
      </c>
      <c r="GA61" s="48">
        <v>43.156999999999996</v>
      </c>
      <c r="GB61" s="48">
        <v>2110.9</v>
      </c>
      <c r="GC61" s="48">
        <v>2099.9</v>
      </c>
      <c r="GD61" s="48">
        <v>2125.1999999999998</v>
      </c>
      <c r="GE61" s="48">
        <v>2139.6</v>
      </c>
      <c r="GF61" s="49">
        <v>1431.2969000000001</v>
      </c>
      <c r="GG61" s="48">
        <v>29</v>
      </c>
      <c r="GH61" s="48">
        <v>28.7</v>
      </c>
      <c r="GI61" s="48">
        <v>45.3</v>
      </c>
      <c r="GJ61" s="48">
        <v>51</v>
      </c>
      <c r="GK61" s="48">
        <v>99.5</v>
      </c>
      <c r="GL61" s="48">
        <v>111.1</v>
      </c>
      <c r="GM61" s="49">
        <v>0</v>
      </c>
      <c r="GN61" s="48">
        <v>21.914000000000001</v>
      </c>
      <c r="GO61" s="49">
        <v>110.31</v>
      </c>
      <c r="GP61" s="48">
        <v>0.35399999999999998</v>
      </c>
      <c r="GQ61" s="48">
        <v>1.829</v>
      </c>
      <c r="GR61" s="48">
        <v>0.59</v>
      </c>
      <c r="GS61" s="48">
        <v>1.8879999999999999</v>
      </c>
      <c r="GT61" s="48">
        <v>0.53100000000000003</v>
      </c>
      <c r="GU61" s="48">
        <v>1.829</v>
      </c>
      <c r="GV61" s="48">
        <v>12.054</v>
      </c>
      <c r="GW61" s="49">
        <v>14.012</v>
      </c>
      <c r="GX61" s="48">
        <v>15.778</v>
      </c>
      <c r="GY61" s="49">
        <v>0</v>
      </c>
      <c r="GZ61" s="49">
        <v>0</v>
      </c>
      <c r="HA61" s="49">
        <v>0</v>
      </c>
      <c r="HB61" s="48">
        <v>0</v>
      </c>
      <c r="HC61" s="48">
        <v>37.325000000000003</v>
      </c>
      <c r="HD61" s="48">
        <v>90</v>
      </c>
      <c r="HE61" s="49">
        <v>0</v>
      </c>
      <c r="HF61" s="49">
        <v>0</v>
      </c>
      <c r="HG61" s="48">
        <v>72.37</v>
      </c>
      <c r="HH61" s="48">
        <v>81.58</v>
      </c>
      <c r="HI61" s="49">
        <v>0</v>
      </c>
      <c r="HJ61" s="49">
        <v>0</v>
      </c>
      <c r="HK61" s="49">
        <v>0</v>
      </c>
      <c r="HL61" s="48">
        <v>52</v>
      </c>
      <c r="HM61" s="49">
        <v>49</v>
      </c>
      <c r="HN61" s="48">
        <v>61</v>
      </c>
      <c r="HO61" s="49">
        <v>56</v>
      </c>
      <c r="HP61" s="48">
        <v>58</v>
      </c>
      <c r="HQ61" s="48">
        <v>56</v>
      </c>
      <c r="HR61" s="48">
        <v>50</v>
      </c>
      <c r="HS61" s="48">
        <v>62</v>
      </c>
      <c r="HT61" s="49">
        <v>-0.247</v>
      </c>
      <c r="HU61" s="49">
        <v>0</v>
      </c>
      <c r="HV61" s="49">
        <v>1.5089999999999999</v>
      </c>
      <c r="HW61" s="49">
        <v>33.409999999999997</v>
      </c>
      <c r="HX61" s="49">
        <v>48.7</v>
      </c>
      <c r="HY61" s="49">
        <v>50.09</v>
      </c>
      <c r="HZ61" s="49">
        <v>50.09</v>
      </c>
      <c r="IA61" s="49">
        <v>2.9729999999999999</v>
      </c>
      <c r="IB61" s="49">
        <v>102</v>
      </c>
      <c r="IC61" s="49">
        <v>21.347999999999999</v>
      </c>
      <c r="ID61" s="48">
        <v>-0.192</v>
      </c>
      <c r="IE61" s="49">
        <v>-2.5000000000000001E-2</v>
      </c>
      <c r="IF61" s="48">
        <v>789.9</v>
      </c>
      <c r="IG61" s="49">
        <v>747.1</v>
      </c>
      <c r="IH61" s="48">
        <v>823.9</v>
      </c>
      <c r="II61" s="49">
        <v>776.3</v>
      </c>
      <c r="IJ61" s="49">
        <v>8.7999999999999995E-2</v>
      </c>
      <c r="IK61" s="48">
        <v>-0.29099999999999998</v>
      </c>
      <c r="IL61" s="48">
        <v>72.123000000000005</v>
      </c>
      <c r="IM61" s="48">
        <v>72.123000000000005</v>
      </c>
      <c r="IN61" s="48">
        <v>29.238</v>
      </c>
      <c r="IO61" s="49">
        <v>1.53</v>
      </c>
      <c r="IP61" s="48">
        <v>12.79</v>
      </c>
      <c r="IQ61" s="49">
        <v>1.2999999999999999E-2</v>
      </c>
      <c r="IR61" s="48">
        <v>2E-3</v>
      </c>
      <c r="IS61">
        <v>-0.504</v>
      </c>
      <c r="IT61">
        <v>0.26300000000000001</v>
      </c>
    </row>
    <row r="62" spans="1:254" x14ac:dyDescent="0.25">
      <c r="B62" s="2" t="s">
        <v>407</v>
      </c>
      <c r="C62" s="2" t="s">
        <v>43</v>
      </c>
      <c r="D62" s="57">
        <v>2.8712962962962967E-3</v>
      </c>
      <c r="E62" s="48">
        <v>248.08</v>
      </c>
      <c r="F62" s="48">
        <v>325.91000000000003</v>
      </c>
      <c r="G62" s="48">
        <v>-11.53</v>
      </c>
      <c r="H62" s="48">
        <v>23.8</v>
      </c>
      <c r="I62" s="49">
        <v>0</v>
      </c>
      <c r="J62" s="48">
        <v>24.7</v>
      </c>
      <c r="K62" s="49">
        <v>6</v>
      </c>
      <c r="L62" s="49">
        <v>4</v>
      </c>
      <c r="M62" s="49">
        <v>4</v>
      </c>
      <c r="N62" s="49">
        <v>3</v>
      </c>
      <c r="O62" s="49">
        <v>3</v>
      </c>
      <c r="P62" s="48">
        <v>1.0269999999999999</v>
      </c>
      <c r="Q62" s="48">
        <v>1.5589999999999999</v>
      </c>
      <c r="R62" s="48">
        <v>1.1080000000000001</v>
      </c>
      <c r="S62" s="48">
        <v>0.9</v>
      </c>
      <c r="T62" s="48">
        <v>59.26</v>
      </c>
      <c r="U62" s="49">
        <v>60.613999999999997</v>
      </c>
      <c r="V62" s="48">
        <v>238.34</v>
      </c>
      <c r="W62" s="48">
        <v>240</v>
      </c>
      <c r="X62" s="48">
        <v>245</v>
      </c>
      <c r="Y62" s="48">
        <v>263.33999999999997</v>
      </c>
      <c r="Z62" s="48">
        <v>399.81</v>
      </c>
      <c r="AA62" s="48">
        <v>390.78</v>
      </c>
      <c r="AB62" s="48">
        <v>361.35</v>
      </c>
      <c r="AC62" s="48">
        <v>381.47</v>
      </c>
      <c r="AD62" s="48">
        <v>1.7909999999999999</v>
      </c>
      <c r="AE62" s="48">
        <v>1.851</v>
      </c>
      <c r="AF62" s="49">
        <v>1.863</v>
      </c>
      <c r="AG62" s="49">
        <v>1.871</v>
      </c>
      <c r="AH62" s="48">
        <v>73.010000000000005</v>
      </c>
      <c r="AI62" s="49">
        <v>72.03</v>
      </c>
      <c r="AJ62" s="49">
        <v>103.28</v>
      </c>
      <c r="AK62" s="49">
        <v>104.12</v>
      </c>
      <c r="AL62" s="48">
        <v>586.05899999999997</v>
      </c>
      <c r="AM62" s="48">
        <v>611.37400000000002</v>
      </c>
      <c r="AN62" s="48">
        <v>714.88400000000001</v>
      </c>
      <c r="AO62" s="48">
        <v>722.44100000000003</v>
      </c>
      <c r="AP62" s="48">
        <v>2.5419999999999998</v>
      </c>
      <c r="AQ62" s="49">
        <v>1.8520000000000001</v>
      </c>
      <c r="AR62" s="48">
        <v>40.472000000000001</v>
      </c>
      <c r="AS62" s="49">
        <v>39.356999999999999</v>
      </c>
      <c r="AT62" s="48">
        <v>82</v>
      </c>
      <c r="AU62" s="49">
        <v>108</v>
      </c>
      <c r="AV62" s="48">
        <v>2.86</v>
      </c>
      <c r="AW62" s="48">
        <v>5.2824999999999998</v>
      </c>
      <c r="AX62" s="48">
        <v>995.6</v>
      </c>
      <c r="AY62" s="48">
        <v>1.25</v>
      </c>
      <c r="AZ62" s="48">
        <v>5.79</v>
      </c>
      <c r="BA62" s="49">
        <v>65.400000000000006</v>
      </c>
      <c r="BB62" s="48">
        <v>66.304000000000002</v>
      </c>
      <c r="BC62" s="48">
        <v>7642</v>
      </c>
      <c r="BD62" s="49">
        <v>89.5</v>
      </c>
      <c r="BE62" s="48">
        <v>23.324999999999999</v>
      </c>
      <c r="BF62" s="49">
        <v>14.824999999999999</v>
      </c>
      <c r="BG62" s="48">
        <v>26.61</v>
      </c>
      <c r="BH62" s="48">
        <v>27.93</v>
      </c>
      <c r="BI62" s="48">
        <v>66.894999999999996</v>
      </c>
      <c r="BJ62" s="49">
        <v>82.521000000000001</v>
      </c>
      <c r="BK62" s="48">
        <v>65.242999999999995</v>
      </c>
      <c r="BL62" s="49">
        <v>80.084000000000003</v>
      </c>
      <c r="BM62" s="49">
        <v>79.962000000000003</v>
      </c>
      <c r="BN62" s="48">
        <v>103.256</v>
      </c>
      <c r="BO62" s="48">
        <v>107.304</v>
      </c>
      <c r="BP62" s="48">
        <v>135.27199999999999</v>
      </c>
      <c r="BQ62" s="49">
        <v>142.19999999999999</v>
      </c>
      <c r="BR62" s="49">
        <v>59.914999999999999</v>
      </c>
      <c r="BS62" s="48">
        <v>23.5</v>
      </c>
      <c r="BT62" s="49">
        <v>7415.4870000000001</v>
      </c>
      <c r="BU62" s="48">
        <v>81.41</v>
      </c>
      <c r="BV62" s="48">
        <v>63.945</v>
      </c>
      <c r="BW62" s="48">
        <v>61.753</v>
      </c>
      <c r="BX62" s="49">
        <v>65.683000000000007</v>
      </c>
      <c r="BY62" s="48">
        <v>1.431</v>
      </c>
      <c r="BZ62" s="48">
        <v>2.6440000000000001</v>
      </c>
      <c r="CA62" s="48">
        <v>3.4649999999999999</v>
      </c>
      <c r="CB62" s="49">
        <v>3.597</v>
      </c>
      <c r="CC62" s="48">
        <v>5.84</v>
      </c>
      <c r="CD62" s="49">
        <v>2.4550000000000001</v>
      </c>
      <c r="CE62" s="48">
        <v>3.758</v>
      </c>
      <c r="CF62" s="48">
        <v>2.097</v>
      </c>
      <c r="CG62" s="49">
        <v>13.695</v>
      </c>
      <c r="CH62" s="48">
        <v>13.254</v>
      </c>
      <c r="CI62" s="3"/>
      <c r="CJ62" s="3"/>
      <c r="CK62" s="3"/>
      <c r="CL62" s="49">
        <v>0.2</v>
      </c>
      <c r="CM62" s="48">
        <v>0.3</v>
      </c>
      <c r="CN62" s="49">
        <v>0</v>
      </c>
      <c r="CO62" s="49">
        <v>0</v>
      </c>
      <c r="CP62" s="48">
        <v>87.611999999999995</v>
      </c>
      <c r="CQ62" s="48">
        <v>89.287000000000006</v>
      </c>
      <c r="CR62" s="48">
        <v>122.90900000000001</v>
      </c>
      <c r="CS62" s="49">
        <v>131.56200000000001</v>
      </c>
      <c r="CT62" s="48">
        <v>0.315</v>
      </c>
      <c r="CU62" s="48">
        <v>1</v>
      </c>
      <c r="CV62" s="49">
        <v>1.2030000000000001</v>
      </c>
      <c r="CW62" s="48">
        <v>1.3009999999999999</v>
      </c>
      <c r="CX62" s="48">
        <v>0.89900000000000002</v>
      </c>
      <c r="CY62" s="49">
        <v>1.2010000000000001</v>
      </c>
      <c r="CZ62" s="48">
        <v>0.8</v>
      </c>
      <c r="DA62" s="48">
        <v>0.501</v>
      </c>
      <c r="DB62" s="48">
        <v>1.0009999999999999</v>
      </c>
      <c r="DC62" s="49">
        <v>0</v>
      </c>
      <c r="DD62" s="49">
        <v>0</v>
      </c>
      <c r="DE62" s="48">
        <v>0.315</v>
      </c>
      <c r="DF62" s="48">
        <v>0.17799999999999999</v>
      </c>
      <c r="DG62" s="48">
        <v>0.46100000000000002</v>
      </c>
      <c r="DH62" s="48">
        <v>2.1190000000000002</v>
      </c>
      <c r="DI62" s="48">
        <v>1.0860000000000001</v>
      </c>
      <c r="DJ62" s="48">
        <v>0.26300000000000001</v>
      </c>
      <c r="DK62" s="48">
        <v>1.143</v>
      </c>
      <c r="DL62" s="49">
        <v>0.61399999999999999</v>
      </c>
      <c r="DM62" s="49">
        <v>0.77800000000000002</v>
      </c>
      <c r="DN62" s="48">
        <v>0.78</v>
      </c>
      <c r="DO62" s="48">
        <v>0.7</v>
      </c>
      <c r="DP62" s="48">
        <v>68.385000000000005</v>
      </c>
      <c r="DQ62" s="49">
        <v>62.654000000000003</v>
      </c>
      <c r="DR62" s="48">
        <v>55.332000000000001</v>
      </c>
      <c r="DS62" s="49">
        <v>53.823999999999998</v>
      </c>
      <c r="DT62" s="48">
        <v>5.09</v>
      </c>
      <c r="DU62" s="48">
        <v>5.51</v>
      </c>
      <c r="DV62" s="48">
        <v>15.86</v>
      </c>
      <c r="DW62" s="48">
        <v>12.35</v>
      </c>
      <c r="DX62" s="48">
        <v>5.51</v>
      </c>
      <c r="DY62" s="48">
        <v>6.01</v>
      </c>
      <c r="DZ62" s="48">
        <v>15.11</v>
      </c>
      <c r="EA62" s="48">
        <v>12.02</v>
      </c>
      <c r="EB62" s="48">
        <v>41.84</v>
      </c>
      <c r="EC62" s="48">
        <v>39.68</v>
      </c>
      <c r="ED62" s="49">
        <v>30.93</v>
      </c>
      <c r="EE62" s="49">
        <v>33.17</v>
      </c>
      <c r="EF62" s="48">
        <v>47.56</v>
      </c>
      <c r="EG62" s="48">
        <v>48.79</v>
      </c>
      <c r="EH62" s="48">
        <v>38.1</v>
      </c>
      <c r="EI62" s="48">
        <v>42.47</v>
      </c>
      <c r="EJ62" s="48">
        <v>6.3860000000000001</v>
      </c>
      <c r="EK62" s="48">
        <v>63.707000000000001</v>
      </c>
      <c r="EL62" s="48">
        <v>1.05</v>
      </c>
      <c r="EM62" s="49">
        <v>0.55000000000000004</v>
      </c>
      <c r="EN62" s="49">
        <v>1.24</v>
      </c>
      <c r="EO62" s="49">
        <v>1.23</v>
      </c>
      <c r="EP62" s="48">
        <v>-105.346</v>
      </c>
      <c r="EQ62" s="48">
        <v>-1.76</v>
      </c>
      <c r="ER62" s="48">
        <v>103.726</v>
      </c>
      <c r="ES62" s="48">
        <v>1.325</v>
      </c>
      <c r="ET62" s="48">
        <v>1.4590000000000001</v>
      </c>
      <c r="EU62" s="48">
        <v>1.2989999999999999</v>
      </c>
      <c r="EV62" s="48">
        <v>7.4580000000000002</v>
      </c>
      <c r="EW62" s="48">
        <v>3.96</v>
      </c>
      <c r="EX62" s="48">
        <v>71.040000000000006</v>
      </c>
      <c r="EY62" s="48">
        <v>9.9000000000000005E-2</v>
      </c>
      <c r="EZ62" s="49">
        <v>0.35099999999999998</v>
      </c>
      <c r="FA62" s="49">
        <v>0</v>
      </c>
      <c r="FB62" s="49">
        <v>9.0510000000000002</v>
      </c>
      <c r="FC62" s="48">
        <v>66.775999999999996</v>
      </c>
      <c r="FD62" s="48">
        <v>65.335999999999999</v>
      </c>
      <c r="FE62" s="48">
        <v>79.475999999999999</v>
      </c>
      <c r="FF62" s="48">
        <v>77.260999999999996</v>
      </c>
      <c r="FG62" s="49">
        <v>0.99</v>
      </c>
      <c r="FH62" s="49">
        <v>0.98799999999999999</v>
      </c>
      <c r="FI62" s="48">
        <v>0.98799999999999999</v>
      </c>
      <c r="FJ62" s="48">
        <v>0.98399999999999999</v>
      </c>
      <c r="FK62" s="48">
        <v>0</v>
      </c>
      <c r="FL62" s="48">
        <v>82</v>
      </c>
      <c r="FM62" s="49">
        <v>2.76</v>
      </c>
      <c r="FN62" s="49">
        <v>0.92</v>
      </c>
      <c r="FO62" s="48">
        <v>5.49</v>
      </c>
      <c r="FP62" s="48">
        <v>3.65</v>
      </c>
      <c r="FQ62" s="49">
        <v>4.3499999999999996</v>
      </c>
      <c r="FR62" s="49">
        <v>5.05</v>
      </c>
      <c r="FS62" s="49">
        <v>6.7984999999999998</v>
      </c>
      <c r="FT62" s="48">
        <v>1059.5</v>
      </c>
      <c r="FU62" s="49">
        <v>7.66</v>
      </c>
      <c r="FV62" s="49">
        <v>17.27</v>
      </c>
      <c r="FW62" s="48">
        <v>3152</v>
      </c>
      <c r="FX62" s="48">
        <v>161500</v>
      </c>
      <c r="FY62" s="48">
        <v>161600</v>
      </c>
      <c r="FZ62" s="48">
        <v>43.776000000000003</v>
      </c>
      <c r="GA62" s="48">
        <v>42.927999999999997</v>
      </c>
      <c r="GB62" s="48">
        <v>2127</v>
      </c>
      <c r="GC62" s="48">
        <v>2098.1</v>
      </c>
      <c r="GD62" s="49">
        <v>2187.1999999999998</v>
      </c>
      <c r="GE62" s="48">
        <v>2127</v>
      </c>
      <c r="GF62" s="48">
        <v>1362.4375</v>
      </c>
      <c r="GG62" s="49">
        <v>30</v>
      </c>
      <c r="GH62" s="49">
        <v>29.5</v>
      </c>
      <c r="GI62" s="48">
        <v>43.8</v>
      </c>
      <c r="GJ62" s="48">
        <v>50</v>
      </c>
      <c r="GK62" s="48">
        <v>99.5</v>
      </c>
      <c r="GL62" s="48">
        <v>109.5</v>
      </c>
      <c r="GM62" s="49">
        <v>0</v>
      </c>
      <c r="GN62" s="49">
        <v>23.219000000000001</v>
      </c>
      <c r="GO62" s="48">
        <v>105.346</v>
      </c>
      <c r="GP62" s="49">
        <v>0</v>
      </c>
      <c r="GQ62" s="49">
        <v>5.1920000000000002</v>
      </c>
      <c r="GR62" s="49">
        <v>0</v>
      </c>
      <c r="GS62" s="49">
        <v>4.6609999999999996</v>
      </c>
      <c r="GT62" s="49">
        <v>0</v>
      </c>
      <c r="GU62" s="49">
        <v>6.0179999999999998</v>
      </c>
      <c r="GV62" s="49">
        <v>0</v>
      </c>
      <c r="GW62" s="48">
        <v>13.515000000000001</v>
      </c>
      <c r="GX62" s="48">
        <v>16.071999999999999</v>
      </c>
      <c r="GY62" s="49">
        <v>0</v>
      </c>
      <c r="GZ62" s="49">
        <v>0</v>
      </c>
      <c r="HA62" s="49">
        <v>0</v>
      </c>
      <c r="HB62" s="48">
        <v>0</v>
      </c>
      <c r="HC62" s="48">
        <v>34.715000000000003</v>
      </c>
      <c r="HD62" s="48">
        <v>90</v>
      </c>
      <c r="HE62" s="49">
        <v>0</v>
      </c>
      <c r="HF62" s="49">
        <v>0</v>
      </c>
      <c r="HG62" s="48">
        <v>72.040000000000006</v>
      </c>
      <c r="HH62" s="48">
        <v>81.540000000000006</v>
      </c>
      <c r="HI62" s="49">
        <v>0</v>
      </c>
      <c r="HJ62" s="49">
        <v>0</v>
      </c>
      <c r="HK62" s="49">
        <v>0</v>
      </c>
      <c r="HL62" s="48">
        <v>51</v>
      </c>
      <c r="HM62" s="49">
        <v>49</v>
      </c>
      <c r="HN62" s="49">
        <v>62</v>
      </c>
      <c r="HO62" s="49">
        <v>56</v>
      </c>
      <c r="HP62" s="49">
        <v>59</v>
      </c>
      <c r="HQ62" s="49">
        <v>57</v>
      </c>
      <c r="HR62" s="49">
        <v>51</v>
      </c>
      <c r="HS62" s="49">
        <v>70</v>
      </c>
      <c r="HT62" s="48">
        <v>-0.22800000000000001</v>
      </c>
      <c r="HU62" s="49">
        <v>0</v>
      </c>
      <c r="HV62" s="48">
        <v>1.3240000000000001</v>
      </c>
      <c r="HW62" s="49">
        <v>33.409999999999997</v>
      </c>
      <c r="HX62" s="49">
        <v>48.7</v>
      </c>
      <c r="HY62" s="3"/>
      <c r="HZ62" s="3"/>
      <c r="IA62" s="48">
        <v>2.7869999999999999</v>
      </c>
      <c r="IB62" s="49">
        <v>102</v>
      </c>
      <c r="IC62" s="48">
        <v>21.2</v>
      </c>
      <c r="ID62" s="48">
        <v>-0.14199999999999999</v>
      </c>
      <c r="IE62" s="49">
        <v>-2.5000000000000001E-2</v>
      </c>
      <c r="IF62" s="49">
        <v>791</v>
      </c>
      <c r="IG62" s="48">
        <v>726.8</v>
      </c>
      <c r="IH62" s="49">
        <v>830.7</v>
      </c>
      <c r="II62" s="48">
        <v>756.3</v>
      </c>
      <c r="IJ62" s="48">
        <v>6.7000000000000004E-2</v>
      </c>
      <c r="IK62" s="48">
        <v>-0.18</v>
      </c>
      <c r="IL62" s="48">
        <v>88.248000000000005</v>
      </c>
      <c r="IM62" s="48">
        <v>88.248000000000005</v>
      </c>
      <c r="IN62" s="48">
        <v>29.562000000000001</v>
      </c>
      <c r="IO62" s="48">
        <v>1.139</v>
      </c>
      <c r="IP62" s="48">
        <v>12.86</v>
      </c>
      <c r="IQ62" s="48">
        <v>0</v>
      </c>
      <c r="IR62" s="48">
        <v>0</v>
      </c>
      <c r="IS62">
        <v>-0.504</v>
      </c>
      <c r="IT62">
        <v>0.26300000000000001</v>
      </c>
    </row>
    <row r="63" spans="1:254" x14ac:dyDescent="0.25">
      <c r="IS63">
        <v>-0.504</v>
      </c>
      <c r="IT63">
        <v>0.26300000000000001</v>
      </c>
    </row>
    <row r="64" spans="1:254" x14ac:dyDescent="0.25">
      <c r="IS64">
        <v>-0.504</v>
      </c>
      <c r="IT64">
        <v>0.26300000000000001</v>
      </c>
    </row>
    <row r="65" spans="2:254" x14ac:dyDescent="0.25">
      <c r="IS65">
        <v>-0.504</v>
      </c>
      <c r="IT65">
        <v>0.26300000000000001</v>
      </c>
    </row>
    <row r="66" spans="2:254" x14ac:dyDescent="0.25">
      <c r="B66" s="2" t="s">
        <v>407</v>
      </c>
      <c r="C66" s="2" t="s">
        <v>41</v>
      </c>
      <c r="D66" s="57">
        <v>3.0067129629629628E-3</v>
      </c>
      <c r="E66" s="48">
        <v>259.78300000000002</v>
      </c>
      <c r="F66" s="48">
        <v>326.93</v>
      </c>
      <c r="G66" s="48">
        <v>5.75</v>
      </c>
      <c r="H66" s="48">
        <v>24</v>
      </c>
      <c r="I66" s="49">
        <v>0.32</v>
      </c>
      <c r="J66" s="48">
        <v>45.5</v>
      </c>
      <c r="K66" s="49">
        <v>6</v>
      </c>
      <c r="L66" s="48">
        <v>4</v>
      </c>
      <c r="M66" s="49">
        <v>4</v>
      </c>
      <c r="N66" s="49">
        <v>3</v>
      </c>
      <c r="O66" s="49">
        <v>3</v>
      </c>
      <c r="P66" s="48">
        <v>1.046</v>
      </c>
      <c r="Q66" s="48">
        <v>1.5</v>
      </c>
      <c r="R66" s="48">
        <v>1.1080000000000001</v>
      </c>
      <c r="S66" s="49">
        <v>0.97799999999999998</v>
      </c>
      <c r="T66" s="48">
        <v>69.75</v>
      </c>
      <c r="U66" s="49">
        <v>61.01</v>
      </c>
      <c r="V66" s="49">
        <v>201.66</v>
      </c>
      <c r="W66" s="49">
        <v>195</v>
      </c>
      <c r="X66" s="49">
        <v>195</v>
      </c>
      <c r="Y66" s="49">
        <v>206.66</v>
      </c>
      <c r="Z66" s="48">
        <v>375.75</v>
      </c>
      <c r="AA66" s="48">
        <v>365.55</v>
      </c>
      <c r="AB66" s="48">
        <v>338.52</v>
      </c>
      <c r="AC66" s="48">
        <v>356.4</v>
      </c>
      <c r="AD66" s="48">
        <v>1.7529999999999999</v>
      </c>
      <c r="AE66" s="48">
        <v>1.82</v>
      </c>
      <c r="AF66" s="48">
        <v>1.8009999999999999</v>
      </c>
      <c r="AG66" s="48">
        <v>1.8149999999999999</v>
      </c>
      <c r="AH66" s="48">
        <v>64.33</v>
      </c>
      <c r="AI66" s="48">
        <v>61.38</v>
      </c>
      <c r="AJ66" s="48">
        <v>90.81</v>
      </c>
      <c r="AK66" s="48">
        <v>91.85</v>
      </c>
      <c r="AL66" s="48">
        <v>564.63900000000001</v>
      </c>
      <c r="AM66" s="48">
        <v>578.38800000000003</v>
      </c>
      <c r="AN66" s="48">
        <v>689.84199999999998</v>
      </c>
      <c r="AO66" s="48">
        <v>706.74400000000003</v>
      </c>
      <c r="AP66" s="49">
        <v>2.5790000000000002</v>
      </c>
      <c r="AQ66" s="49">
        <v>1.8540000000000001</v>
      </c>
      <c r="AR66" s="48">
        <v>40.378999999999998</v>
      </c>
      <c r="AS66" s="49">
        <v>39.704999999999998</v>
      </c>
      <c r="AT66" s="49">
        <v>83</v>
      </c>
      <c r="AU66" s="48">
        <v>106</v>
      </c>
      <c r="AV66" s="48">
        <v>2.8405</v>
      </c>
      <c r="AW66" s="48">
        <v>5.274</v>
      </c>
      <c r="AX66" s="48">
        <v>999.7</v>
      </c>
      <c r="AY66" s="48">
        <v>1.38</v>
      </c>
      <c r="AZ66" s="49">
        <v>4.8899999999999997</v>
      </c>
      <c r="BA66" s="48">
        <v>69.403000000000006</v>
      </c>
      <c r="BB66" s="48">
        <v>69.602999999999994</v>
      </c>
      <c r="BC66" s="48">
        <v>7736</v>
      </c>
      <c r="BD66" s="48">
        <v>88.5</v>
      </c>
      <c r="BE66" s="48">
        <v>22.555</v>
      </c>
      <c r="BF66" s="48">
        <v>12.795</v>
      </c>
      <c r="BG66" s="48">
        <v>25.81</v>
      </c>
      <c r="BH66" s="48">
        <v>25.03</v>
      </c>
      <c r="BI66" s="48">
        <v>66.316999999999993</v>
      </c>
      <c r="BJ66" s="48">
        <v>81.662000000000006</v>
      </c>
      <c r="BK66" s="48">
        <v>64.694000000000003</v>
      </c>
      <c r="BL66" s="48">
        <v>79.42</v>
      </c>
      <c r="BM66" s="48">
        <v>78.997</v>
      </c>
      <c r="BN66" s="49">
        <v>118.824</v>
      </c>
      <c r="BO66" s="49">
        <v>124.616</v>
      </c>
      <c r="BP66" s="48">
        <v>135.27199999999999</v>
      </c>
      <c r="BQ66" s="48">
        <v>143.28800000000001</v>
      </c>
      <c r="BR66" s="48">
        <v>58.055</v>
      </c>
      <c r="BS66" s="49">
        <v>23.7</v>
      </c>
      <c r="BT66" s="48">
        <v>7348.2740000000003</v>
      </c>
      <c r="BU66" s="48">
        <v>82.146000000000001</v>
      </c>
      <c r="BV66" s="49">
        <v>65.744</v>
      </c>
      <c r="BW66" s="49">
        <v>65.930000000000007</v>
      </c>
      <c r="BX66" s="48">
        <v>62.902000000000001</v>
      </c>
      <c r="BY66" s="48">
        <v>1.4330000000000001</v>
      </c>
      <c r="BZ66" s="48">
        <v>3.0489999999999999</v>
      </c>
      <c r="CA66" s="48">
        <v>3.5659999999999998</v>
      </c>
      <c r="CB66" s="48">
        <v>3.1309999999999998</v>
      </c>
      <c r="CC66" s="48">
        <v>5.8</v>
      </c>
      <c r="CD66" s="49">
        <v>2.472</v>
      </c>
      <c r="CE66" s="48">
        <v>3.8130000000000002</v>
      </c>
      <c r="CF66" s="48">
        <v>2.0990000000000002</v>
      </c>
      <c r="CG66" s="48">
        <v>13.583</v>
      </c>
      <c r="CH66" s="49">
        <v>10.134</v>
      </c>
      <c r="CI66" s="49">
        <v>4.8239999999999998</v>
      </c>
      <c r="CJ66" s="48">
        <v>3.5630000000000002</v>
      </c>
      <c r="CK66" s="48">
        <v>1.512</v>
      </c>
      <c r="CL66" s="48">
        <v>0</v>
      </c>
      <c r="CM66" s="48">
        <v>0.2</v>
      </c>
      <c r="CN66" s="49">
        <v>0</v>
      </c>
      <c r="CO66" s="49">
        <v>0</v>
      </c>
      <c r="CP66" s="49">
        <v>95.015000000000001</v>
      </c>
      <c r="CQ66" s="49">
        <v>97.378</v>
      </c>
      <c r="CR66" s="48">
        <v>123.196</v>
      </c>
      <c r="CS66" s="48">
        <v>128.977</v>
      </c>
      <c r="CT66" s="49">
        <v>0.46700000000000003</v>
      </c>
      <c r="CU66" s="48">
        <v>1.4970000000000001</v>
      </c>
      <c r="CV66" s="49">
        <v>1.696</v>
      </c>
      <c r="CW66" s="48">
        <v>0.29899999999999999</v>
      </c>
      <c r="CX66" s="49">
        <v>2.403</v>
      </c>
      <c r="CY66" s="49">
        <v>1.198</v>
      </c>
      <c r="CZ66" s="48">
        <v>0.80100000000000005</v>
      </c>
      <c r="DA66" s="48">
        <v>1.498</v>
      </c>
      <c r="DB66" s="48">
        <v>1.399</v>
      </c>
      <c r="DC66" s="49">
        <v>6.0000000000000001E-3</v>
      </c>
      <c r="DD66" s="49">
        <v>0</v>
      </c>
      <c r="DE66" s="48">
        <v>0.31900000000000001</v>
      </c>
      <c r="DF66" s="48">
        <v>0.157</v>
      </c>
      <c r="DG66" s="48">
        <v>0.51</v>
      </c>
      <c r="DH66" s="48">
        <v>1.921</v>
      </c>
      <c r="DI66" s="48">
        <v>1.1719999999999999</v>
      </c>
      <c r="DJ66" s="48">
        <v>0.33300000000000002</v>
      </c>
      <c r="DK66" s="48">
        <v>1.087</v>
      </c>
      <c r="DL66" s="48">
        <v>0.61199999999999999</v>
      </c>
      <c r="DM66" s="49">
        <v>0.78200000000000003</v>
      </c>
      <c r="DN66" s="48">
        <v>0.77800000000000002</v>
      </c>
      <c r="DO66" s="48">
        <v>0.71299999999999997</v>
      </c>
      <c r="DP66" s="48">
        <v>66.983000000000004</v>
      </c>
      <c r="DQ66" s="48">
        <v>62.966000000000001</v>
      </c>
      <c r="DR66" s="48">
        <v>55.287999999999997</v>
      </c>
      <c r="DS66" s="49">
        <v>54.55</v>
      </c>
      <c r="DT66" s="48">
        <v>4.09</v>
      </c>
      <c r="DU66" s="48">
        <v>4.87</v>
      </c>
      <c r="DV66" s="48">
        <v>14.04</v>
      </c>
      <c r="DW66" s="48">
        <v>11.1</v>
      </c>
      <c r="DX66" s="48">
        <v>4.7300000000000004</v>
      </c>
      <c r="DY66" s="48">
        <v>4.87</v>
      </c>
      <c r="DZ66" s="48">
        <v>13.52</v>
      </c>
      <c r="EA66" s="48">
        <v>10.57</v>
      </c>
      <c r="EB66" s="48">
        <v>39.020000000000003</v>
      </c>
      <c r="EC66" s="48">
        <v>37.700000000000003</v>
      </c>
      <c r="ED66" s="49">
        <v>29.96</v>
      </c>
      <c r="EE66" s="48">
        <v>32.93</v>
      </c>
      <c r="EF66" s="48">
        <v>52.16</v>
      </c>
      <c r="EG66" s="48">
        <v>52.56</v>
      </c>
      <c r="EH66" s="48">
        <v>42.48</v>
      </c>
      <c r="EI66" s="48">
        <v>45.4</v>
      </c>
      <c r="EJ66" s="48">
        <v>6.5259999999999998</v>
      </c>
      <c r="EK66" s="48">
        <v>63.384</v>
      </c>
      <c r="EL66" s="49">
        <v>1.25</v>
      </c>
      <c r="EM66" s="49">
        <v>0.55000000000000004</v>
      </c>
      <c r="EN66" s="48">
        <v>1.17</v>
      </c>
      <c r="EO66" s="48">
        <v>1.1599999999999999</v>
      </c>
      <c r="EP66" s="48">
        <v>-103.59399999999999</v>
      </c>
      <c r="EQ66" s="49">
        <v>-1.149</v>
      </c>
      <c r="ER66" s="48">
        <v>102.85</v>
      </c>
      <c r="ES66" s="48">
        <v>1.264</v>
      </c>
      <c r="ET66" s="48">
        <v>1.403</v>
      </c>
      <c r="EU66" s="48">
        <v>1.248</v>
      </c>
      <c r="EV66" s="48">
        <v>7.5979999999999999</v>
      </c>
      <c r="EW66" s="48">
        <v>3.9740000000000002</v>
      </c>
      <c r="EX66" s="48">
        <v>-143.44</v>
      </c>
      <c r="EY66" s="49">
        <v>2.2400000000000002</v>
      </c>
      <c r="EZ66" s="48">
        <v>0</v>
      </c>
      <c r="FA66" s="49">
        <v>0</v>
      </c>
      <c r="FB66" s="48">
        <v>8.7789999999999999</v>
      </c>
      <c r="FC66" s="48">
        <v>64.203999999999994</v>
      </c>
      <c r="FD66" s="48">
        <v>63.420999999999999</v>
      </c>
      <c r="FE66" s="48">
        <v>75.183000000000007</v>
      </c>
      <c r="FF66" s="48">
        <v>73.903999999999996</v>
      </c>
      <c r="FG66" s="48">
        <v>0.95699999999999996</v>
      </c>
      <c r="FH66" s="48">
        <v>0.96199999999999997</v>
      </c>
      <c r="FI66" s="49">
        <v>0.99299999999999999</v>
      </c>
      <c r="FJ66" s="49">
        <v>0.99</v>
      </c>
      <c r="FK66" s="49">
        <v>0.40100000000000002</v>
      </c>
      <c r="FL66" s="49">
        <v>83</v>
      </c>
      <c r="FM66" s="49">
        <v>3.05</v>
      </c>
      <c r="FN66" s="49">
        <v>0.99</v>
      </c>
      <c r="FO66" s="49">
        <v>4.9000000000000004</v>
      </c>
      <c r="FP66" s="48">
        <v>3.95</v>
      </c>
      <c r="FQ66" s="49">
        <v>3.15</v>
      </c>
      <c r="FR66" s="48">
        <v>5.2</v>
      </c>
      <c r="FS66" s="48">
        <v>6.7409999999999997</v>
      </c>
      <c r="FT66" s="49">
        <v>1069.4000000000001</v>
      </c>
      <c r="FU66" s="48">
        <v>7.68</v>
      </c>
      <c r="FV66" s="48">
        <v>5.75</v>
      </c>
      <c r="FW66" s="49">
        <v>3196</v>
      </c>
      <c r="FX66" s="49">
        <v>172000</v>
      </c>
      <c r="FY66" s="49">
        <v>173500</v>
      </c>
      <c r="FZ66" s="49">
        <v>44.801000000000002</v>
      </c>
      <c r="GA66" s="49">
        <v>43.79</v>
      </c>
      <c r="GB66" s="48">
        <v>2123.3000000000002</v>
      </c>
      <c r="GC66" s="48">
        <v>2118.1999999999998</v>
      </c>
      <c r="GD66" s="48">
        <v>2127.9</v>
      </c>
      <c r="GE66" s="48">
        <v>2339.9</v>
      </c>
      <c r="GF66" s="48">
        <v>1182.0938000000001</v>
      </c>
      <c r="GG66" s="48">
        <v>30</v>
      </c>
      <c r="GH66" s="48">
        <v>29.8</v>
      </c>
      <c r="GI66" s="49">
        <v>47.8</v>
      </c>
      <c r="GJ66" s="49">
        <v>54</v>
      </c>
      <c r="GK66" s="48">
        <v>98</v>
      </c>
      <c r="GL66" s="48">
        <v>112.9</v>
      </c>
      <c r="GM66" s="49">
        <v>0</v>
      </c>
      <c r="GN66" s="48">
        <v>23.838999999999999</v>
      </c>
      <c r="GO66" s="48">
        <v>103.59399999999999</v>
      </c>
      <c r="GP66" s="49">
        <v>0</v>
      </c>
      <c r="GQ66" s="48">
        <v>4.3659999999999997</v>
      </c>
      <c r="GR66" s="49">
        <v>0</v>
      </c>
      <c r="GS66" s="48">
        <v>4.72</v>
      </c>
      <c r="GT66" s="49">
        <v>0</v>
      </c>
      <c r="GU66" s="48">
        <v>4.3070000000000004</v>
      </c>
      <c r="GV66" s="49">
        <v>0</v>
      </c>
      <c r="GW66" s="48">
        <v>12.247</v>
      </c>
      <c r="GX66" s="49">
        <v>18.718</v>
      </c>
      <c r="GY66" s="49">
        <v>0</v>
      </c>
      <c r="GZ66" s="49">
        <v>0</v>
      </c>
      <c r="HA66" s="49">
        <v>0</v>
      </c>
      <c r="HB66" s="49">
        <v>1</v>
      </c>
      <c r="HC66" s="48">
        <v>35.201999999999998</v>
      </c>
      <c r="HD66" s="49">
        <v>98</v>
      </c>
      <c r="HE66" s="49">
        <v>0</v>
      </c>
      <c r="HF66" s="49">
        <v>0</v>
      </c>
      <c r="HG66" s="49">
        <v>85.61</v>
      </c>
      <c r="HH66" s="49">
        <v>95.85</v>
      </c>
      <c r="HI66" s="49">
        <v>0</v>
      </c>
      <c r="HJ66" s="49">
        <v>0</v>
      </c>
      <c r="HK66" s="49">
        <v>0</v>
      </c>
      <c r="HL66" s="49">
        <v>55</v>
      </c>
      <c r="HM66" s="49">
        <v>50</v>
      </c>
      <c r="HN66" s="48">
        <v>63</v>
      </c>
      <c r="HO66" s="48">
        <v>56</v>
      </c>
      <c r="HP66" s="48">
        <v>59</v>
      </c>
      <c r="HQ66" s="48">
        <v>57</v>
      </c>
      <c r="HR66" s="48">
        <v>51</v>
      </c>
      <c r="HS66" s="48">
        <v>62</v>
      </c>
      <c r="HT66" s="48">
        <v>-0.254</v>
      </c>
      <c r="HU66" s="49">
        <v>0</v>
      </c>
      <c r="HV66" s="48">
        <v>1.2250000000000001</v>
      </c>
      <c r="HW66" s="48">
        <v>39.75</v>
      </c>
      <c r="HX66" s="48">
        <v>46.31</v>
      </c>
      <c r="HY66" s="3"/>
      <c r="HZ66" s="3"/>
      <c r="IA66" s="48">
        <v>2.573</v>
      </c>
      <c r="IB66" s="48">
        <v>100</v>
      </c>
      <c r="IC66" s="48">
        <v>19.079999999999998</v>
      </c>
      <c r="ID66" s="48">
        <v>-0.13900000000000001</v>
      </c>
      <c r="IE66" s="49">
        <v>-1.7999999999999999E-2</v>
      </c>
      <c r="IF66" s="48">
        <v>812</v>
      </c>
      <c r="IG66" s="48">
        <v>703.5</v>
      </c>
      <c r="IH66" s="49">
        <v>867.2</v>
      </c>
      <c r="II66" s="48">
        <v>734.4</v>
      </c>
      <c r="IJ66" s="49">
        <v>0.11799999999999999</v>
      </c>
      <c r="IK66" s="49">
        <v>-0.14799999999999999</v>
      </c>
      <c r="IL66" s="48">
        <v>112.858</v>
      </c>
      <c r="IM66" s="48">
        <v>112.858</v>
      </c>
      <c r="IN66" s="49">
        <v>30.847999999999999</v>
      </c>
      <c r="IO66" s="48">
        <v>1.107</v>
      </c>
      <c r="IP66" s="49">
        <v>12.95</v>
      </c>
      <c r="IQ66" s="49">
        <v>1.2999999999999999E-2</v>
      </c>
      <c r="IR66" s="49">
        <v>0.01</v>
      </c>
      <c r="IS66">
        <v>-0.504</v>
      </c>
      <c r="IT66">
        <v>0.26300000000000001</v>
      </c>
    </row>
    <row r="67" spans="2:254" x14ac:dyDescent="0.25">
      <c r="B67" s="2" t="s">
        <v>407</v>
      </c>
      <c r="C67" s="2" t="s">
        <v>42</v>
      </c>
      <c r="D67" s="57">
        <v>2.4840277777777777E-3</v>
      </c>
      <c r="E67" s="48">
        <v>214.62</v>
      </c>
      <c r="F67" s="48">
        <v>328.35</v>
      </c>
      <c r="G67" s="48">
        <v>5.93</v>
      </c>
      <c r="H67" s="48">
        <v>23.8</v>
      </c>
      <c r="I67" s="48">
        <v>0</v>
      </c>
      <c r="J67" s="48">
        <v>13.6</v>
      </c>
      <c r="K67" s="49">
        <v>6</v>
      </c>
      <c r="L67" s="48">
        <v>4</v>
      </c>
      <c r="M67" s="49">
        <v>4</v>
      </c>
      <c r="N67" s="49">
        <v>3</v>
      </c>
      <c r="O67" s="49">
        <v>3</v>
      </c>
      <c r="P67" s="49">
        <v>1.165</v>
      </c>
      <c r="Q67" s="49">
        <v>2.0920000000000001</v>
      </c>
      <c r="R67" s="49">
        <v>1.1319999999999999</v>
      </c>
      <c r="S67" s="48">
        <v>0.86699999999999999</v>
      </c>
      <c r="T67" s="49">
        <v>90.9</v>
      </c>
      <c r="U67" s="48">
        <v>60.658000000000001</v>
      </c>
      <c r="V67" s="48">
        <v>266.66000000000003</v>
      </c>
      <c r="W67" s="48">
        <v>261.66000000000003</v>
      </c>
      <c r="X67" s="48">
        <v>276.66000000000003</v>
      </c>
      <c r="Y67" s="48">
        <v>298.33999999999997</v>
      </c>
      <c r="Z67" s="49">
        <v>424.36</v>
      </c>
      <c r="AA67" s="49">
        <v>415.87</v>
      </c>
      <c r="AB67" s="48">
        <v>407.35</v>
      </c>
      <c r="AC67" s="48">
        <v>426.28</v>
      </c>
      <c r="AD67" s="48">
        <v>1.772</v>
      </c>
      <c r="AE67" s="48">
        <v>1.831</v>
      </c>
      <c r="AF67" s="48">
        <v>1.85</v>
      </c>
      <c r="AG67" s="48">
        <v>1.8580000000000001</v>
      </c>
      <c r="AH67" s="48">
        <v>70.599999999999994</v>
      </c>
      <c r="AI67" s="48">
        <v>69.03</v>
      </c>
      <c r="AJ67" s="48">
        <v>101.23</v>
      </c>
      <c r="AK67" s="48">
        <v>101.73</v>
      </c>
      <c r="AL67" s="49">
        <v>670.99</v>
      </c>
      <c r="AM67" s="49">
        <v>663.74699999999996</v>
      </c>
      <c r="AN67" s="49">
        <v>786.71</v>
      </c>
      <c r="AO67" s="49">
        <v>781.61699999999996</v>
      </c>
      <c r="AP67" s="48">
        <v>2.5339999999999998</v>
      </c>
      <c r="AQ67" s="48">
        <v>1.8480000000000001</v>
      </c>
      <c r="AR67" s="48">
        <v>40.408000000000001</v>
      </c>
      <c r="AS67" s="48">
        <v>37.082000000000001</v>
      </c>
      <c r="AT67" s="48">
        <v>82</v>
      </c>
      <c r="AU67" s="48">
        <v>108</v>
      </c>
      <c r="AV67" s="48">
        <v>3.0665</v>
      </c>
      <c r="AW67" s="49">
        <v>5.4520999999999997</v>
      </c>
      <c r="AX67" s="48">
        <v>994.7</v>
      </c>
      <c r="AY67" s="48">
        <v>1.31</v>
      </c>
      <c r="AZ67" s="48">
        <v>5.51</v>
      </c>
      <c r="BA67" s="48">
        <v>101.908</v>
      </c>
      <c r="BB67" s="48">
        <v>100.806</v>
      </c>
      <c r="BC67" s="48">
        <v>7739</v>
      </c>
      <c r="BD67" s="48">
        <v>88.5</v>
      </c>
      <c r="BE67" s="48">
        <v>23.765000000000001</v>
      </c>
      <c r="BF67" s="48">
        <v>14.75</v>
      </c>
      <c r="BG67" s="48">
        <v>27.42</v>
      </c>
      <c r="BH67" s="48">
        <v>27.31</v>
      </c>
      <c r="BI67" s="3"/>
      <c r="BJ67" s="3"/>
      <c r="BK67" s="3"/>
      <c r="BL67" s="3"/>
      <c r="BM67" s="3"/>
      <c r="BN67" s="48">
        <v>91.847999999999999</v>
      </c>
      <c r="BO67" s="48">
        <v>92.12</v>
      </c>
      <c r="BP67" s="48">
        <v>133.672</v>
      </c>
      <c r="BQ67" s="48">
        <v>137.816</v>
      </c>
      <c r="BR67" s="3"/>
      <c r="BS67" s="48">
        <v>23.5</v>
      </c>
      <c r="BT67" s="48">
        <v>7347.6660000000002</v>
      </c>
      <c r="BU67" s="48">
        <v>79.725999999999999</v>
      </c>
      <c r="BV67" s="48">
        <v>62.61</v>
      </c>
      <c r="BW67" s="48">
        <v>63.195</v>
      </c>
      <c r="BX67" s="48">
        <v>65.602999999999994</v>
      </c>
      <c r="BY67" s="49">
        <v>1.587</v>
      </c>
      <c r="BZ67" s="48">
        <v>3.3149999999999999</v>
      </c>
      <c r="CA67" s="48">
        <v>3.488</v>
      </c>
      <c r="CB67" s="49">
        <v>3.7749999999999999</v>
      </c>
      <c r="CC67" s="49">
        <v>6.1420000000000003</v>
      </c>
      <c r="CD67" s="48">
        <v>2.4710000000000001</v>
      </c>
      <c r="CE67" s="48">
        <v>3.8210000000000002</v>
      </c>
      <c r="CF67" s="49">
        <v>2.153</v>
      </c>
      <c r="CG67" s="49">
        <v>13.667999999999999</v>
      </c>
      <c r="CH67" s="48">
        <v>13.528</v>
      </c>
      <c r="CI67" s="48">
        <v>4.0090000000000003</v>
      </c>
      <c r="CJ67" s="49">
        <v>3.9020000000000001</v>
      </c>
      <c r="CK67" s="49">
        <v>1.6419999999999999</v>
      </c>
      <c r="CL67" s="48">
        <v>0.1</v>
      </c>
      <c r="CM67" s="48">
        <v>0.4</v>
      </c>
      <c r="CN67" s="49">
        <v>0</v>
      </c>
      <c r="CO67" s="49">
        <v>0</v>
      </c>
      <c r="CP67" s="48">
        <v>87.474999999999994</v>
      </c>
      <c r="CQ67" s="48">
        <v>88.65</v>
      </c>
      <c r="CR67" s="48">
        <v>127.09099999999999</v>
      </c>
      <c r="CS67" s="48">
        <v>131.87299999999999</v>
      </c>
      <c r="CT67" s="48">
        <v>0.27400000000000002</v>
      </c>
      <c r="CU67" s="49">
        <v>2.0009999999999999</v>
      </c>
      <c r="CV67" s="48">
        <v>0.7</v>
      </c>
      <c r="CW67" s="48">
        <v>0.7</v>
      </c>
      <c r="CX67" s="48">
        <v>1.595</v>
      </c>
      <c r="CY67" s="48">
        <v>0.89900000000000002</v>
      </c>
      <c r="CZ67" s="49">
        <v>1.2989999999999999</v>
      </c>
      <c r="DA67" s="49">
        <v>1.605</v>
      </c>
      <c r="DB67" s="48">
        <v>1.399</v>
      </c>
      <c r="DC67" s="48">
        <v>0</v>
      </c>
      <c r="DD67" s="49">
        <v>0</v>
      </c>
      <c r="DE67" s="48">
        <v>0.36</v>
      </c>
      <c r="DF67" s="48">
        <v>0.158</v>
      </c>
      <c r="DG67" s="49">
        <v>1.022</v>
      </c>
      <c r="DH67" s="48">
        <v>2.3780000000000001</v>
      </c>
      <c r="DI67" s="48">
        <v>1.341</v>
      </c>
      <c r="DJ67" s="48">
        <v>0.25</v>
      </c>
      <c r="DK67" s="48">
        <v>1.1419999999999999</v>
      </c>
      <c r="DL67" s="49">
        <v>0.61299999999999999</v>
      </c>
      <c r="DM67" s="48">
        <v>0.77500000000000002</v>
      </c>
      <c r="DN67" s="49">
        <v>0.81100000000000005</v>
      </c>
      <c r="DO67" s="49">
        <v>0.73899999999999999</v>
      </c>
      <c r="DP67" s="48">
        <v>70.778999999999996</v>
      </c>
      <c r="DQ67" s="48">
        <v>63.569000000000003</v>
      </c>
      <c r="DR67" s="48">
        <v>54.268000000000001</v>
      </c>
      <c r="DS67" s="48">
        <v>53.838000000000001</v>
      </c>
      <c r="DT67" s="49">
        <v>6.55</v>
      </c>
      <c r="DU67" s="48">
        <v>6.73</v>
      </c>
      <c r="DV67" s="48">
        <v>18.52</v>
      </c>
      <c r="DW67" s="48">
        <v>14.57</v>
      </c>
      <c r="DX67" s="48">
        <v>7.03</v>
      </c>
      <c r="DY67" s="49">
        <v>7.35</v>
      </c>
      <c r="DZ67" s="48">
        <v>17.88</v>
      </c>
      <c r="EA67" s="48">
        <v>14.33</v>
      </c>
      <c r="EB67" s="48">
        <v>42.18</v>
      </c>
      <c r="EC67" s="49">
        <v>40.56</v>
      </c>
      <c r="ED67" s="48">
        <v>29.94</v>
      </c>
      <c r="EE67" s="49">
        <v>33.67</v>
      </c>
      <c r="EF67" s="48">
        <v>44.23</v>
      </c>
      <c r="EG67" s="48">
        <v>45.35</v>
      </c>
      <c r="EH67" s="48">
        <v>33.67</v>
      </c>
      <c r="EI67" s="48">
        <v>37.43</v>
      </c>
      <c r="EJ67" s="48">
        <v>6.4930000000000003</v>
      </c>
      <c r="EK67" s="48">
        <v>63.941000000000003</v>
      </c>
      <c r="EL67" s="48">
        <v>1.1499999999999999</v>
      </c>
      <c r="EM67" s="48">
        <v>0.7</v>
      </c>
      <c r="EN67" s="48">
        <v>1.17</v>
      </c>
      <c r="EO67" s="48">
        <v>1.1599999999999999</v>
      </c>
      <c r="EP67" s="48">
        <v>-105.346</v>
      </c>
      <c r="EQ67" s="48">
        <v>-2.581</v>
      </c>
      <c r="ER67" s="48">
        <v>109.858</v>
      </c>
      <c r="ES67" s="49">
        <v>1.349</v>
      </c>
      <c r="ET67" s="49">
        <v>1.518</v>
      </c>
      <c r="EU67" s="49">
        <v>1.3360000000000001</v>
      </c>
      <c r="EV67" s="48">
        <v>7.5380000000000003</v>
      </c>
      <c r="EW67" s="49">
        <v>4.1520000000000001</v>
      </c>
      <c r="EX67" s="48">
        <v>74.12</v>
      </c>
      <c r="EY67" s="48">
        <v>0</v>
      </c>
      <c r="EZ67" s="48">
        <v>0.26400000000000001</v>
      </c>
      <c r="FA67" s="49">
        <v>0</v>
      </c>
      <c r="FB67" s="48">
        <v>8.968</v>
      </c>
      <c r="FC67" s="48">
        <v>63.933999999999997</v>
      </c>
      <c r="FD67" s="48">
        <v>62.884</v>
      </c>
      <c r="FE67" s="48">
        <v>76.918999999999997</v>
      </c>
      <c r="FF67" s="48">
        <v>75.066000000000003</v>
      </c>
      <c r="FG67" s="48">
        <v>0.91</v>
      </c>
      <c r="FH67" s="48">
        <v>0.90800000000000003</v>
      </c>
      <c r="FI67" s="48">
        <v>0.98799999999999999</v>
      </c>
      <c r="FJ67" s="48">
        <v>0.98399999999999999</v>
      </c>
      <c r="FK67" s="48">
        <v>0</v>
      </c>
      <c r="FL67" s="48">
        <v>82</v>
      </c>
      <c r="FM67" s="48">
        <v>2.84</v>
      </c>
      <c r="FN67" s="48">
        <v>1.39</v>
      </c>
      <c r="FO67" s="48">
        <v>5.4</v>
      </c>
      <c r="FP67" s="3"/>
      <c r="FQ67" s="48">
        <v>4.5999999999999996</v>
      </c>
      <c r="FR67" s="49">
        <v>5.05</v>
      </c>
      <c r="FS67" s="49">
        <v>6.8</v>
      </c>
      <c r="FT67" s="48">
        <v>1055.5</v>
      </c>
      <c r="FU67" s="48">
        <v>7.65</v>
      </c>
      <c r="FV67" s="48">
        <v>11.68</v>
      </c>
      <c r="FW67" s="48">
        <v>3068</v>
      </c>
      <c r="FX67" s="48">
        <v>162900</v>
      </c>
      <c r="FY67" s="48">
        <v>163800</v>
      </c>
      <c r="FZ67" s="48">
        <v>43.850999999999999</v>
      </c>
      <c r="GA67" s="48">
        <v>43.070999999999998</v>
      </c>
      <c r="GB67" s="48">
        <v>2132.6999999999998</v>
      </c>
      <c r="GC67" s="49">
        <v>2236.1999999999998</v>
      </c>
      <c r="GD67" s="48">
        <v>2143.8000000000002</v>
      </c>
      <c r="GE67" s="49">
        <v>2469.4</v>
      </c>
      <c r="GF67" s="48">
        <v>1226.4530999999999</v>
      </c>
      <c r="GG67" s="48">
        <v>29</v>
      </c>
      <c r="GH67" s="48">
        <v>29</v>
      </c>
      <c r="GI67" s="48">
        <v>44.7</v>
      </c>
      <c r="GJ67" s="48">
        <v>50.5</v>
      </c>
      <c r="GK67" s="48">
        <v>99.5</v>
      </c>
      <c r="GL67" s="49">
        <v>114</v>
      </c>
      <c r="GM67" s="49">
        <v>0</v>
      </c>
      <c r="GN67" s="48">
        <v>21.469000000000001</v>
      </c>
      <c r="GO67" s="48">
        <v>109.858</v>
      </c>
      <c r="GP67" s="48">
        <v>0.35399999999999998</v>
      </c>
      <c r="GQ67" s="48">
        <v>1.829</v>
      </c>
      <c r="GR67" s="48">
        <v>0.64900000000000002</v>
      </c>
      <c r="GS67" s="48">
        <v>1.8879999999999999</v>
      </c>
      <c r="GT67" s="48">
        <v>0.53100000000000003</v>
      </c>
      <c r="GU67" s="48">
        <v>1.829</v>
      </c>
      <c r="GV67" s="48">
        <v>12.641999999999999</v>
      </c>
      <c r="GW67" s="48">
        <v>14.048</v>
      </c>
      <c r="GX67" s="48">
        <v>16.66</v>
      </c>
      <c r="GY67" s="49">
        <v>0</v>
      </c>
      <c r="GZ67" s="49">
        <v>0</v>
      </c>
      <c r="HA67" s="49">
        <v>0</v>
      </c>
      <c r="HB67" s="48">
        <v>0</v>
      </c>
      <c r="HC67" s="48">
        <v>36.843000000000004</v>
      </c>
      <c r="HD67" s="48">
        <v>90</v>
      </c>
      <c r="HE67" s="49">
        <v>0</v>
      </c>
      <c r="HF67" s="49">
        <v>0</v>
      </c>
      <c r="HG67" s="48">
        <v>78.680000000000007</v>
      </c>
      <c r="HH67" s="48">
        <v>81.599999999999994</v>
      </c>
      <c r="HI67" s="49">
        <v>0</v>
      </c>
      <c r="HJ67" s="49">
        <v>0</v>
      </c>
      <c r="HK67" s="49">
        <v>0</v>
      </c>
      <c r="HL67" s="48">
        <v>52</v>
      </c>
      <c r="HM67" s="49">
        <v>50</v>
      </c>
      <c r="HN67" s="48">
        <v>63</v>
      </c>
      <c r="HO67" s="48">
        <v>57</v>
      </c>
      <c r="HP67" s="48">
        <v>59</v>
      </c>
      <c r="HQ67" s="49">
        <v>58</v>
      </c>
      <c r="HR67" s="48">
        <v>51</v>
      </c>
      <c r="HS67" s="48">
        <v>62</v>
      </c>
      <c r="HT67" s="48">
        <v>-0.27100000000000002</v>
      </c>
      <c r="HU67" s="49">
        <v>0</v>
      </c>
      <c r="HV67" s="48">
        <v>1.502</v>
      </c>
      <c r="HW67" s="48">
        <v>38.159999999999997</v>
      </c>
      <c r="HX67" s="49">
        <v>42.51</v>
      </c>
      <c r="HY67" s="49">
        <v>54.55</v>
      </c>
      <c r="HZ67" s="49">
        <v>54.55</v>
      </c>
      <c r="IA67" s="48">
        <v>2.738</v>
      </c>
      <c r="IB67" s="48">
        <v>102</v>
      </c>
      <c r="IC67" s="48">
        <v>21.396999999999998</v>
      </c>
      <c r="ID67" s="48">
        <v>-0.19400000000000001</v>
      </c>
      <c r="IE67" s="48">
        <v>-3.3000000000000002E-2</v>
      </c>
      <c r="IF67" s="48">
        <v>806</v>
      </c>
      <c r="IG67" s="48">
        <v>751.2</v>
      </c>
      <c r="IH67" s="48">
        <v>850</v>
      </c>
      <c r="II67" s="48">
        <v>781.5</v>
      </c>
      <c r="IJ67" s="48">
        <v>5.3999999999999999E-2</v>
      </c>
      <c r="IK67" s="48">
        <v>-0.25700000000000001</v>
      </c>
      <c r="IL67" s="48">
        <v>72.003</v>
      </c>
      <c r="IM67" s="48">
        <v>72.003</v>
      </c>
      <c r="IN67" s="48">
        <v>30.300999999999998</v>
      </c>
      <c r="IO67" s="48">
        <v>1.385</v>
      </c>
      <c r="IP67" s="48">
        <v>12.59</v>
      </c>
      <c r="IQ67" s="48">
        <v>1.2E-2</v>
      </c>
      <c r="IR67" s="48">
        <v>7.0000000000000001E-3</v>
      </c>
      <c r="IS67">
        <v>-0.49199999999999999</v>
      </c>
      <c r="IT67">
        <v>0.27</v>
      </c>
    </row>
    <row r="68" spans="2:254" x14ac:dyDescent="0.25">
      <c r="B68" s="2" t="s">
        <v>407</v>
      </c>
      <c r="C68" s="58" t="s">
        <v>43</v>
      </c>
      <c r="D68" s="59">
        <v>2.4340277777777776E-3</v>
      </c>
      <c r="E68" s="48">
        <v>210.3</v>
      </c>
      <c r="F68" s="49">
        <v>331.25</v>
      </c>
      <c r="G68" s="49">
        <v>6.02</v>
      </c>
      <c r="H68" s="48">
        <v>23.8</v>
      </c>
      <c r="I68" s="48">
        <v>0</v>
      </c>
      <c r="J68" s="48">
        <v>14.1</v>
      </c>
      <c r="K68" s="49">
        <v>6</v>
      </c>
      <c r="L68" s="48">
        <v>4</v>
      </c>
      <c r="M68" s="49">
        <v>4</v>
      </c>
      <c r="N68" s="49">
        <v>3</v>
      </c>
      <c r="O68" s="49">
        <v>3</v>
      </c>
      <c r="P68" s="48">
        <v>1.0980000000000001</v>
      </c>
      <c r="Q68" s="48">
        <v>1.9850000000000001</v>
      </c>
      <c r="R68" s="48">
        <v>1.06</v>
      </c>
      <c r="S68" s="48">
        <v>0.86199999999999999</v>
      </c>
      <c r="T68" s="48">
        <v>85.35</v>
      </c>
      <c r="U68" s="48">
        <v>60.515000000000001</v>
      </c>
      <c r="V68" s="48">
        <v>263.33999999999997</v>
      </c>
      <c r="W68" s="48">
        <v>265</v>
      </c>
      <c r="X68" s="48">
        <v>291.66000000000003</v>
      </c>
      <c r="Y68" s="48">
        <v>304</v>
      </c>
      <c r="Z68" s="48">
        <v>421.87</v>
      </c>
      <c r="AA68" s="48">
        <v>413.21</v>
      </c>
      <c r="AB68" s="49">
        <v>421.07</v>
      </c>
      <c r="AC68" s="49">
        <v>440</v>
      </c>
      <c r="AD68" s="48">
        <v>1.784</v>
      </c>
      <c r="AE68" s="48">
        <v>1.8360000000000001</v>
      </c>
      <c r="AF68" s="49">
        <v>1.887</v>
      </c>
      <c r="AG68" s="48">
        <v>1.8879999999999999</v>
      </c>
      <c r="AH68" s="48">
        <v>72.63</v>
      </c>
      <c r="AI68" s="49">
        <v>70.86</v>
      </c>
      <c r="AJ68" s="49">
        <v>105.58</v>
      </c>
      <c r="AK68" s="48">
        <v>106.03</v>
      </c>
      <c r="AL68" s="48">
        <v>654.46699999999998</v>
      </c>
      <c r="AM68" s="48">
        <v>650.49300000000005</v>
      </c>
      <c r="AN68" s="48">
        <v>777.93700000000001</v>
      </c>
      <c r="AO68" s="48">
        <v>770.85699999999997</v>
      </c>
      <c r="AP68" s="48">
        <v>2.5489999999999999</v>
      </c>
      <c r="AQ68" s="48">
        <v>1.85</v>
      </c>
      <c r="AR68" s="49">
        <v>40.991</v>
      </c>
      <c r="AS68" s="48">
        <v>38.11</v>
      </c>
      <c r="AT68" s="48">
        <v>82</v>
      </c>
      <c r="AU68" s="48">
        <v>109</v>
      </c>
      <c r="AV68" s="48">
        <v>2.7725</v>
      </c>
      <c r="AW68" s="48">
        <v>5.3788</v>
      </c>
      <c r="AX68" s="48">
        <v>995.7</v>
      </c>
      <c r="AY68" s="48">
        <v>1.32</v>
      </c>
      <c r="AZ68" s="48">
        <v>5.62</v>
      </c>
      <c r="BA68" s="48">
        <v>135.63399999999999</v>
      </c>
      <c r="BB68" s="48">
        <v>137.52099999999999</v>
      </c>
      <c r="BC68" s="48">
        <v>7819</v>
      </c>
      <c r="BD68" s="49">
        <v>90</v>
      </c>
      <c r="BE68" s="48">
        <v>23.995000000000001</v>
      </c>
      <c r="BF68" s="49">
        <v>14.85</v>
      </c>
      <c r="BG68" s="49">
        <v>28.46</v>
      </c>
      <c r="BH68" s="49">
        <v>31.08</v>
      </c>
      <c r="BI68" s="3"/>
      <c r="BJ68" s="3"/>
      <c r="BK68" s="3"/>
      <c r="BL68" s="3"/>
      <c r="BM68" s="3"/>
      <c r="BN68" s="48">
        <v>92.552000000000007</v>
      </c>
      <c r="BO68" s="48">
        <v>93.816000000000003</v>
      </c>
      <c r="BP68" s="49">
        <v>136.08799999999999</v>
      </c>
      <c r="BQ68" s="48">
        <v>143.19200000000001</v>
      </c>
      <c r="BR68" s="3"/>
      <c r="BS68" s="48">
        <v>23.5</v>
      </c>
      <c r="BT68" s="49">
        <v>7348.4449999999997</v>
      </c>
      <c r="BU68" s="48">
        <v>78.790000000000006</v>
      </c>
      <c r="BV68" s="48">
        <v>60.786000000000001</v>
      </c>
      <c r="BW68" s="48">
        <v>59.893999999999998</v>
      </c>
      <c r="BX68" s="48">
        <v>65.914000000000001</v>
      </c>
      <c r="BY68" s="48">
        <v>1.391</v>
      </c>
      <c r="BZ68" s="48">
        <v>3.2360000000000002</v>
      </c>
      <c r="CA68" s="48">
        <v>3.722</v>
      </c>
      <c r="CB68" s="48">
        <v>3.6419999999999999</v>
      </c>
      <c r="CC68" s="48">
        <v>5.6950000000000003</v>
      </c>
      <c r="CD68" s="48">
        <v>2.3540000000000001</v>
      </c>
      <c r="CE68" s="49">
        <v>3.823</v>
      </c>
      <c r="CF68" s="48">
        <v>2.0920000000000001</v>
      </c>
      <c r="CG68" s="48">
        <v>13.663</v>
      </c>
      <c r="CH68" s="48">
        <v>13.494</v>
      </c>
      <c r="CI68" s="48">
        <v>4.032</v>
      </c>
      <c r="CJ68" s="48">
        <v>3.5859999999999999</v>
      </c>
      <c r="CK68" s="48">
        <v>1.4670000000000001</v>
      </c>
      <c r="CL68" s="48">
        <v>0</v>
      </c>
      <c r="CM68" s="49">
        <v>1.1000000000000001</v>
      </c>
      <c r="CN68" s="49">
        <v>0</v>
      </c>
      <c r="CO68" s="49">
        <v>0</v>
      </c>
      <c r="CP68" s="48">
        <v>87.971000000000004</v>
      </c>
      <c r="CQ68" s="48">
        <v>89.394000000000005</v>
      </c>
      <c r="CR68" s="49">
        <v>131.69900000000001</v>
      </c>
      <c r="CS68" s="48">
        <v>138.24299999999999</v>
      </c>
      <c r="CT68" s="48">
        <v>0.28999999999999998</v>
      </c>
      <c r="CU68" s="48">
        <v>0.89900000000000002</v>
      </c>
      <c r="CV68" s="48">
        <v>1.0009999999999999</v>
      </c>
      <c r="CW68" s="48">
        <v>1</v>
      </c>
      <c r="CX68" s="48">
        <v>2.0979999999999999</v>
      </c>
      <c r="CY68" s="48">
        <v>0.79900000000000004</v>
      </c>
      <c r="CZ68" s="48">
        <v>0.997</v>
      </c>
      <c r="DA68" s="48">
        <v>0.9</v>
      </c>
      <c r="DB68" s="48">
        <v>1.2010000000000001</v>
      </c>
      <c r="DC68" s="48">
        <v>0</v>
      </c>
      <c r="DD68" s="49">
        <v>0</v>
      </c>
      <c r="DE68" s="49">
        <v>0.38200000000000001</v>
      </c>
      <c r="DF68" s="49">
        <v>0.18099999999999999</v>
      </c>
      <c r="DG68" s="48">
        <v>0.90600000000000003</v>
      </c>
      <c r="DH68" s="48">
        <v>2.4700000000000002</v>
      </c>
      <c r="DI68" s="49">
        <v>1.419</v>
      </c>
      <c r="DJ68" s="49">
        <v>0.35</v>
      </c>
      <c r="DK68" s="49">
        <v>1.2669999999999999</v>
      </c>
      <c r="DL68" s="48">
        <v>0.61099999999999999</v>
      </c>
      <c r="DM68" s="48">
        <v>0.76800000000000002</v>
      </c>
      <c r="DN68" s="48">
        <v>0.78100000000000003</v>
      </c>
      <c r="DO68" s="48">
        <v>0.72699999999999998</v>
      </c>
      <c r="DP68" s="48">
        <v>66.980999999999995</v>
      </c>
      <c r="DQ68" s="48">
        <v>62.183</v>
      </c>
      <c r="DR68" s="48">
        <v>54.168999999999997</v>
      </c>
      <c r="DS68" s="48">
        <v>54.41</v>
      </c>
      <c r="DT68" s="48">
        <v>6.42</v>
      </c>
      <c r="DU68" s="49">
        <v>6.83</v>
      </c>
      <c r="DV68" s="49">
        <v>19.309999999999999</v>
      </c>
      <c r="DW68" s="49">
        <v>15.12</v>
      </c>
      <c r="DX68" s="49">
        <v>7.05</v>
      </c>
      <c r="DY68" s="48">
        <v>7.26</v>
      </c>
      <c r="DZ68" s="49">
        <v>18.75</v>
      </c>
      <c r="EA68" s="49">
        <v>14.68</v>
      </c>
      <c r="EB68" s="49">
        <v>42.39</v>
      </c>
      <c r="EC68" s="48">
        <v>40.26</v>
      </c>
      <c r="ED68" s="48">
        <v>29.38</v>
      </c>
      <c r="EE68" s="48">
        <v>33.07</v>
      </c>
      <c r="EF68" s="48">
        <v>44.14</v>
      </c>
      <c r="EG68" s="48">
        <v>45.65</v>
      </c>
      <c r="EH68" s="48">
        <v>32.57</v>
      </c>
      <c r="EI68" s="48">
        <v>37.119999999999997</v>
      </c>
      <c r="EJ68" s="48">
        <v>6.4969999999999999</v>
      </c>
      <c r="EK68" s="48">
        <v>64.034999999999997</v>
      </c>
      <c r="EL68" s="48">
        <v>1.05</v>
      </c>
      <c r="EM68" s="48">
        <v>0.75</v>
      </c>
      <c r="EN68" s="48">
        <v>1.1499999999999999</v>
      </c>
      <c r="EO68" s="48">
        <v>1.1399999999999999</v>
      </c>
      <c r="EP68" s="48">
        <v>-107.974</v>
      </c>
      <c r="EQ68" s="48">
        <v>-2.7080000000000002</v>
      </c>
      <c r="ER68" s="48">
        <v>109.274</v>
      </c>
      <c r="ES68" s="48">
        <v>1.3109999999999999</v>
      </c>
      <c r="ET68" s="48">
        <v>1.4610000000000001</v>
      </c>
      <c r="EU68" s="48">
        <v>1.278</v>
      </c>
      <c r="EV68" s="48">
        <v>7.4820000000000002</v>
      </c>
      <c r="EW68" s="48">
        <v>3.9369999999999998</v>
      </c>
      <c r="EX68" s="49">
        <v>75.28</v>
      </c>
      <c r="EY68" s="48">
        <v>0</v>
      </c>
      <c r="EZ68" s="49">
        <v>0.51200000000000001</v>
      </c>
      <c r="FA68" s="49">
        <v>0</v>
      </c>
      <c r="FB68" s="48">
        <v>8.9779999999999998</v>
      </c>
      <c r="FC68" s="48">
        <v>65.763999999999996</v>
      </c>
      <c r="FD68" s="48">
        <v>64.180000000000007</v>
      </c>
      <c r="FE68" s="48">
        <v>81.192999999999998</v>
      </c>
      <c r="FF68" s="48">
        <v>78.793999999999997</v>
      </c>
      <c r="FG68" s="48">
        <v>0.90900000000000003</v>
      </c>
      <c r="FH68" s="48">
        <v>0.90700000000000003</v>
      </c>
      <c r="FI68" s="48">
        <v>0.98699999999999999</v>
      </c>
      <c r="FJ68" s="48">
        <v>0.98299999999999998</v>
      </c>
      <c r="FK68" s="48">
        <v>0</v>
      </c>
      <c r="FL68" s="49">
        <v>83</v>
      </c>
      <c r="FM68" s="48">
        <v>2.86</v>
      </c>
      <c r="FN68" s="48">
        <v>1.44</v>
      </c>
      <c r="FO68" s="48">
        <v>5.38</v>
      </c>
      <c r="FP68" s="3"/>
      <c r="FQ68" s="48">
        <v>4.5999999999999996</v>
      </c>
      <c r="FR68" s="48">
        <v>5.0999999999999996</v>
      </c>
      <c r="FS68" s="48">
        <v>6.6645000000000003</v>
      </c>
      <c r="FT68" s="48">
        <v>1058.2</v>
      </c>
      <c r="FU68" s="48">
        <v>7.49</v>
      </c>
      <c r="FV68" s="48">
        <v>17.7</v>
      </c>
      <c r="FW68" s="48">
        <v>3121</v>
      </c>
      <c r="FX68" s="48">
        <v>162100</v>
      </c>
      <c r="FY68" s="48">
        <v>160800</v>
      </c>
      <c r="FZ68" s="48">
        <v>43.469000000000001</v>
      </c>
      <c r="GA68" s="48">
        <v>42.598999999999997</v>
      </c>
      <c r="GB68" s="48">
        <v>2109.8000000000002</v>
      </c>
      <c r="GC68" s="48">
        <v>2092.5</v>
      </c>
      <c r="GD68" s="48">
        <v>2209.1999999999998</v>
      </c>
      <c r="GE68" s="48">
        <v>2121.8000000000002</v>
      </c>
      <c r="GF68" s="49">
        <v>1575.9844000000001</v>
      </c>
      <c r="GG68" s="48">
        <v>30</v>
      </c>
      <c r="GH68" s="48">
        <v>29.6</v>
      </c>
      <c r="GI68" s="48">
        <v>44.2</v>
      </c>
      <c r="GJ68" s="48">
        <v>49.9</v>
      </c>
      <c r="GK68" s="48">
        <v>99.5</v>
      </c>
      <c r="GL68" s="48">
        <v>111.8</v>
      </c>
      <c r="GM68" s="49">
        <v>0</v>
      </c>
      <c r="GN68" s="48">
        <v>21.43</v>
      </c>
      <c r="GO68" s="48">
        <v>109.274</v>
      </c>
      <c r="GP68" s="48">
        <v>0.29499999999999998</v>
      </c>
      <c r="GQ68" s="48">
        <v>1.8879999999999999</v>
      </c>
      <c r="GR68" s="48">
        <v>0.53100000000000003</v>
      </c>
      <c r="GS68" s="48">
        <v>1.9470000000000001</v>
      </c>
      <c r="GT68" s="48">
        <v>0.47199999999999998</v>
      </c>
      <c r="GU68" s="48">
        <v>1.829</v>
      </c>
      <c r="GV68" s="48">
        <v>12.74</v>
      </c>
      <c r="GW68" s="49">
        <v>14.11</v>
      </c>
      <c r="GX68" s="48">
        <v>16.268000000000001</v>
      </c>
      <c r="GY68" s="49">
        <v>0</v>
      </c>
      <c r="GZ68" s="49">
        <v>0</v>
      </c>
      <c r="HA68" s="49">
        <v>0</v>
      </c>
      <c r="HB68" s="48">
        <v>0</v>
      </c>
      <c r="HC68" s="49">
        <v>36.963000000000001</v>
      </c>
      <c r="HD68" s="48">
        <v>90</v>
      </c>
      <c r="HE68" s="49">
        <v>0</v>
      </c>
      <c r="HF68" s="49">
        <v>0</v>
      </c>
      <c r="HG68" s="48">
        <v>76.53</v>
      </c>
      <c r="HH68" s="48">
        <v>81.22</v>
      </c>
      <c r="HI68" s="49">
        <v>0</v>
      </c>
      <c r="HJ68" s="49">
        <v>0</v>
      </c>
      <c r="HK68" s="49">
        <v>0</v>
      </c>
      <c r="HL68" s="48">
        <v>52</v>
      </c>
      <c r="HM68" s="49">
        <v>50</v>
      </c>
      <c r="HN68" s="48">
        <v>63</v>
      </c>
      <c r="HO68" s="48">
        <v>57</v>
      </c>
      <c r="HP68" s="49">
        <v>60</v>
      </c>
      <c r="HQ68" s="49">
        <v>58</v>
      </c>
      <c r="HR68" s="49">
        <v>52</v>
      </c>
      <c r="HS68" s="49">
        <v>70</v>
      </c>
      <c r="HT68" s="49">
        <v>-0.27500000000000002</v>
      </c>
      <c r="HU68" s="49">
        <v>0</v>
      </c>
      <c r="HV68" s="49">
        <v>1.5409999999999999</v>
      </c>
      <c r="HW68" s="49">
        <v>36.18</v>
      </c>
      <c r="HX68" s="49">
        <v>42.51</v>
      </c>
      <c r="HY68" s="48">
        <v>50.7</v>
      </c>
      <c r="HZ68" s="48">
        <v>50.7</v>
      </c>
      <c r="IA68" s="48">
        <v>2.806</v>
      </c>
      <c r="IB68" s="49">
        <v>103</v>
      </c>
      <c r="IC68" s="49">
        <v>21.57</v>
      </c>
      <c r="ID68" s="48">
        <v>-0.223</v>
      </c>
      <c r="IE68" s="48">
        <v>-4.1000000000000002E-2</v>
      </c>
      <c r="IF68" s="48">
        <v>796.2</v>
      </c>
      <c r="IG68" s="49">
        <v>755.9</v>
      </c>
      <c r="IH68" s="48">
        <v>836.9</v>
      </c>
      <c r="II68" s="49">
        <v>784.6</v>
      </c>
      <c r="IJ68" s="48">
        <v>4.7E-2</v>
      </c>
      <c r="IK68" s="48">
        <v>-0.34899999999999998</v>
      </c>
      <c r="IL68" s="48">
        <v>66.275000000000006</v>
      </c>
      <c r="IM68" s="48">
        <v>66.275000000000006</v>
      </c>
      <c r="IN68" s="48">
        <v>28.747</v>
      </c>
      <c r="IO68" s="49">
        <v>1.504</v>
      </c>
      <c r="IP68" s="48">
        <v>12.57</v>
      </c>
      <c r="IQ68" s="49">
        <v>1.2999999999999999E-2</v>
      </c>
      <c r="IR68" s="48">
        <v>7.0000000000000001E-3</v>
      </c>
      <c r="IS68">
        <v>-0.47899999999999998</v>
      </c>
      <c r="IT68">
        <v>0.27700000000000002</v>
      </c>
    </row>
    <row r="69" spans="2:254" x14ac:dyDescent="0.25">
      <c r="B69" s="2" t="s">
        <v>407</v>
      </c>
      <c r="C69" s="2" t="s">
        <v>421</v>
      </c>
      <c r="D69" s="57">
        <v>3.3259259259259262E-3</v>
      </c>
      <c r="E69" s="49">
        <v>287.36</v>
      </c>
      <c r="F69" s="48">
        <v>328.72</v>
      </c>
      <c r="G69" s="48">
        <v>-17.7</v>
      </c>
      <c r="H69" s="49">
        <v>24.1</v>
      </c>
      <c r="I69" s="48">
        <v>0</v>
      </c>
      <c r="J69" s="49">
        <v>62.4</v>
      </c>
      <c r="K69" s="49">
        <v>6</v>
      </c>
      <c r="L69" s="49">
        <v>5</v>
      </c>
      <c r="M69" s="49">
        <v>4</v>
      </c>
      <c r="N69" s="49">
        <v>3</v>
      </c>
      <c r="O69" s="49">
        <v>3</v>
      </c>
      <c r="P69" s="48">
        <v>0.99199999999999999</v>
      </c>
      <c r="Q69" s="48">
        <v>1.71</v>
      </c>
      <c r="R69" s="48">
        <v>0.94099999999999995</v>
      </c>
      <c r="S69" s="48">
        <v>0.77500000000000002</v>
      </c>
      <c r="T69" s="48">
        <v>88.89</v>
      </c>
      <c r="U69" s="48">
        <v>60.701000000000001</v>
      </c>
      <c r="V69" s="48">
        <v>241.66</v>
      </c>
      <c r="W69" s="48">
        <v>238.34</v>
      </c>
      <c r="X69" s="48">
        <v>248.34</v>
      </c>
      <c r="Y69" s="48">
        <v>291.66000000000003</v>
      </c>
      <c r="Z69" s="48">
        <v>390.38</v>
      </c>
      <c r="AA69" s="48">
        <v>379.13</v>
      </c>
      <c r="AB69" s="48">
        <v>354.45</v>
      </c>
      <c r="AC69" s="48">
        <v>399.38</v>
      </c>
      <c r="AD69" s="49">
        <v>1.7889999999999999</v>
      </c>
      <c r="AE69" s="49">
        <v>1.8440000000000001</v>
      </c>
      <c r="AF69" s="48">
        <v>1.885</v>
      </c>
      <c r="AG69" s="49">
        <v>1.909</v>
      </c>
      <c r="AH69" s="49">
        <v>72.900000000000006</v>
      </c>
      <c r="AI69" s="48">
        <v>70.47</v>
      </c>
      <c r="AJ69" s="48">
        <v>104.98</v>
      </c>
      <c r="AK69" s="49">
        <v>107.68</v>
      </c>
      <c r="AL69" s="48">
        <v>630.36800000000005</v>
      </c>
      <c r="AM69" s="48">
        <v>632.07000000000005</v>
      </c>
      <c r="AN69" s="48">
        <v>748.84400000000005</v>
      </c>
      <c r="AO69" s="48">
        <v>760.53499999999997</v>
      </c>
      <c r="AP69" s="48">
        <v>2.5299999999999998</v>
      </c>
      <c r="AQ69" s="48">
        <v>1.8360000000000001</v>
      </c>
      <c r="AR69" s="48">
        <v>40.863</v>
      </c>
      <c r="AS69" s="48">
        <v>39.055</v>
      </c>
      <c r="AT69" s="48">
        <v>82</v>
      </c>
      <c r="AU69" s="49">
        <v>110</v>
      </c>
      <c r="AV69" s="49">
        <v>2.7320000000000002</v>
      </c>
      <c r="AW69" s="48">
        <v>5.1230000000000002</v>
      </c>
      <c r="AX69" s="49">
        <v>1002.8</v>
      </c>
      <c r="AY69" s="49">
        <v>1.47</v>
      </c>
      <c r="AZ69" s="48">
        <v>5.66</v>
      </c>
      <c r="BA69" s="49">
        <v>69.3</v>
      </c>
      <c r="BB69" s="49">
        <v>69.302000000000007</v>
      </c>
      <c r="BC69" s="49">
        <v>7846</v>
      </c>
      <c r="BD69" s="48">
        <v>89.25</v>
      </c>
      <c r="BE69" s="49">
        <v>24.725000000000001</v>
      </c>
      <c r="BF69" s="48">
        <v>14.535</v>
      </c>
      <c r="BG69" s="49">
        <v>28.46</v>
      </c>
      <c r="BH69" s="48">
        <v>30.98</v>
      </c>
      <c r="BI69" s="49">
        <v>67.338999999999999</v>
      </c>
      <c r="BJ69" s="49">
        <v>82.555999999999997</v>
      </c>
      <c r="BK69" s="49">
        <v>65.73</v>
      </c>
      <c r="BL69" s="49">
        <v>80.278000000000006</v>
      </c>
      <c r="BM69" s="49">
        <v>79.968999999999994</v>
      </c>
      <c r="BN69" s="48">
        <v>110.136</v>
      </c>
      <c r="BO69" s="48">
        <v>113.768</v>
      </c>
      <c r="BP69" s="48">
        <v>132.536</v>
      </c>
      <c r="BQ69" s="49">
        <v>147.03200000000001</v>
      </c>
      <c r="BR69" s="49">
        <v>59.776000000000003</v>
      </c>
      <c r="BS69" s="48">
        <v>23.4</v>
      </c>
      <c r="BT69" s="48">
        <v>7284.3159999999998</v>
      </c>
      <c r="BU69" s="49">
        <v>83.266999999999996</v>
      </c>
      <c r="BV69" s="48">
        <v>63.247999999999998</v>
      </c>
      <c r="BW69" s="48">
        <v>57.848999999999997</v>
      </c>
      <c r="BX69" s="49">
        <v>66.105000000000004</v>
      </c>
      <c r="BY69" s="48">
        <v>1.4850000000000001</v>
      </c>
      <c r="BZ69" s="49">
        <v>3.5009999999999999</v>
      </c>
      <c r="CA69" s="49">
        <v>3.7719999999999998</v>
      </c>
      <c r="CB69" s="48">
        <v>3.2730000000000001</v>
      </c>
      <c r="CC69" s="48">
        <v>5.73</v>
      </c>
      <c r="CD69" s="48">
        <v>2.367</v>
      </c>
      <c r="CE69" s="48">
        <v>3.8130000000000002</v>
      </c>
      <c r="CF69" s="48">
        <v>2.0779999999999998</v>
      </c>
      <c r="CG69" s="48">
        <v>13.586</v>
      </c>
      <c r="CH69" s="48">
        <v>12.887</v>
      </c>
      <c r="CI69" s="3"/>
      <c r="CJ69" s="3"/>
      <c r="CK69" s="3"/>
      <c r="CL69" s="49">
        <v>0.4</v>
      </c>
      <c r="CM69" s="48">
        <v>0.9</v>
      </c>
      <c r="CN69" s="49">
        <v>0</v>
      </c>
      <c r="CO69" s="49">
        <v>0</v>
      </c>
      <c r="CP69" s="48">
        <v>89.248000000000005</v>
      </c>
      <c r="CQ69" s="48">
        <v>90.997</v>
      </c>
      <c r="CR69" s="48">
        <v>122.15600000000001</v>
      </c>
      <c r="CS69" s="49">
        <v>138.85499999999999</v>
      </c>
      <c r="CT69" s="48">
        <v>0.34200000000000003</v>
      </c>
      <c r="CU69" s="48">
        <v>1.302</v>
      </c>
      <c r="CV69" s="48">
        <v>1.399</v>
      </c>
      <c r="CW69" s="49">
        <v>1.702</v>
      </c>
      <c r="CX69" s="48">
        <v>1.3</v>
      </c>
      <c r="CY69" s="48">
        <v>0.5</v>
      </c>
      <c r="CZ69" s="48">
        <v>1.202</v>
      </c>
      <c r="DA69" s="48">
        <v>0.80200000000000005</v>
      </c>
      <c r="DB69" s="49">
        <v>1.603</v>
      </c>
      <c r="DC69" s="48">
        <v>0</v>
      </c>
      <c r="DD69" s="49">
        <v>0</v>
      </c>
      <c r="DE69" s="48">
        <v>0.25800000000000001</v>
      </c>
      <c r="DF69" s="48">
        <v>0.16</v>
      </c>
      <c r="DG69" s="48">
        <v>0.47099999999999997</v>
      </c>
      <c r="DH69" s="49">
        <v>2.7320000000000002</v>
      </c>
      <c r="DI69" s="48">
        <v>1.244</v>
      </c>
      <c r="DJ69" s="48">
        <v>0.33</v>
      </c>
      <c r="DK69" s="48">
        <v>1.0189999999999999</v>
      </c>
      <c r="DL69" s="49">
        <v>0.61299999999999999</v>
      </c>
      <c r="DM69" s="48">
        <v>0.77900000000000003</v>
      </c>
      <c r="DN69" s="48">
        <v>0.745</v>
      </c>
      <c r="DO69" s="48">
        <v>0.71</v>
      </c>
      <c r="DP69" s="49">
        <v>72.768000000000001</v>
      </c>
      <c r="DQ69" s="49">
        <v>63.786999999999999</v>
      </c>
      <c r="DR69" s="49">
        <v>55.496000000000002</v>
      </c>
      <c r="DS69" s="48">
        <v>54.003</v>
      </c>
      <c r="DT69" s="48">
        <v>4.55</v>
      </c>
      <c r="DU69" s="48">
        <v>4.8099999999999996</v>
      </c>
      <c r="DV69" s="48">
        <v>14.2</v>
      </c>
      <c r="DW69" s="48">
        <v>11.3</v>
      </c>
      <c r="DX69" s="48">
        <v>5.21</v>
      </c>
      <c r="DY69" s="48">
        <v>5.25</v>
      </c>
      <c r="DZ69" s="48">
        <v>13.64</v>
      </c>
      <c r="EA69" s="48">
        <v>11.09</v>
      </c>
      <c r="EB69" s="48">
        <v>36</v>
      </c>
      <c r="EC69" s="48">
        <v>33.51</v>
      </c>
      <c r="ED69" s="48">
        <v>25.51</v>
      </c>
      <c r="EE69" s="48">
        <v>27.76</v>
      </c>
      <c r="EF69" s="49">
        <v>54.24</v>
      </c>
      <c r="EG69" s="49">
        <v>56.43</v>
      </c>
      <c r="EH69" s="49">
        <v>46.65</v>
      </c>
      <c r="EI69" s="49">
        <v>49.85</v>
      </c>
      <c r="EJ69" s="49">
        <v>6.7389999999999999</v>
      </c>
      <c r="EK69" s="49">
        <v>64.281000000000006</v>
      </c>
      <c r="EL69" s="48">
        <v>1.1499999999999999</v>
      </c>
      <c r="EM69" s="48">
        <v>0.75</v>
      </c>
      <c r="EN69" s="49">
        <v>1.24</v>
      </c>
      <c r="EO69" s="49">
        <v>1.27</v>
      </c>
      <c r="EP69" s="49">
        <v>-108.26600000000001</v>
      </c>
      <c r="EQ69" s="48">
        <v>-1.774</v>
      </c>
      <c r="ER69" s="49">
        <v>113.07</v>
      </c>
      <c r="ES69" s="48">
        <v>1.2649999999999999</v>
      </c>
      <c r="ET69" s="48">
        <v>1.3560000000000001</v>
      </c>
      <c r="EU69" s="48">
        <v>1.2210000000000001</v>
      </c>
      <c r="EV69" s="49">
        <v>7.7270000000000003</v>
      </c>
      <c r="EW69" s="48">
        <v>4.12</v>
      </c>
      <c r="EX69" s="48">
        <v>72.88</v>
      </c>
      <c r="EY69" s="48">
        <v>4.1000000000000002E-2</v>
      </c>
      <c r="EZ69" s="48">
        <v>7.5999999999999998E-2</v>
      </c>
      <c r="FA69" s="49">
        <v>0</v>
      </c>
      <c r="FB69" s="49">
        <v>8.9969999999999999</v>
      </c>
      <c r="FC69" s="49">
        <v>66.263999999999996</v>
      </c>
      <c r="FD69" s="49">
        <v>64.319000000000003</v>
      </c>
      <c r="FE69" s="49">
        <v>82.206000000000003</v>
      </c>
      <c r="FF69" s="49">
        <v>80.831000000000003</v>
      </c>
      <c r="FG69" s="49">
        <v>1.103</v>
      </c>
      <c r="FH69" s="49">
        <v>1.1539999999999999</v>
      </c>
      <c r="FI69" s="48">
        <v>0.99199999999999999</v>
      </c>
      <c r="FJ69" s="48">
        <v>0.98899999999999999</v>
      </c>
      <c r="FK69" s="48">
        <v>0</v>
      </c>
      <c r="FL69" s="49">
        <v>83</v>
      </c>
      <c r="FM69" s="48">
        <v>2.89</v>
      </c>
      <c r="FN69" s="48">
        <v>1.02</v>
      </c>
      <c r="FO69" s="48">
        <v>5.38</v>
      </c>
      <c r="FP69" s="49">
        <v>3.85</v>
      </c>
      <c r="FQ69" s="48">
        <v>4.4000000000000004</v>
      </c>
      <c r="FR69" s="48">
        <v>5.0999999999999996</v>
      </c>
      <c r="FS69" s="48">
        <v>6.7255000000000003</v>
      </c>
      <c r="FT69" s="48">
        <v>1060.5999999999999</v>
      </c>
      <c r="FU69" s="49">
        <v>7.74</v>
      </c>
      <c r="FV69" s="49">
        <v>23.59</v>
      </c>
      <c r="FW69" s="48">
        <v>3094</v>
      </c>
      <c r="FX69" s="48">
        <v>160000</v>
      </c>
      <c r="FY69" s="48">
        <v>163300</v>
      </c>
      <c r="FZ69" s="48">
        <v>43.177</v>
      </c>
      <c r="GA69" s="48">
        <v>42.551000000000002</v>
      </c>
      <c r="GB69" s="49">
        <v>2202.9</v>
      </c>
      <c r="GC69" s="48">
        <v>2106.4</v>
      </c>
      <c r="GD69" s="49">
        <v>2305.5</v>
      </c>
      <c r="GE69" s="48">
        <v>2468.8000000000002</v>
      </c>
      <c r="GF69" s="48">
        <v>1339.4219000000001</v>
      </c>
      <c r="GG69" s="49">
        <v>31</v>
      </c>
      <c r="GH69" s="49">
        <v>30.7</v>
      </c>
      <c r="GI69" s="48">
        <v>46</v>
      </c>
      <c r="GJ69" s="48">
        <v>51.7</v>
      </c>
      <c r="GK69" s="49">
        <v>97.5</v>
      </c>
      <c r="GL69" s="48">
        <v>113.9</v>
      </c>
      <c r="GM69" s="49">
        <v>0</v>
      </c>
      <c r="GN69" s="49">
        <v>24.024999999999999</v>
      </c>
      <c r="GO69" s="49">
        <v>113.07</v>
      </c>
      <c r="GP69" s="49">
        <v>0</v>
      </c>
      <c r="GQ69" s="49">
        <v>5.2510000000000003</v>
      </c>
      <c r="GR69" s="49">
        <v>0</v>
      </c>
      <c r="GS69" s="49">
        <v>6.0179999999999998</v>
      </c>
      <c r="GT69" s="49">
        <v>0</v>
      </c>
      <c r="GU69" s="49">
        <v>5.2510000000000003</v>
      </c>
      <c r="GV69" s="49">
        <v>0</v>
      </c>
      <c r="GW69" s="48">
        <v>11.581</v>
      </c>
      <c r="GX69" s="48">
        <v>16.170000000000002</v>
      </c>
      <c r="GY69" s="49">
        <v>0</v>
      </c>
      <c r="GZ69" s="49">
        <v>0</v>
      </c>
      <c r="HA69" s="49">
        <v>0</v>
      </c>
      <c r="HB69" s="48">
        <v>0</v>
      </c>
      <c r="HC69" s="48">
        <v>32.253999999999998</v>
      </c>
      <c r="HD69" s="48">
        <v>90</v>
      </c>
      <c r="HE69" s="49">
        <v>0</v>
      </c>
      <c r="HF69" s="49">
        <v>0</v>
      </c>
      <c r="HG69" s="48">
        <v>74.09</v>
      </c>
      <c r="HH69" s="48">
        <v>80.7</v>
      </c>
      <c r="HI69" s="49">
        <v>0</v>
      </c>
      <c r="HJ69" s="49">
        <v>0</v>
      </c>
      <c r="HK69" s="49">
        <v>0</v>
      </c>
      <c r="HL69" s="48">
        <v>52</v>
      </c>
      <c r="HM69" s="49">
        <v>50</v>
      </c>
      <c r="HN69" s="49">
        <v>64</v>
      </c>
      <c r="HO69" s="49">
        <v>58</v>
      </c>
      <c r="HP69" s="49">
        <v>60</v>
      </c>
      <c r="HQ69" s="49">
        <v>58</v>
      </c>
      <c r="HR69" s="49">
        <v>52</v>
      </c>
      <c r="HS69" s="49">
        <v>70</v>
      </c>
      <c r="HT69" s="49">
        <v>-0.27500000000000002</v>
      </c>
      <c r="HU69" s="49">
        <v>0</v>
      </c>
      <c r="HV69" s="48">
        <v>1.1459999999999999</v>
      </c>
      <c r="HW69" s="49">
        <v>36.18</v>
      </c>
      <c r="HX69" s="48">
        <v>46.1</v>
      </c>
      <c r="HY69" s="3"/>
      <c r="HZ69" s="3"/>
      <c r="IA69" s="49">
        <v>2.899</v>
      </c>
      <c r="IB69" s="48">
        <v>101</v>
      </c>
      <c r="IC69" s="48">
        <v>20.477</v>
      </c>
      <c r="ID69" s="49">
        <v>-0.113</v>
      </c>
      <c r="IE69" s="48">
        <v>-2.7E-2</v>
      </c>
      <c r="IF69" s="49">
        <v>814.7</v>
      </c>
      <c r="IG69" s="48">
        <v>703.8</v>
      </c>
      <c r="IH69" s="48">
        <v>832.8</v>
      </c>
      <c r="II69" s="48">
        <v>734.6</v>
      </c>
      <c r="IJ69" s="48">
        <v>0.02</v>
      </c>
      <c r="IK69" s="48">
        <v>-0.20200000000000001</v>
      </c>
      <c r="IL69" s="49">
        <v>123.633</v>
      </c>
      <c r="IM69" s="49">
        <v>123.633</v>
      </c>
      <c r="IN69" s="49">
        <v>30.847999999999999</v>
      </c>
      <c r="IO69" s="48">
        <v>0.996</v>
      </c>
      <c r="IP69" s="48">
        <v>12.59</v>
      </c>
      <c r="IQ69" s="48">
        <v>0</v>
      </c>
      <c r="IR69" s="48">
        <v>0</v>
      </c>
      <c r="IS69">
        <v>-0.47899999999999998</v>
      </c>
      <c r="IT69">
        <v>0.27700000000000002</v>
      </c>
    </row>
    <row r="70" spans="2:254" x14ac:dyDescent="0.25">
      <c r="IS70">
        <v>-0.47899999999999998</v>
      </c>
      <c r="IT70">
        <v>0.27700000000000002</v>
      </c>
    </row>
    <row r="71" spans="2:254" x14ac:dyDescent="0.25">
      <c r="IS71">
        <v>-0.47899999999999998</v>
      </c>
      <c r="IT71">
        <v>0.27700000000000002</v>
      </c>
    </row>
    <row r="72" spans="2:254" x14ac:dyDescent="0.25">
      <c r="IS72">
        <v>-0.47899999999999998</v>
      </c>
      <c r="IT72">
        <v>0.27700000000000002</v>
      </c>
    </row>
    <row r="73" spans="2:254" x14ac:dyDescent="0.25">
      <c r="B73" s="2" t="s">
        <v>407</v>
      </c>
      <c r="C73" s="2" t="s">
        <v>41</v>
      </c>
      <c r="D73" s="57">
        <v>6.6858796296296293E-3</v>
      </c>
      <c r="E73" s="49">
        <v>577.65700000000004</v>
      </c>
      <c r="F73" s="48">
        <v>328.29</v>
      </c>
      <c r="G73" s="48">
        <v>5.91</v>
      </c>
      <c r="H73" s="49">
        <v>25.2</v>
      </c>
      <c r="I73" s="49">
        <v>2.73</v>
      </c>
      <c r="J73" s="49">
        <v>357</v>
      </c>
      <c r="K73" s="49">
        <v>6</v>
      </c>
      <c r="L73" s="49">
        <v>6</v>
      </c>
      <c r="M73" s="49">
        <v>4</v>
      </c>
      <c r="N73" s="49">
        <v>3</v>
      </c>
      <c r="O73" s="49">
        <v>3</v>
      </c>
      <c r="P73" s="48">
        <v>0.995</v>
      </c>
      <c r="Q73" s="48">
        <v>1.3440000000000001</v>
      </c>
      <c r="R73" s="49">
        <v>1.1100000000000001</v>
      </c>
      <c r="S73" s="48">
        <v>0.88600000000000001</v>
      </c>
      <c r="T73" s="48">
        <v>79.13</v>
      </c>
      <c r="U73" s="49">
        <v>61.045999999999999</v>
      </c>
      <c r="V73" s="49">
        <v>177.5</v>
      </c>
      <c r="W73" s="49">
        <v>162.5</v>
      </c>
      <c r="X73" s="49">
        <v>137.5</v>
      </c>
      <c r="Y73" s="49">
        <v>155</v>
      </c>
      <c r="Z73" s="48">
        <v>334.21</v>
      </c>
      <c r="AA73" s="48">
        <v>314.95</v>
      </c>
      <c r="AB73" s="48">
        <v>277.89999999999998</v>
      </c>
      <c r="AC73" s="48">
        <v>312.24</v>
      </c>
      <c r="AD73" s="48">
        <v>1.7390000000000001</v>
      </c>
      <c r="AE73" s="48">
        <v>1.8</v>
      </c>
      <c r="AF73" s="48">
        <v>1.74</v>
      </c>
      <c r="AG73" s="48">
        <v>1.772</v>
      </c>
      <c r="AH73" s="48">
        <v>62.16</v>
      </c>
      <c r="AI73" s="48">
        <v>59.55</v>
      </c>
      <c r="AJ73" s="48">
        <v>81.459999999999994</v>
      </c>
      <c r="AK73" s="48">
        <v>82.65</v>
      </c>
      <c r="AL73" s="48">
        <v>615.06600000000003</v>
      </c>
      <c r="AM73" s="48">
        <v>628.02800000000002</v>
      </c>
      <c r="AN73" s="48">
        <v>706.97900000000004</v>
      </c>
      <c r="AO73" s="48">
        <v>705.86800000000005</v>
      </c>
      <c r="AP73" s="49">
        <v>2.5630000000000002</v>
      </c>
      <c r="AQ73" s="49">
        <v>1.87</v>
      </c>
      <c r="AR73" s="48">
        <v>41.313000000000002</v>
      </c>
      <c r="AS73" s="48">
        <v>38.404000000000003</v>
      </c>
      <c r="AT73" s="49">
        <v>82</v>
      </c>
      <c r="AU73" s="48">
        <v>105</v>
      </c>
      <c r="AV73" s="48">
        <v>2.6459999999999999</v>
      </c>
      <c r="AW73" s="48">
        <v>5.2378999999999998</v>
      </c>
      <c r="AX73" s="48">
        <v>996.6</v>
      </c>
      <c r="AY73" s="49">
        <v>1.6</v>
      </c>
      <c r="AZ73" s="49">
        <v>5.61</v>
      </c>
      <c r="BA73" s="49">
        <v>66.3</v>
      </c>
      <c r="BB73" s="49">
        <v>66.900000000000006</v>
      </c>
      <c r="BC73" s="48">
        <v>7642</v>
      </c>
      <c r="BD73" s="48">
        <v>88.25</v>
      </c>
      <c r="BE73" s="48">
        <v>22.465</v>
      </c>
      <c r="BF73" s="48">
        <v>14.095000000000001</v>
      </c>
      <c r="BG73" s="49">
        <v>27.93</v>
      </c>
      <c r="BH73" s="49">
        <v>28.86</v>
      </c>
      <c r="BI73" s="48">
        <v>67.94</v>
      </c>
      <c r="BJ73" s="48">
        <v>83.962000000000003</v>
      </c>
      <c r="BK73" s="48">
        <v>66.245999999999995</v>
      </c>
      <c r="BL73" s="48">
        <v>81.686999999999998</v>
      </c>
      <c r="BM73" s="48">
        <v>81.114000000000004</v>
      </c>
      <c r="BN73" s="49">
        <v>120.42400000000001</v>
      </c>
      <c r="BO73" s="49">
        <v>126.29600000000001</v>
      </c>
      <c r="BP73" s="48">
        <v>120.52</v>
      </c>
      <c r="BQ73" s="48">
        <v>135.096</v>
      </c>
      <c r="BR73" s="48">
        <v>58.073</v>
      </c>
      <c r="BS73" s="49">
        <v>24</v>
      </c>
      <c r="BT73" s="49">
        <v>7447.4319999999998</v>
      </c>
      <c r="BU73" s="49">
        <v>81.632999999999996</v>
      </c>
      <c r="BV73" s="48">
        <v>63.353000000000002</v>
      </c>
      <c r="BW73" s="49">
        <v>63.569000000000003</v>
      </c>
      <c r="BX73" s="48">
        <v>64.832999999999998</v>
      </c>
      <c r="BY73" s="49">
        <v>1.5389999999999999</v>
      </c>
      <c r="BZ73" s="48">
        <v>2.9129999999999998</v>
      </c>
      <c r="CA73" s="49">
        <v>3.9940000000000002</v>
      </c>
      <c r="CB73" s="48">
        <v>3.1389999999999998</v>
      </c>
      <c r="CC73" s="49">
        <v>5.7930000000000001</v>
      </c>
      <c r="CD73" s="49">
        <v>2.403</v>
      </c>
      <c r="CE73" s="49">
        <v>3.8479999999999999</v>
      </c>
      <c r="CF73" s="49">
        <v>2.0859999999999999</v>
      </c>
      <c r="CG73" s="48">
        <v>13.446</v>
      </c>
      <c r="CH73" s="49">
        <v>10.029999999999999</v>
      </c>
      <c r="CI73" s="49">
        <v>4.2640000000000002</v>
      </c>
      <c r="CJ73" s="48">
        <v>3.512</v>
      </c>
      <c r="CK73" s="49">
        <v>1.466</v>
      </c>
      <c r="CL73" s="49">
        <v>0.1</v>
      </c>
      <c r="CM73" s="49">
        <v>2.6</v>
      </c>
      <c r="CN73" s="48">
        <v>0</v>
      </c>
      <c r="CO73" s="48">
        <v>0</v>
      </c>
      <c r="CP73" s="49">
        <v>91.83</v>
      </c>
      <c r="CQ73" s="49">
        <v>93.105999999999995</v>
      </c>
      <c r="CR73" s="48">
        <v>101.589</v>
      </c>
      <c r="CS73" s="48">
        <v>117.717</v>
      </c>
      <c r="CT73" s="48">
        <v>0.24</v>
      </c>
      <c r="CU73" s="49">
        <v>1.893</v>
      </c>
      <c r="CV73" s="48">
        <v>1.393</v>
      </c>
      <c r="CW73" s="48">
        <v>0.79900000000000004</v>
      </c>
      <c r="CX73" s="48">
        <v>1.498</v>
      </c>
      <c r="CY73" s="48">
        <v>0.59799999999999998</v>
      </c>
      <c r="CZ73" s="48">
        <v>0.89800000000000002</v>
      </c>
      <c r="DA73" s="49">
        <v>1.198</v>
      </c>
      <c r="DB73" s="48">
        <v>1.399</v>
      </c>
      <c r="DC73" s="49">
        <v>8.0000000000000002E-3</v>
      </c>
      <c r="DD73" s="49">
        <v>0</v>
      </c>
      <c r="DE73" s="48">
        <v>0.34</v>
      </c>
      <c r="DF73" s="48">
        <v>0.192</v>
      </c>
      <c r="DG73" s="49">
        <v>1.0820000000000001</v>
      </c>
      <c r="DH73" s="48">
        <v>1.8009999999999999</v>
      </c>
      <c r="DI73" s="48">
        <v>1.175</v>
      </c>
      <c r="DJ73" s="49">
        <v>0.48199999999999998</v>
      </c>
      <c r="DK73" s="48">
        <v>1.123</v>
      </c>
      <c r="DL73" s="49">
        <v>0.61199999999999999</v>
      </c>
      <c r="DM73" s="49">
        <v>0.79100000000000004</v>
      </c>
      <c r="DN73" s="49">
        <v>0.80100000000000005</v>
      </c>
      <c r="DO73" s="48">
        <v>0.71799999999999997</v>
      </c>
      <c r="DP73" s="48">
        <v>69.28</v>
      </c>
      <c r="DQ73" s="48">
        <v>64.135999999999996</v>
      </c>
      <c r="DR73" s="48">
        <v>54.991</v>
      </c>
      <c r="DS73" s="48">
        <v>55.37</v>
      </c>
      <c r="DT73" s="48">
        <v>2.06</v>
      </c>
      <c r="DU73" s="48">
        <v>2.3199999999999998</v>
      </c>
      <c r="DV73" s="48">
        <v>6.5</v>
      </c>
      <c r="DW73" s="48">
        <v>5</v>
      </c>
      <c r="DX73" s="48">
        <v>2.31</v>
      </c>
      <c r="DY73" s="48">
        <v>2.4</v>
      </c>
      <c r="DZ73" s="48">
        <v>6.12</v>
      </c>
      <c r="EA73" s="48">
        <v>4.78</v>
      </c>
      <c r="EB73" s="48">
        <v>17.39</v>
      </c>
      <c r="EC73" s="48">
        <v>16.36</v>
      </c>
      <c r="ED73" s="48">
        <v>13.07</v>
      </c>
      <c r="EE73" s="48">
        <v>14.2</v>
      </c>
      <c r="EF73" s="49">
        <v>78.239999999999995</v>
      </c>
      <c r="EG73" s="49">
        <v>78.92</v>
      </c>
      <c r="EH73" s="49">
        <v>74.31</v>
      </c>
      <c r="EI73" s="49">
        <v>76.02</v>
      </c>
      <c r="EJ73" s="49">
        <v>6.9850000000000003</v>
      </c>
      <c r="EK73" s="48">
        <v>62.209000000000003</v>
      </c>
      <c r="EL73" s="49">
        <v>1.4</v>
      </c>
      <c r="EM73" s="49">
        <v>0.75</v>
      </c>
      <c r="EN73" s="48">
        <v>1.17</v>
      </c>
      <c r="EO73" s="48">
        <v>1.1599999999999999</v>
      </c>
      <c r="EP73" s="48">
        <v>-105.054</v>
      </c>
      <c r="EQ73" s="49">
        <v>-1.605</v>
      </c>
      <c r="ER73" s="48">
        <v>107.81399999999999</v>
      </c>
      <c r="ES73" s="48">
        <v>1.212</v>
      </c>
      <c r="ET73" s="48">
        <v>1.327</v>
      </c>
      <c r="EU73" s="48">
        <v>1.173</v>
      </c>
      <c r="EV73" s="48">
        <v>7.5620000000000003</v>
      </c>
      <c r="EW73" s="48">
        <v>3.9390000000000001</v>
      </c>
      <c r="EX73" s="48">
        <v>-220.88</v>
      </c>
      <c r="EY73" s="49">
        <v>7.8209999999999997</v>
      </c>
      <c r="EZ73" s="48">
        <v>0</v>
      </c>
      <c r="FA73" s="49">
        <v>0</v>
      </c>
      <c r="FB73" s="48">
        <v>8.7769999999999992</v>
      </c>
      <c r="FC73" s="48">
        <v>61.320999999999998</v>
      </c>
      <c r="FD73" s="48">
        <v>60.143000000000001</v>
      </c>
      <c r="FE73" s="48">
        <v>70.198999999999998</v>
      </c>
      <c r="FF73" s="48">
        <v>71.64</v>
      </c>
      <c r="FG73" s="49">
        <v>0.92900000000000005</v>
      </c>
      <c r="FH73" s="49">
        <v>0.92800000000000005</v>
      </c>
      <c r="FI73" s="49">
        <v>0.99199999999999999</v>
      </c>
      <c r="FJ73" s="49">
        <v>0.98799999999999999</v>
      </c>
      <c r="FK73" s="49">
        <v>0.40200000000000002</v>
      </c>
      <c r="FL73" s="49">
        <v>83</v>
      </c>
      <c r="FM73" s="49">
        <v>3.27</v>
      </c>
      <c r="FN73" s="49">
        <v>1.1200000000000001</v>
      </c>
      <c r="FO73" s="48">
        <v>5.4</v>
      </c>
      <c r="FP73" s="49">
        <v>0.05</v>
      </c>
      <c r="FQ73" s="49">
        <v>2.15</v>
      </c>
      <c r="FR73" s="49">
        <v>4.8499999999999996</v>
      </c>
      <c r="FS73" s="49">
        <v>6.7409999999999997</v>
      </c>
      <c r="FT73" s="48">
        <v>1062.0999999999999</v>
      </c>
      <c r="FU73" s="48">
        <v>7.4</v>
      </c>
      <c r="FV73" s="48">
        <v>5.9</v>
      </c>
      <c r="FW73" s="49">
        <v>3257</v>
      </c>
      <c r="FX73" s="49">
        <v>166700</v>
      </c>
      <c r="FY73" s="49">
        <v>169400</v>
      </c>
      <c r="FZ73" s="49">
        <v>44.639000000000003</v>
      </c>
      <c r="GA73" s="49">
        <v>43.573999999999998</v>
      </c>
      <c r="GB73" s="48">
        <v>2117.4</v>
      </c>
      <c r="GC73" s="48">
        <v>2108.1999999999998</v>
      </c>
      <c r="GD73" s="48">
        <v>2146.6</v>
      </c>
      <c r="GE73" s="48">
        <v>2148.1</v>
      </c>
      <c r="GF73" s="48">
        <v>1172.3125</v>
      </c>
      <c r="GG73" s="49">
        <v>32</v>
      </c>
      <c r="GH73" s="49">
        <v>32.299999999999997</v>
      </c>
      <c r="GI73" s="49">
        <v>65.400000000000006</v>
      </c>
      <c r="GJ73" s="49">
        <v>69.8</v>
      </c>
      <c r="GK73" s="49">
        <v>95</v>
      </c>
      <c r="GL73" s="49">
        <v>115</v>
      </c>
      <c r="GM73" s="49">
        <v>0</v>
      </c>
      <c r="GN73" s="48">
        <v>21.088999999999999</v>
      </c>
      <c r="GO73" s="48">
        <v>107.81399999999999</v>
      </c>
      <c r="GP73" s="49">
        <v>0</v>
      </c>
      <c r="GQ73" s="49">
        <v>3.7759999999999998</v>
      </c>
      <c r="GR73" s="49">
        <v>0</v>
      </c>
      <c r="GS73" s="49">
        <v>4.0119999999999996</v>
      </c>
      <c r="GT73" s="49">
        <v>0</v>
      </c>
      <c r="GU73" s="49">
        <v>3.8940000000000001</v>
      </c>
      <c r="GV73" s="49">
        <v>0</v>
      </c>
      <c r="GW73" s="48">
        <v>12.792999999999999</v>
      </c>
      <c r="GX73" s="49">
        <v>20.384</v>
      </c>
      <c r="GY73" s="49">
        <v>0</v>
      </c>
      <c r="GZ73" s="49">
        <v>0</v>
      </c>
      <c r="HA73" s="49">
        <v>0</v>
      </c>
      <c r="HB73" s="49">
        <v>1</v>
      </c>
      <c r="HC73" s="49">
        <v>39.734000000000002</v>
      </c>
      <c r="HD73" s="49">
        <v>90</v>
      </c>
      <c r="HE73" s="49">
        <v>0</v>
      </c>
      <c r="HF73" s="49">
        <v>0</v>
      </c>
      <c r="HG73" s="49">
        <v>85.32</v>
      </c>
      <c r="HH73" s="48">
        <v>80.91</v>
      </c>
      <c r="HI73" s="49">
        <v>0</v>
      </c>
      <c r="HJ73" s="49">
        <v>0</v>
      </c>
      <c r="HK73" s="49">
        <v>0</v>
      </c>
      <c r="HL73" s="49">
        <v>61</v>
      </c>
      <c r="HM73" s="49">
        <v>52</v>
      </c>
      <c r="HN73" s="49">
        <v>64</v>
      </c>
      <c r="HO73" s="48">
        <v>57</v>
      </c>
      <c r="HP73" s="48">
        <v>59</v>
      </c>
      <c r="HQ73" s="49">
        <v>58</v>
      </c>
      <c r="HR73" s="49">
        <v>53</v>
      </c>
      <c r="HS73" s="48">
        <v>62</v>
      </c>
      <c r="HT73" s="48">
        <v>-0.27400000000000002</v>
      </c>
      <c r="HU73" s="49">
        <v>0</v>
      </c>
      <c r="HV73" s="48">
        <v>1.3109999999999999</v>
      </c>
      <c r="HW73" s="49">
        <v>35.97</v>
      </c>
      <c r="HX73" s="48">
        <v>43.22</v>
      </c>
      <c r="HY73" s="3"/>
      <c r="HZ73" s="3"/>
      <c r="IA73" s="48">
        <v>2.7320000000000002</v>
      </c>
      <c r="IB73" s="48">
        <v>98</v>
      </c>
      <c r="IC73" s="48">
        <v>19.013999999999999</v>
      </c>
      <c r="ID73" s="49">
        <v>-0.16600000000000001</v>
      </c>
      <c r="IE73" s="48">
        <v>-3.5000000000000003E-2</v>
      </c>
      <c r="IF73" s="48">
        <v>792</v>
      </c>
      <c r="IG73" s="48">
        <v>671.4</v>
      </c>
      <c r="IH73" s="48">
        <v>823.8</v>
      </c>
      <c r="II73" s="48">
        <v>699.8</v>
      </c>
      <c r="IJ73" s="48">
        <v>6.6000000000000003E-2</v>
      </c>
      <c r="IK73" s="49">
        <v>-0.221</v>
      </c>
      <c r="IL73" s="49">
        <v>430.42399999999998</v>
      </c>
      <c r="IM73" s="49">
        <v>430.66399999999999</v>
      </c>
      <c r="IN73" s="48">
        <v>28.443999999999999</v>
      </c>
      <c r="IO73" s="48">
        <v>1.244</v>
      </c>
      <c r="IP73" s="49">
        <v>12.58</v>
      </c>
      <c r="IQ73" s="49">
        <v>8.9999999999999993E-3</v>
      </c>
      <c r="IR73" s="49">
        <v>6.0000000000000001E-3</v>
      </c>
      <c r="IS73">
        <v>-0.47899999999999998</v>
      </c>
      <c r="IT73">
        <v>0.27700000000000002</v>
      </c>
    </row>
    <row r="74" spans="2:254" x14ac:dyDescent="0.25">
      <c r="B74" s="2" t="s">
        <v>407</v>
      </c>
      <c r="C74" s="58" t="s">
        <v>42</v>
      </c>
      <c r="D74" s="59">
        <v>2.5067129629629628E-3</v>
      </c>
      <c r="E74" s="48">
        <v>216.62</v>
      </c>
      <c r="F74" s="49">
        <v>331.45</v>
      </c>
      <c r="G74" s="49">
        <v>5.99</v>
      </c>
      <c r="H74" s="48">
        <v>23.7</v>
      </c>
      <c r="I74" s="48">
        <v>0</v>
      </c>
      <c r="J74" s="48">
        <v>12.2</v>
      </c>
      <c r="K74" s="49">
        <v>6</v>
      </c>
      <c r="L74" s="49">
        <v>6</v>
      </c>
      <c r="M74" s="49">
        <v>4</v>
      </c>
      <c r="N74" s="49">
        <v>3</v>
      </c>
      <c r="O74" s="49">
        <v>3</v>
      </c>
      <c r="P74" s="48">
        <v>1.0629999999999999</v>
      </c>
      <c r="Q74" s="49">
        <v>1.9379999999999999</v>
      </c>
      <c r="R74" s="48">
        <v>1.006</v>
      </c>
      <c r="S74" s="48">
        <v>0.90800000000000003</v>
      </c>
      <c r="T74" s="49">
        <v>87.25</v>
      </c>
      <c r="U74" s="48">
        <v>60.533999999999999</v>
      </c>
      <c r="V74" s="48">
        <v>250</v>
      </c>
      <c r="W74" s="48">
        <v>240</v>
      </c>
      <c r="X74" s="48">
        <v>230</v>
      </c>
      <c r="Y74" s="48">
        <v>285</v>
      </c>
      <c r="Z74" s="49">
        <v>429.2</v>
      </c>
      <c r="AA74" s="49">
        <v>417.51</v>
      </c>
      <c r="AB74" s="49">
        <v>380.88</v>
      </c>
      <c r="AC74" s="49">
        <v>426.63</v>
      </c>
      <c r="AD74" s="48">
        <v>1.7689999999999999</v>
      </c>
      <c r="AE74" s="48">
        <v>1.8129999999999999</v>
      </c>
      <c r="AF74" s="48">
        <v>1.821</v>
      </c>
      <c r="AG74" s="48">
        <v>1.8440000000000001</v>
      </c>
      <c r="AH74" s="48">
        <v>70.38</v>
      </c>
      <c r="AI74" s="48">
        <v>67.31</v>
      </c>
      <c r="AJ74" s="48">
        <v>98.02</v>
      </c>
      <c r="AK74" s="48">
        <v>100.51</v>
      </c>
      <c r="AL74" s="48">
        <v>626.94500000000005</v>
      </c>
      <c r="AM74" s="48">
        <v>638.69299999999998</v>
      </c>
      <c r="AN74" s="48">
        <v>747.572</v>
      </c>
      <c r="AO74" s="49">
        <v>738.10500000000002</v>
      </c>
      <c r="AP74" s="48">
        <v>2.5550000000000002</v>
      </c>
      <c r="AQ74" s="48">
        <v>1.863</v>
      </c>
      <c r="AR74" s="49">
        <v>41.795000000000002</v>
      </c>
      <c r="AS74" s="48">
        <v>39.667000000000002</v>
      </c>
      <c r="AT74" s="49">
        <v>82</v>
      </c>
      <c r="AU74" s="48">
        <v>107</v>
      </c>
      <c r="AV74" s="48">
        <v>2.5514999999999999</v>
      </c>
      <c r="AW74" s="48">
        <v>5.1951999999999998</v>
      </c>
      <c r="AX74" s="49">
        <v>998.4</v>
      </c>
      <c r="AY74" s="48">
        <v>1.43</v>
      </c>
      <c r="AZ74" s="48">
        <v>5.67</v>
      </c>
      <c r="BA74" s="48">
        <v>108.92400000000001</v>
      </c>
      <c r="BB74" s="48">
        <v>108.92</v>
      </c>
      <c r="BC74" s="48">
        <v>7803</v>
      </c>
      <c r="BD74" s="48">
        <v>89</v>
      </c>
      <c r="BE74" s="48">
        <v>23.21</v>
      </c>
      <c r="BF74" s="48">
        <v>14.16</v>
      </c>
      <c r="BG74" s="48">
        <v>27.1</v>
      </c>
      <c r="BH74" s="48">
        <v>26.42</v>
      </c>
      <c r="BI74" s="3"/>
      <c r="BJ74" s="3"/>
      <c r="BK74" s="3"/>
      <c r="BL74" s="3"/>
      <c r="BM74" s="3"/>
      <c r="BN74" s="48">
        <v>92.6</v>
      </c>
      <c r="BO74" s="48">
        <v>94.183999999999997</v>
      </c>
      <c r="BP74" s="48">
        <v>118.104</v>
      </c>
      <c r="BQ74" s="48">
        <v>138.91999999999999</v>
      </c>
      <c r="BR74" s="3"/>
      <c r="BS74" s="48">
        <v>23.3</v>
      </c>
      <c r="BT74" s="48">
        <v>7344.9179999999997</v>
      </c>
      <c r="BU74" s="48">
        <v>80.468999999999994</v>
      </c>
      <c r="BV74" s="49">
        <v>69.049000000000007</v>
      </c>
      <c r="BW74" s="48">
        <v>54.552</v>
      </c>
      <c r="BX74" s="49">
        <v>65.975999999999999</v>
      </c>
      <c r="BY74" s="48">
        <v>1.4339999999999999</v>
      </c>
      <c r="BZ74" s="49">
        <v>3.089</v>
      </c>
      <c r="CA74" s="48">
        <v>3.1379999999999999</v>
      </c>
      <c r="CB74" s="48">
        <v>3.6179999999999999</v>
      </c>
      <c r="CC74" s="48">
        <v>5.7530000000000001</v>
      </c>
      <c r="CD74" s="48">
        <v>2.3570000000000002</v>
      </c>
      <c r="CE74" s="48">
        <v>3.7829999999999999</v>
      </c>
      <c r="CF74" s="48">
        <v>2.0699999999999998</v>
      </c>
      <c r="CG74" s="48">
        <v>13.67</v>
      </c>
      <c r="CH74" s="48">
        <v>13.513</v>
      </c>
      <c r="CI74" s="48">
        <v>3.8559999999999999</v>
      </c>
      <c r="CJ74" s="49">
        <v>3.5139999999999998</v>
      </c>
      <c r="CK74" s="48">
        <v>1.4</v>
      </c>
      <c r="CL74" s="48">
        <v>0</v>
      </c>
      <c r="CM74" s="48">
        <v>0.7</v>
      </c>
      <c r="CN74" s="49">
        <v>0.8</v>
      </c>
      <c r="CO74" s="49">
        <v>0.8</v>
      </c>
      <c r="CP74" s="48">
        <v>87.201999999999998</v>
      </c>
      <c r="CQ74" s="48">
        <v>88.102000000000004</v>
      </c>
      <c r="CR74" s="48">
        <v>108.127</v>
      </c>
      <c r="CS74" s="48">
        <v>130.11000000000001</v>
      </c>
      <c r="CT74" s="49">
        <v>0.48099999999999998</v>
      </c>
      <c r="CU74" s="48">
        <v>1.4970000000000001</v>
      </c>
      <c r="CV74" s="49">
        <v>1.8</v>
      </c>
      <c r="CW74" s="48">
        <v>1.101</v>
      </c>
      <c r="CX74" s="49">
        <v>1.9970000000000001</v>
      </c>
      <c r="CY74" s="49">
        <v>0.60099999999999998</v>
      </c>
      <c r="CZ74" s="49">
        <v>0.90200000000000002</v>
      </c>
      <c r="DA74" s="48">
        <v>1</v>
      </c>
      <c r="DB74" s="48">
        <v>1.6040000000000001</v>
      </c>
      <c r="DC74" s="48">
        <v>0</v>
      </c>
      <c r="DD74" s="49">
        <v>0</v>
      </c>
      <c r="DE74" s="48">
        <v>0.33700000000000002</v>
      </c>
      <c r="DF74" s="48">
        <v>0.185</v>
      </c>
      <c r="DG74" s="48">
        <v>0.67500000000000004</v>
      </c>
      <c r="DH74" s="48">
        <v>2.0019999999999998</v>
      </c>
      <c r="DI74" s="48">
        <v>1.256</v>
      </c>
      <c r="DJ74" s="48">
        <v>0.186</v>
      </c>
      <c r="DK74" s="49">
        <v>1.254</v>
      </c>
      <c r="DL74" s="48">
        <v>0.61099999999999999</v>
      </c>
      <c r="DM74" s="48">
        <v>0.77700000000000002</v>
      </c>
      <c r="DN74" s="48">
        <v>0.747</v>
      </c>
      <c r="DO74" s="48">
        <v>0.7</v>
      </c>
      <c r="DP74" s="48">
        <v>67.448999999999998</v>
      </c>
      <c r="DQ74" s="48">
        <v>64.397999999999996</v>
      </c>
      <c r="DR74" s="49">
        <v>55.715000000000003</v>
      </c>
      <c r="DS74" s="49">
        <v>55.838999999999999</v>
      </c>
      <c r="DT74" s="49">
        <v>5.17</v>
      </c>
      <c r="DU74" s="49">
        <v>6.25</v>
      </c>
      <c r="DV74" s="49">
        <v>17.420000000000002</v>
      </c>
      <c r="DW74" s="48">
        <v>13.33</v>
      </c>
      <c r="DX74" s="48">
        <v>5.91</v>
      </c>
      <c r="DY74" s="49">
        <v>6.45</v>
      </c>
      <c r="DZ74" s="49">
        <v>16.34</v>
      </c>
      <c r="EA74" s="49">
        <v>13.06</v>
      </c>
      <c r="EB74" s="49">
        <v>43.62</v>
      </c>
      <c r="EC74" s="49">
        <v>41.61</v>
      </c>
      <c r="ED74" s="49">
        <v>31.08</v>
      </c>
      <c r="EE74" s="49">
        <v>35.07</v>
      </c>
      <c r="EF74" s="48">
        <v>45.31</v>
      </c>
      <c r="EG74" s="48">
        <v>45.69</v>
      </c>
      <c r="EH74" s="48">
        <v>35.159999999999997</v>
      </c>
      <c r="EI74" s="48">
        <v>38.54</v>
      </c>
      <c r="EJ74" s="48">
        <v>6.5049999999999999</v>
      </c>
      <c r="EK74" s="48">
        <v>64.099999999999994</v>
      </c>
      <c r="EL74" s="48">
        <v>1.2</v>
      </c>
      <c r="EM74" s="48">
        <v>0.8</v>
      </c>
      <c r="EN74" s="49">
        <v>1.18</v>
      </c>
      <c r="EO74" s="49">
        <v>1.17</v>
      </c>
      <c r="EP74" s="49">
        <v>-107.974</v>
      </c>
      <c r="EQ74" s="48">
        <v>-2.1779999999999999</v>
      </c>
      <c r="ER74" s="49">
        <v>121.83</v>
      </c>
      <c r="ES74" s="49">
        <v>1.272</v>
      </c>
      <c r="ET74" s="49">
        <v>1.377</v>
      </c>
      <c r="EU74" s="49">
        <v>1.2</v>
      </c>
      <c r="EV74" s="48">
        <v>7.375</v>
      </c>
      <c r="EW74" s="48">
        <v>3.8730000000000002</v>
      </c>
      <c r="EX74" s="49">
        <v>74.88</v>
      </c>
      <c r="EY74" s="48">
        <v>0</v>
      </c>
      <c r="EZ74" s="48">
        <v>0</v>
      </c>
      <c r="FA74" s="49">
        <v>0</v>
      </c>
      <c r="FB74" s="48">
        <v>8.9730000000000008</v>
      </c>
      <c r="FC74" s="48">
        <v>63.161999999999999</v>
      </c>
      <c r="FD74" s="48">
        <v>60.618000000000002</v>
      </c>
      <c r="FE74" s="48">
        <v>73.319999999999993</v>
      </c>
      <c r="FF74" s="48">
        <v>73.596000000000004</v>
      </c>
      <c r="FG74" s="48">
        <v>0.91300000000000003</v>
      </c>
      <c r="FH74" s="48">
        <v>0.91100000000000003</v>
      </c>
      <c r="FI74" s="48">
        <v>0.98799999999999999</v>
      </c>
      <c r="FJ74" s="48">
        <v>0.98499999999999999</v>
      </c>
      <c r="FK74" s="48">
        <v>0</v>
      </c>
      <c r="FL74" s="48">
        <v>82</v>
      </c>
      <c r="FM74" s="48">
        <v>3.05</v>
      </c>
      <c r="FN74" s="48">
        <v>1.23</v>
      </c>
      <c r="FO74" s="49">
        <v>5.22</v>
      </c>
      <c r="FP74" s="48">
        <v>3.5</v>
      </c>
      <c r="FQ74" s="48">
        <v>4.1500000000000004</v>
      </c>
      <c r="FR74" s="48">
        <v>5</v>
      </c>
      <c r="FS74" s="48">
        <v>6.6609999999999996</v>
      </c>
      <c r="FT74" s="49">
        <v>1070.5999999999999</v>
      </c>
      <c r="FU74" s="49">
        <v>7.55</v>
      </c>
      <c r="FV74" s="48">
        <v>11.89</v>
      </c>
      <c r="FW74" s="48">
        <v>3059.5</v>
      </c>
      <c r="FX74" s="48">
        <v>162800</v>
      </c>
      <c r="FY74" s="48">
        <v>162700</v>
      </c>
      <c r="FZ74" s="48">
        <v>43.582999999999998</v>
      </c>
      <c r="GA74" s="48">
        <v>42.911999999999999</v>
      </c>
      <c r="GB74" s="49">
        <v>2162.6999999999998</v>
      </c>
      <c r="GC74" s="49">
        <v>2202.1</v>
      </c>
      <c r="GD74" s="49">
        <v>2162.6999999999998</v>
      </c>
      <c r="GE74" s="49">
        <v>2211.6999999999998</v>
      </c>
      <c r="GF74" s="49">
        <v>1480.0313000000001</v>
      </c>
      <c r="GG74" s="48">
        <v>31</v>
      </c>
      <c r="GH74" s="48">
        <v>30.5</v>
      </c>
      <c r="GI74" s="48">
        <v>48.4</v>
      </c>
      <c r="GJ74" s="48">
        <v>54</v>
      </c>
      <c r="GK74" s="48">
        <v>99.5</v>
      </c>
      <c r="GL74" s="48">
        <v>109.4</v>
      </c>
      <c r="GM74" s="49">
        <v>0</v>
      </c>
      <c r="GN74" s="48">
        <v>22.332999999999998</v>
      </c>
      <c r="GO74" s="49">
        <v>121.83</v>
      </c>
      <c r="GP74" s="48">
        <v>0.29499999999999998</v>
      </c>
      <c r="GQ74" s="48">
        <v>1.829</v>
      </c>
      <c r="GR74" s="48">
        <v>0.41299999999999998</v>
      </c>
      <c r="GS74" s="48">
        <v>1.8879999999999999</v>
      </c>
      <c r="GT74" s="48">
        <v>0.41299999999999998</v>
      </c>
      <c r="GU74" s="48">
        <v>1.829</v>
      </c>
      <c r="GV74" s="48">
        <v>12.936</v>
      </c>
      <c r="GW74" s="49">
        <v>14.042999999999999</v>
      </c>
      <c r="GX74" s="48">
        <v>16.071999999999999</v>
      </c>
      <c r="GY74" s="49">
        <v>0</v>
      </c>
      <c r="GZ74" s="49">
        <v>0</v>
      </c>
      <c r="HA74" s="49">
        <v>0</v>
      </c>
      <c r="HB74" s="48">
        <v>0</v>
      </c>
      <c r="HC74" s="48">
        <v>37.057000000000002</v>
      </c>
      <c r="HD74" s="49">
        <v>90</v>
      </c>
      <c r="HE74" s="49">
        <v>0</v>
      </c>
      <c r="HF74" s="49">
        <v>0</v>
      </c>
      <c r="HG74" s="48">
        <v>73.95</v>
      </c>
      <c r="HH74" s="48">
        <v>81.03</v>
      </c>
      <c r="HI74" s="49">
        <v>0</v>
      </c>
      <c r="HJ74" s="49">
        <v>0</v>
      </c>
      <c r="HK74" s="49">
        <v>0</v>
      </c>
      <c r="HL74" s="48">
        <v>54</v>
      </c>
      <c r="HM74" s="48">
        <v>51</v>
      </c>
      <c r="HN74" s="48">
        <v>63</v>
      </c>
      <c r="HO74" s="48">
        <v>57</v>
      </c>
      <c r="HP74" s="49">
        <v>60</v>
      </c>
      <c r="HQ74" s="49">
        <v>58</v>
      </c>
      <c r="HR74" s="48">
        <v>52</v>
      </c>
      <c r="HS74" s="48">
        <v>60</v>
      </c>
      <c r="HT74" s="49">
        <v>-0.28999999999999998</v>
      </c>
      <c r="HU74" s="49">
        <v>0</v>
      </c>
      <c r="HV74" s="49">
        <v>1.4970000000000001</v>
      </c>
      <c r="HW74" s="49">
        <v>35.97</v>
      </c>
      <c r="HX74" s="49">
        <v>42.61</v>
      </c>
      <c r="HY74" s="49">
        <v>51.23</v>
      </c>
      <c r="HZ74" s="49">
        <v>51.23</v>
      </c>
      <c r="IA74" s="48">
        <v>2.7879999999999998</v>
      </c>
      <c r="IB74" s="49">
        <v>102</v>
      </c>
      <c r="IC74" s="48">
        <v>21.445</v>
      </c>
      <c r="ID74" s="48">
        <v>-0.23799999999999999</v>
      </c>
      <c r="IE74" s="48">
        <v>-5.5E-2</v>
      </c>
      <c r="IF74" s="49">
        <v>801.9</v>
      </c>
      <c r="IG74" s="49">
        <v>747.1</v>
      </c>
      <c r="IH74" s="49">
        <v>836.2</v>
      </c>
      <c r="II74" s="49">
        <v>776.4</v>
      </c>
      <c r="IJ74" s="48">
        <v>3.2000000000000001E-2</v>
      </c>
      <c r="IK74" s="48">
        <v>-0.36499999999999999</v>
      </c>
      <c r="IL74" s="48">
        <v>71.686999999999998</v>
      </c>
      <c r="IM74" s="48">
        <v>71.686999999999998</v>
      </c>
      <c r="IN74" s="48">
        <v>29.373999999999999</v>
      </c>
      <c r="IO74" s="49">
        <v>1.3320000000000001</v>
      </c>
      <c r="IP74" s="48">
        <v>12.35</v>
      </c>
      <c r="IQ74" s="48">
        <v>6.0000000000000001E-3</v>
      </c>
      <c r="IR74" s="48">
        <v>4.0000000000000001E-3</v>
      </c>
      <c r="IS74">
        <v>-0.47299999999999998</v>
      </c>
      <c r="IT74">
        <v>0.28100000000000003</v>
      </c>
    </row>
    <row r="75" spans="2:254" x14ac:dyDescent="0.25">
      <c r="B75" s="2" t="s">
        <v>407</v>
      </c>
      <c r="C75" s="2" t="s">
        <v>43</v>
      </c>
      <c r="D75" s="57">
        <v>2.744675925925926E-3</v>
      </c>
      <c r="E75" s="48">
        <v>237.14400000000001</v>
      </c>
      <c r="F75" s="48">
        <v>330.21</v>
      </c>
      <c r="G75" s="48">
        <v>5.95</v>
      </c>
      <c r="H75" s="48">
        <v>23.6</v>
      </c>
      <c r="I75" s="48">
        <v>0</v>
      </c>
      <c r="J75" s="48">
        <v>13.3</v>
      </c>
      <c r="K75" s="49">
        <v>6</v>
      </c>
      <c r="L75" s="49">
        <v>6</v>
      </c>
      <c r="M75" s="49">
        <v>4</v>
      </c>
      <c r="N75" s="49">
        <v>3</v>
      </c>
      <c r="O75" s="49">
        <v>3</v>
      </c>
      <c r="P75" s="49">
        <v>1.08</v>
      </c>
      <c r="Q75" s="48">
        <v>1.83</v>
      </c>
      <c r="R75" s="48">
        <v>1.0409999999999999</v>
      </c>
      <c r="S75" s="49">
        <v>0.95</v>
      </c>
      <c r="T75" s="48">
        <v>78.55</v>
      </c>
      <c r="U75" s="48">
        <v>60.488</v>
      </c>
      <c r="V75" s="48">
        <v>256.66000000000003</v>
      </c>
      <c r="W75" s="48">
        <v>251.66</v>
      </c>
      <c r="X75" s="48">
        <v>245</v>
      </c>
      <c r="Y75" s="48">
        <v>302</v>
      </c>
      <c r="Z75" s="48">
        <v>417.8</v>
      </c>
      <c r="AA75" s="48">
        <v>403.54</v>
      </c>
      <c r="AB75" s="48">
        <v>371.68</v>
      </c>
      <c r="AC75" s="48">
        <v>415.54</v>
      </c>
      <c r="AD75" s="49">
        <v>1.786</v>
      </c>
      <c r="AE75" s="49">
        <v>1.835</v>
      </c>
      <c r="AF75" s="49">
        <v>1.857</v>
      </c>
      <c r="AG75" s="49">
        <v>1.885</v>
      </c>
      <c r="AH75" s="49">
        <v>72.69</v>
      </c>
      <c r="AI75" s="49">
        <v>69.38</v>
      </c>
      <c r="AJ75" s="49">
        <v>102.14</v>
      </c>
      <c r="AK75" s="49">
        <v>105.19</v>
      </c>
      <c r="AL75" s="49">
        <v>644.726</v>
      </c>
      <c r="AM75" s="49">
        <v>662.06</v>
      </c>
      <c r="AN75" s="49">
        <v>756.06100000000004</v>
      </c>
      <c r="AO75" s="48">
        <v>734.98599999999999</v>
      </c>
      <c r="AP75" s="48">
        <v>2.5169999999999999</v>
      </c>
      <c r="AQ75" s="48">
        <v>1.831</v>
      </c>
      <c r="AR75" s="48">
        <v>41.74</v>
      </c>
      <c r="AS75" s="49">
        <v>40.087000000000003</v>
      </c>
      <c r="AT75" s="49">
        <v>82</v>
      </c>
      <c r="AU75" s="49">
        <v>109</v>
      </c>
      <c r="AV75" s="49">
        <v>2.5059999999999998</v>
      </c>
      <c r="AW75" s="49">
        <v>5.2393999999999998</v>
      </c>
      <c r="AX75" s="48">
        <v>994.1</v>
      </c>
      <c r="AY75" s="48">
        <v>1.48</v>
      </c>
      <c r="AZ75" s="48">
        <v>5.69</v>
      </c>
      <c r="BA75" s="48">
        <v>69.302000000000007</v>
      </c>
      <c r="BB75" s="48">
        <v>69.400000000000006</v>
      </c>
      <c r="BC75" s="49">
        <v>7845</v>
      </c>
      <c r="BD75" s="49">
        <v>89.25</v>
      </c>
      <c r="BE75" s="49">
        <v>23.73</v>
      </c>
      <c r="BF75" s="49">
        <v>15.355</v>
      </c>
      <c r="BG75" s="48">
        <v>27.78</v>
      </c>
      <c r="BH75" s="48">
        <v>27.87</v>
      </c>
      <c r="BI75" s="49">
        <v>68.349999999999994</v>
      </c>
      <c r="BJ75" s="49">
        <v>84.694999999999993</v>
      </c>
      <c r="BK75" s="49">
        <v>66.622</v>
      </c>
      <c r="BL75" s="49">
        <v>82.055999999999997</v>
      </c>
      <c r="BM75" s="49">
        <v>82.108000000000004</v>
      </c>
      <c r="BN75" s="48">
        <v>99.896000000000001</v>
      </c>
      <c r="BO75" s="48">
        <v>102.29600000000001</v>
      </c>
      <c r="BP75" s="49">
        <v>126.84</v>
      </c>
      <c r="BQ75" s="49">
        <v>143.11199999999999</v>
      </c>
      <c r="BR75" s="49">
        <v>59.948</v>
      </c>
      <c r="BS75" s="48">
        <v>23.1</v>
      </c>
      <c r="BT75" s="48">
        <v>7367.5320000000002</v>
      </c>
      <c r="BU75" s="48">
        <v>80.748000000000005</v>
      </c>
      <c r="BV75" s="48">
        <v>65.347999999999999</v>
      </c>
      <c r="BW75" s="48">
        <v>56.103999999999999</v>
      </c>
      <c r="BX75" s="48">
        <v>65.132999999999996</v>
      </c>
      <c r="BY75" s="48">
        <v>1.49</v>
      </c>
      <c r="BZ75" s="48">
        <v>2.9049999999999998</v>
      </c>
      <c r="CA75" s="48">
        <v>3.3809999999999998</v>
      </c>
      <c r="CB75" s="49">
        <v>3.8820000000000001</v>
      </c>
      <c r="CC75" s="48">
        <v>5.484</v>
      </c>
      <c r="CD75" s="48">
        <v>2.2149999999999999</v>
      </c>
      <c r="CE75" s="48">
        <v>3.746</v>
      </c>
      <c r="CF75" s="48">
        <v>2.0489999999999999</v>
      </c>
      <c r="CG75" s="49">
        <v>13.696999999999999</v>
      </c>
      <c r="CH75" s="48">
        <v>13.465</v>
      </c>
      <c r="CI75" s="3"/>
      <c r="CJ75" s="3"/>
      <c r="CK75" s="3"/>
      <c r="CL75" s="48">
        <v>0</v>
      </c>
      <c r="CM75" s="48">
        <v>1.2</v>
      </c>
      <c r="CN75" s="48">
        <v>0</v>
      </c>
      <c r="CO75" s="48">
        <v>0</v>
      </c>
      <c r="CP75" s="48">
        <v>88.173000000000002</v>
      </c>
      <c r="CQ75" s="48">
        <v>89.927999999999997</v>
      </c>
      <c r="CR75" s="49">
        <v>113.477</v>
      </c>
      <c r="CS75" s="49">
        <v>135.774</v>
      </c>
      <c r="CT75" s="48">
        <v>0.318</v>
      </c>
      <c r="CU75" s="48">
        <v>0.69599999999999995</v>
      </c>
      <c r="CV75" s="48">
        <v>0.59799999999999998</v>
      </c>
      <c r="CW75" s="49">
        <v>1.296</v>
      </c>
      <c r="CX75" s="48">
        <v>0.79600000000000004</v>
      </c>
      <c r="CY75" s="48">
        <v>0.498</v>
      </c>
      <c r="CZ75" s="48">
        <v>0.89800000000000002</v>
      </c>
      <c r="DA75" s="48">
        <v>0.60099999999999998</v>
      </c>
      <c r="DB75" s="49">
        <v>1.7929999999999999</v>
      </c>
      <c r="DC75" s="48">
        <v>0</v>
      </c>
      <c r="DD75" s="49">
        <v>0</v>
      </c>
      <c r="DE75" s="49">
        <v>0.34799999999999998</v>
      </c>
      <c r="DF75" s="49">
        <v>0.19900000000000001</v>
      </c>
      <c r="DG75" s="48">
        <v>0.51700000000000002</v>
      </c>
      <c r="DH75" s="49">
        <v>2.6560000000000001</v>
      </c>
      <c r="DI75" s="49">
        <v>1.4990000000000001</v>
      </c>
      <c r="DJ75" s="48">
        <v>0.18099999999999999</v>
      </c>
      <c r="DK75" s="48">
        <v>1.03</v>
      </c>
      <c r="DL75" s="48">
        <v>0.61</v>
      </c>
      <c r="DM75" s="48">
        <v>0.77700000000000002</v>
      </c>
      <c r="DN75" s="48">
        <v>0.73799999999999999</v>
      </c>
      <c r="DO75" s="49">
        <v>0.72599999999999998</v>
      </c>
      <c r="DP75" s="49">
        <v>69.378</v>
      </c>
      <c r="DQ75" s="49">
        <v>64.406999999999996</v>
      </c>
      <c r="DR75" s="48">
        <v>55.231000000000002</v>
      </c>
      <c r="DS75" s="48">
        <v>54.878</v>
      </c>
      <c r="DT75" s="49">
        <v>5.17</v>
      </c>
      <c r="DU75" s="48">
        <v>5.81</v>
      </c>
      <c r="DV75" s="48">
        <v>17.13</v>
      </c>
      <c r="DW75" s="49">
        <v>13.46</v>
      </c>
      <c r="DX75" s="49">
        <v>5.92</v>
      </c>
      <c r="DY75" s="48">
        <v>6.15</v>
      </c>
      <c r="DZ75" s="48">
        <v>16.27</v>
      </c>
      <c r="EA75" s="48">
        <v>12.9</v>
      </c>
      <c r="EB75" s="48">
        <v>42.16</v>
      </c>
      <c r="EC75" s="48">
        <v>39.85</v>
      </c>
      <c r="ED75" s="48">
        <v>30.1</v>
      </c>
      <c r="EE75" s="48">
        <v>33.46</v>
      </c>
      <c r="EF75" s="48">
        <v>46.75</v>
      </c>
      <c r="EG75" s="48">
        <v>48.19</v>
      </c>
      <c r="EH75" s="48">
        <v>36.5</v>
      </c>
      <c r="EI75" s="48">
        <v>40.18</v>
      </c>
      <c r="EJ75" s="48">
        <v>6.6310000000000002</v>
      </c>
      <c r="EK75" s="49">
        <v>64.381</v>
      </c>
      <c r="EL75" s="48">
        <v>1.3</v>
      </c>
      <c r="EM75" s="48">
        <v>0.8</v>
      </c>
      <c r="EN75" s="48">
        <v>1.1499999999999999</v>
      </c>
      <c r="EO75" s="48">
        <v>1.1399999999999999</v>
      </c>
      <c r="EP75" s="49">
        <v>-107.974</v>
      </c>
      <c r="EQ75" s="48">
        <v>-2.4369999999999998</v>
      </c>
      <c r="ER75" s="48">
        <v>99.054000000000002</v>
      </c>
      <c r="ES75" s="48">
        <v>1.1950000000000001</v>
      </c>
      <c r="ET75" s="48">
        <v>1.294</v>
      </c>
      <c r="EU75" s="48">
        <v>1.0980000000000001</v>
      </c>
      <c r="EV75" s="49">
        <v>7.6859999999999999</v>
      </c>
      <c r="EW75" s="49">
        <v>4.0620000000000003</v>
      </c>
      <c r="EX75" s="48">
        <v>73.760000000000005</v>
      </c>
      <c r="EY75" s="48">
        <v>0</v>
      </c>
      <c r="EZ75" s="49">
        <v>9.2999999999999999E-2</v>
      </c>
      <c r="FA75" s="49">
        <v>0</v>
      </c>
      <c r="FB75" s="49">
        <v>9.0419999999999998</v>
      </c>
      <c r="FC75" s="49">
        <v>65.585999999999999</v>
      </c>
      <c r="FD75" s="49">
        <v>63.396000000000001</v>
      </c>
      <c r="FE75" s="49">
        <v>77.995000000000005</v>
      </c>
      <c r="FF75" s="49">
        <v>78.203000000000003</v>
      </c>
      <c r="FG75" s="48">
        <v>0.91600000000000004</v>
      </c>
      <c r="FH75" s="48">
        <v>0.91200000000000003</v>
      </c>
      <c r="FI75" s="48">
        <v>0.98899999999999999</v>
      </c>
      <c r="FJ75" s="48">
        <v>0.98599999999999999</v>
      </c>
      <c r="FK75" s="48">
        <v>0</v>
      </c>
      <c r="FL75" s="48">
        <v>82</v>
      </c>
      <c r="FM75" s="48">
        <v>3.06</v>
      </c>
      <c r="FN75" s="48">
        <v>1.17</v>
      </c>
      <c r="FO75" s="48">
        <v>5.43</v>
      </c>
      <c r="FP75" s="48">
        <v>4</v>
      </c>
      <c r="FQ75" s="48">
        <v>4.25</v>
      </c>
      <c r="FR75" s="48">
        <v>5.0999999999999996</v>
      </c>
      <c r="FS75" s="48">
        <v>6.6455000000000002</v>
      </c>
      <c r="FT75" s="48">
        <v>1064.3</v>
      </c>
      <c r="FU75" s="48">
        <v>7.52</v>
      </c>
      <c r="FV75" s="49">
        <v>17.850000000000001</v>
      </c>
      <c r="FW75" s="48">
        <v>3017</v>
      </c>
      <c r="FX75" s="48">
        <v>163200</v>
      </c>
      <c r="FY75" s="48">
        <v>162000</v>
      </c>
      <c r="FZ75" s="48">
        <v>43.451000000000001</v>
      </c>
      <c r="GA75" s="48">
        <v>42.728999999999999</v>
      </c>
      <c r="GB75" s="48">
        <v>2111.9</v>
      </c>
      <c r="GC75" s="48">
        <v>2176.1</v>
      </c>
      <c r="GD75" s="48">
        <v>2141.3000000000002</v>
      </c>
      <c r="GE75" s="48">
        <v>2176.1</v>
      </c>
      <c r="GF75" s="48">
        <v>1382.1719000000001</v>
      </c>
      <c r="GG75" s="49">
        <v>32</v>
      </c>
      <c r="GH75" s="48">
        <v>31.7</v>
      </c>
      <c r="GI75" s="48">
        <v>44.5</v>
      </c>
      <c r="GJ75" s="48">
        <v>50.3</v>
      </c>
      <c r="GK75" s="48">
        <v>99.5</v>
      </c>
      <c r="GL75" s="48">
        <v>110.3</v>
      </c>
      <c r="GM75" s="49">
        <v>0</v>
      </c>
      <c r="GN75" s="49">
        <v>22.794</v>
      </c>
      <c r="GO75" s="48">
        <v>107.974</v>
      </c>
      <c r="GP75" s="49">
        <v>0</v>
      </c>
      <c r="GQ75" s="48">
        <v>1.829</v>
      </c>
      <c r="GR75" s="49">
        <v>0</v>
      </c>
      <c r="GS75" s="48">
        <v>1.8879999999999999</v>
      </c>
      <c r="GT75" s="49">
        <v>0</v>
      </c>
      <c r="GU75" s="48">
        <v>1.829</v>
      </c>
      <c r="GV75" s="49">
        <v>0</v>
      </c>
      <c r="GW75" s="48">
        <v>13.984999999999999</v>
      </c>
      <c r="GX75" s="48">
        <v>15.974</v>
      </c>
      <c r="GY75" s="49">
        <v>0</v>
      </c>
      <c r="GZ75" s="49">
        <v>0</v>
      </c>
      <c r="HA75" s="49">
        <v>0</v>
      </c>
      <c r="HB75" s="48">
        <v>0</v>
      </c>
      <c r="HC75" s="48">
        <v>35.786999999999999</v>
      </c>
      <c r="HD75" s="49">
        <v>90</v>
      </c>
      <c r="HE75" s="49">
        <v>0</v>
      </c>
      <c r="HF75" s="49">
        <v>0</v>
      </c>
      <c r="HG75" s="48">
        <v>73.16</v>
      </c>
      <c r="HH75" s="49">
        <v>81.489999999999995</v>
      </c>
      <c r="HI75" s="49">
        <v>0</v>
      </c>
      <c r="HJ75" s="49">
        <v>0</v>
      </c>
      <c r="HK75" s="49">
        <v>0</v>
      </c>
      <c r="HL75" s="48">
        <v>52</v>
      </c>
      <c r="HM75" s="48">
        <v>50</v>
      </c>
      <c r="HN75" s="49">
        <v>64</v>
      </c>
      <c r="HO75" s="49">
        <v>58</v>
      </c>
      <c r="HP75" s="49">
        <v>60</v>
      </c>
      <c r="HQ75" s="49">
        <v>58</v>
      </c>
      <c r="HR75" s="48">
        <v>52</v>
      </c>
      <c r="HS75" s="49">
        <v>70</v>
      </c>
      <c r="HT75" s="48">
        <v>-0.28799999999999998</v>
      </c>
      <c r="HU75" s="49">
        <v>0</v>
      </c>
      <c r="HV75" s="48">
        <v>1.41</v>
      </c>
      <c r="HW75" s="48">
        <v>37.700000000000003</v>
      </c>
      <c r="HX75" s="49">
        <v>42.61</v>
      </c>
      <c r="HY75" s="3"/>
      <c r="HZ75" s="3"/>
      <c r="IA75" s="49">
        <v>3.0059999999999998</v>
      </c>
      <c r="IB75" s="49">
        <v>102</v>
      </c>
      <c r="IC75" s="49">
        <v>21.585999999999999</v>
      </c>
      <c r="ID75" s="48">
        <v>-0.22</v>
      </c>
      <c r="IE75" s="49">
        <v>-3.2000000000000001E-2</v>
      </c>
      <c r="IF75" s="48">
        <v>791.9</v>
      </c>
      <c r="IG75" s="48">
        <v>740.9</v>
      </c>
      <c r="IH75" s="48">
        <v>835.3</v>
      </c>
      <c r="II75" s="48">
        <v>771.1</v>
      </c>
      <c r="IJ75" s="49">
        <v>7.1999999999999995E-2</v>
      </c>
      <c r="IK75" s="48">
        <v>-0.316</v>
      </c>
      <c r="IL75" s="48">
        <v>71.744</v>
      </c>
      <c r="IM75" s="48">
        <v>71.744</v>
      </c>
      <c r="IN75" s="49">
        <v>30.231000000000002</v>
      </c>
      <c r="IO75" s="48">
        <v>1.262</v>
      </c>
      <c r="IP75" s="48">
        <v>12.34</v>
      </c>
      <c r="IQ75" s="48">
        <v>0</v>
      </c>
      <c r="IR75" s="48">
        <v>0</v>
      </c>
      <c r="IS75">
        <v>-0.47299999999999998</v>
      </c>
      <c r="IT75">
        <v>0.28100000000000003</v>
      </c>
    </row>
    <row r="76" spans="2:254" x14ac:dyDescent="0.25">
      <c r="IS76">
        <v>-0.47299999999999998</v>
      </c>
      <c r="IT76">
        <v>0.28100000000000003</v>
      </c>
    </row>
    <row r="77" spans="2:254" x14ac:dyDescent="0.25">
      <c r="IS77">
        <v>-0.47299999999999998</v>
      </c>
      <c r="IT77">
        <v>0.28100000000000003</v>
      </c>
    </row>
    <row r="78" spans="2:254" x14ac:dyDescent="0.25">
      <c r="IS78">
        <v>-0.47299999999999998</v>
      </c>
      <c r="IT78">
        <v>0.28100000000000003</v>
      </c>
    </row>
    <row r="79" spans="2:254" x14ac:dyDescent="0.25">
      <c r="IS79">
        <v>-0.47299999999999998</v>
      </c>
      <c r="IT79">
        <v>0.28100000000000003</v>
      </c>
    </row>
    <row r="89" spans="1:1" x14ac:dyDescent="0.25">
      <c r="A89" s="6" t="s">
        <v>48</v>
      </c>
    </row>
    <row r="118" spans="1:1" x14ac:dyDescent="0.25">
      <c r="A118" s="6" t="s">
        <v>49</v>
      </c>
    </row>
    <row r="147" spans="1:1" x14ac:dyDescent="0.25">
      <c r="A147" s="6" t="s">
        <v>55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5E5-CDC9-404B-98AE-57FBF63AF014}">
  <sheetPr codeName="Sheet1"/>
  <dimension ref="B1:IR7"/>
  <sheetViews>
    <sheetView zoomScale="70" zoomScaleNormal="70" workbookViewId="0">
      <selection activeCell="D8" sqref="D8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356</v>
      </c>
      <c r="C1" t="s">
        <v>409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411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3.1347222222222221E-2</v>
      </c>
      <c r="E7" s="49">
        <v>2708.4029999999998</v>
      </c>
      <c r="F7" s="49">
        <v>303.69</v>
      </c>
      <c r="G7" s="49">
        <v>2.93</v>
      </c>
      <c r="H7" s="49">
        <v>25.2</v>
      </c>
      <c r="I7" s="49">
        <v>0</v>
      </c>
      <c r="J7" s="49">
        <v>2208.6</v>
      </c>
      <c r="K7" s="49">
        <v>6</v>
      </c>
      <c r="L7" s="49">
        <v>8</v>
      </c>
      <c r="M7" s="49">
        <v>7</v>
      </c>
      <c r="N7" s="49">
        <v>3</v>
      </c>
      <c r="O7" s="49">
        <v>3</v>
      </c>
      <c r="P7" s="49">
        <v>0.93899999999999995</v>
      </c>
      <c r="Q7" s="49">
        <v>0.95699999999999996</v>
      </c>
      <c r="R7" s="49">
        <v>0.89</v>
      </c>
      <c r="S7" s="3"/>
      <c r="T7" s="49">
        <v>60.13</v>
      </c>
      <c r="U7" s="49">
        <v>61.55</v>
      </c>
      <c r="V7" s="49">
        <v>70</v>
      </c>
      <c r="W7" s="49">
        <v>40</v>
      </c>
      <c r="X7" s="49">
        <v>40</v>
      </c>
      <c r="Y7" s="49">
        <v>30</v>
      </c>
      <c r="Z7" s="49">
        <v>86.46</v>
      </c>
      <c r="AA7" s="49">
        <v>73.62</v>
      </c>
      <c r="AB7" s="49">
        <v>48.98</v>
      </c>
      <c r="AC7" s="49">
        <v>40.909999999999997</v>
      </c>
      <c r="AD7" s="49">
        <v>0.82899999999999996</v>
      </c>
      <c r="AE7" s="49">
        <v>0.878</v>
      </c>
      <c r="AF7" s="49">
        <v>0.74399999999999999</v>
      </c>
      <c r="AG7" s="49">
        <v>0.752</v>
      </c>
      <c r="AH7" s="49">
        <v>10.41</v>
      </c>
      <c r="AI7" s="49">
        <v>11.18</v>
      </c>
      <c r="AJ7" s="49">
        <v>10.83</v>
      </c>
      <c r="AK7" s="49">
        <v>9.4499999999999993</v>
      </c>
      <c r="AL7" s="49">
        <v>496.59399999999999</v>
      </c>
      <c r="AM7" s="49">
        <v>477.98</v>
      </c>
      <c r="AN7" s="49">
        <v>552.41800000000001</v>
      </c>
      <c r="AO7" s="49">
        <v>535.47699999999998</v>
      </c>
      <c r="AP7" s="3"/>
      <c r="AQ7" s="3"/>
      <c r="AR7" s="3"/>
      <c r="AS7" s="3"/>
      <c r="AT7" s="49">
        <v>86</v>
      </c>
      <c r="AU7" s="49">
        <v>68</v>
      </c>
      <c r="AV7" s="49">
        <v>5.4595000000000002</v>
      </c>
      <c r="AW7" s="49">
        <v>6.3640999999999996</v>
      </c>
      <c r="AX7" s="49">
        <v>1017.5</v>
      </c>
      <c r="AY7" s="49">
        <v>1.25</v>
      </c>
      <c r="AZ7" s="49">
        <v>0.39</v>
      </c>
      <c r="BA7" s="49">
        <v>65.093000000000004</v>
      </c>
      <c r="BB7" s="49">
        <v>67.707999999999998</v>
      </c>
      <c r="BC7" s="49">
        <v>7312</v>
      </c>
      <c r="BD7" s="49">
        <v>89.75</v>
      </c>
      <c r="BE7" s="49">
        <v>18.73</v>
      </c>
      <c r="BF7" s="49">
        <v>10.07</v>
      </c>
      <c r="BG7" s="49">
        <v>22.22</v>
      </c>
      <c r="BH7" s="49">
        <v>23.08</v>
      </c>
      <c r="BI7" s="49">
        <v>65.835999999999999</v>
      </c>
      <c r="BJ7" s="49">
        <v>76.316000000000003</v>
      </c>
      <c r="BK7" s="49">
        <v>64.727999999999994</v>
      </c>
      <c r="BL7" s="49">
        <v>74.558000000000007</v>
      </c>
      <c r="BM7" s="49">
        <v>74.722999999999999</v>
      </c>
      <c r="BN7" s="49">
        <v>53.192</v>
      </c>
      <c r="BO7" s="49">
        <v>53.223999999999997</v>
      </c>
      <c r="BP7" s="49">
        <v>60.392000000000003</v>
      </c>
      <c r="BQ7" s="49">
        <v>59.8</v>
      </c>
      <c r="BR7" s="49">
        <v>59.262999999999998</v>
      </c>
      <c r="BS7" s="49">
        <v>23.4</v>
      </c>
      <c r="BT7" s="49">
        <v>4520.2839999999997</v>
      </c>
      <c r="BU7" s="49">
        <v>95.543999999999997</v>
      </c>
      <c r="BV7" s="49">
        <v>69.213999999999999</v>
      </c>
      <c r="BW7" s="49">
        <v>77.774000000000001</v>
      </c>
      <c r="BX7" s="3"/>
      <c r="BY7" s="49">
        <v>1.1060000000000001</v>
      </c>
      <c r="BZ7" s="49">
        <v>1.49</v>
      </c>
      <c r="CA7" s="49">
        <v>1.9470000000000001</v>
      </c>
      <c r="CB7" s="49">
        <v>1.921</v>
      </c>
      <c r="CC7" s="49">
        <v>6.1740000000000004</v>
      </c>
      <c r="CD7" s="49">
        <v>2.4470000000000001</v>
      </c>
      <c r="CE7" s="49">
        <v>3.7080000000000002</v>
      </c>
      <c r="CF7" s="49">
        <v>2.1469999999999998</v>
      </c>
      <c r="CG7" s="49">
        <v>13.27</v>
      </c>
      <c r="CH7" s="49">
        <v>9.7940000000000005</v>
      </c>
      <c r="CI7" s="3"/>
      <c r="CJ7" s="3"/>
      <c r="CK7" s="3"/>
      <c r="CL7" s="49">
        <v>0</v>
      </c>
      <c r="CM7" s="49">
        <v>0</v>
      </c>
      <c r="CN7" s="49">
        <v>0</v>
      </c>
      <c r="CO7" s="49">
        <v>0</v>
      </c>
      <c r="CP7" s="49">
        <v>28.617999999999999</v>
      </c>
      <c r="CQ7" s="49">
        <v>28.388999999999999</v>
      </c>
      <c r="CR7" s="49">
        <v>32.186</v>
      </c>
      <c r="CS7" s="49">
        <v>30.959</v>
      </c>
      <c r="CT7" s="49">
        <v>0.36599999999999999</v>
      </c>
      <c r="CU7" s="49">
        <v>0.29699999999999999</v>
      </c>
      <c r="CV7" s="49">
        <v>0.497</v>
      </c>
      <c r="CW7" s="49">
        <v>9.9000000000000005E-2</v>
      </c>
      <c r="CX7" s="49">
        <v>0.1</v>
      </c>
      <c r="CY7" s="49">
        <v>0.3</v>
      </c>
      <c r="CZ7" s="49">
        <v>0.19900000000000001</v>
      </c>
      <c r="DA7" s="49">
        <v>0.59799999999999998</v>
      </c>
      <c r="DB7" s="49">
        <v>0.19900000000000001</v>
      </c>
      <c r="DC7" s="49">
        <v>0</v>
      </c>
      <c r="DD7" s="49">
        <v>0</v>
      </c>
      <c r="DE7" s="49">
        <v>2.7E-2</v>
      </c>
      <c r="DF7" s="49">
        <v>0.02</v>
      </c>
      <c r="DG7" s="49">
        <v>8.1000000000000003E-2</v>
      </c>
      <c r="DH7" s="49">
        <v>0.95399999999999996</v>
      </c>
      <c r="DI7" s="49">
        <v>0.89700000000000002</v>
      </c>
      <c r="DJ7" s="49">
        <v>0.27600000000000002</v>
      </c>
      <c r="DK7" s="49">
        <v>0.92800000000000005</v>
      </c>
      <c r="DL7" s="49">
        <v>0.61</v>
      </c>
      <c r="DM7" s="49">
        <v>0.755</v>
      </c>
      <c r="DN7" s="49">
        <v>0.747</v>
      </c>
      <c r="DO7" s="49">
        <v>0.753</v>
      </c>
      <c r="DP7" s="49">
        <v>60.936</v>
      </c>
      <c r="DQ7" s="49">
        <v>63.749000000000002</v>
      </c>
      <c r="DR7" s="49">
        <v>51.802</v>
      </c>
      <c r="DS7" s="49">
        <v>47.378999999999998</v>
      </c>
      <c r="DT7" s="49">
        <v>0.13</v>
      </c>
      <c r="DU7" s="49">
        <v>0.15</v>
      </c>
      <c r="DV7" s="49">
        <v>0.21</v>
      </c>
      <c r="DW7" s="49">
        <v>0.17</v>
      </c>
      <c r="DX7" s="49">
        <v>0.14000000000000001</v>
      </c>
      <c r="DY7" s="49">
        <v>0.15</v>
      </c>
      <c r="DZ7" s="49">
        <v>0.19</v>
      </c>
      <c r="EA7" s="49">
        <v>0.16</v>
      </c>
      <c r="EB7" s="49">
        <v>9.3699999999999992</v>
      </c>
      <c r="EC7" s="49">
        <v>26.8</v>
      </c>
      <c r="ED7" s="49">
        <v>60.25</v>
      </c>
      <c r="EE7" s="49">
        <v>7.77</v>
      </c>
      <c r="EF7" s="49">
        <v>90.35</v>
      </c>
      <c r="EG7" s="49">
        <v>72.91</v>
      </c>
      <c r="EH7" s="49">
        <v>39.35</v>
      </c>
      <c r="EI7" s="49">
        <v>91.9</v>
      </c>
      <c r="EJ7" s="49">
        <v>2.8959999999999999</v>
      </c>
      <c r="EK7" s="49">
        <v>52.95</v>
      </c>
      <c r="EL7" s="49">
        <v>1.25</v>
      </c>
      <c r="EM7" s="49">
        <v>0.25</v>
      </c>
      <c r="EN7" s="49">
        <v>1.21</v>
      </c>
      <c r="EO7" s="49">
        <v>1.0900000000000001</v>
      </c>
      <c r="EP7" s="49">
        <v>-67.97</v>
      </c>
      <c r="EQ7" s="49">
        <v>-0.155</v>
      </c>
      <c r="ER7" s="49">
        <v>62.262</v>
      </c>
      <c r="ES7" s="49">
        <v>0.39</v>
      </c>
      <c r="ET7" s="49">
        <v>0.41099999999999998</v>
      </c>
      <c r="EU7" s="49">
        <v>0.378</v>
      </c>
      <c r="EV7" s="3"/>
      <c r="EW7" s="3"/>
      <c r="EX7" s="49">
        <v>-225.5</v>
      </c>
      <c r="EY7" s="49">
        <v>0</v>
      </c>
      <c r="EZ7" s="49">
        <v>0</v>
      </c>
      <c r="FA7" s="49">
        <v>0</v>
      </c>
      <c r="FB7" s="49">
        <v>5.45</v>
      </c>
      <c r="FC7" s="49">
        <v>36.066000000000003</v>
      </c>
      <c r="FD7" s="49">
        <v>37.192999999999998</v>
      </c>
      <c r="FE7" s="49">
        <v>36.786000000000001</v>
      </c>
      <c r="FF7" s="49">
        <v>36.271000000000001</v>
      </c>
      <c r="FG7" s="49">
        <v>1.157</v>
      </c>
      <c r="FH7" s="49">
        <v>1.022</v>
      </c>
      <c r="FI7" s="49">
        <v>0.997</v>
      </c>
      <c r="FJ7" s="49">
        <v>0.998</v>
      </c>
      <c r="FK7" s="49">
        <v>1.0009999999999999</v>
      </c>
      <c r="FL7" s="49">
        <v>86</v>
      </c>
      <c r="FM7" s="49">
        <v>2.2000000000000002</v>
      </c>
      <c r="FN7" s="49">
        <v>0.31</v>
      </c>
      <c r="FO7" s="49">
        <v>0.39</v>
      </c>
      <c r="FP7" s="49">
        <v>0.45</v>
      </c>
      <c r="FQ7" s="49">
        <v>4.2</v>
      </c>
      <c r="FR7" s="49">
        <v>5.7</v>
      </c>
      <c r="FS7" s="49">
        <v>7.3505000000000003</v>
      </c>
      <c r="FT7" s="49">
        <v>1051.8</v>
      </c>
      <c r="FU7" s="49">
        <v>2.23</v>
      </c>
      <c r="FV7" s="49">
        <v>3.16</v>
      </c>
      <c r="FW7" s="49">
        <v>16383.5</v>
      </c>
      <c r="FX7" s="49">
        <v>160300</v>
      </c>
      <c r="FY7" s="49">
        <v>168600</v>
      </c>
      <c r="FZ7" s="49">
        <v>53.737000000000002</v>
      </c>
      <c r="GA7" s="49">
        <v>49.744999999999997</v>
      </c>
      <c r="GB7" s="49">
        <v>2131.1999999999998</v>
      </c>
      <c r="GC7" s="49">
        <v>2136.6999999999998</v>
      </c>
      <c r="GD7" s="49">
        <v>2168.3000000000002</v>
      </c>
      <c r="GE7" s="49">
        <v>2142</v>
      </c>
      <c r="GF7" s="49">
        <v>1465.3438000000001</v>
      </c>
      <c r="GG7" s="49">
        <v>34</v>
      </c>
      <c r="GH7" s="49">
        <v>34.4</v>
      </c>
      <c r="GI7" s="49">
        <v>68.8</v>
      </c>
      <c r="GJ7" s="49">
        <v>68.900000000000006</v>
      </c>
      <c r="GK7" s="49">
        <v>79.5</v>
      </c>
      <c r="GL7" s="49">
        <v>91.9</v>
      </c>
      <c r="GM7" s="49">
        <v>0</v>
      </c>
      <c r="GN7" s="49">
        <v>21.251999999999999</v>
      </c>
      <c r="GO7" s="49">
        <v>67.97</v>
      </c>
      <c r="GP7" s="49">
        <v>0</v>
      </c>
      <c r="GQ7" s="49">
        <v>6.077</v>
      </c>
      <c r="GR7" s="49">
        <v>0</v>
      </c>
      <c r="GS7" s="49">
        <v>5.5460000000000003</v>
      </c>
      <c r="GT7" s="49">
        <v>0</v>
      </c>
      <c r="GU7" s="49">
        <v>5.782</v>
      </c>
      <c r="GV7" s="49">
        <v>0</v>
      </c>
      <c r="GW7" s="49">
        <v>3.7090000000000001</v>
      </c>
      <c r="GX7" s="49">
        <v>24.99</v>
      </c>
      <c r="GY7" s="49">
        <v>0</v>
      </c>
      <c r="GZ7" s="49">
        <v>0</v>
      </c>
      <c r="HA7" s="49">
        <v>0</v>
      </c>
      <c r="HB7" s="49">
        <v>1</v>
      </c>
      <c r="HC7" s="49">
        <v>17.434000000000001</v>
      </c>
      <c r="HD7" s="49">
        <v>82</v>
      </c>
      <c r="HE7" s="49">
        <v>0</v>
      </c>
      <c r="HF7" s="49">
        <v>0</v>
      </c>
      <c r="HG7" s="49">
        <v>87</v>
      </c>
      <c r="HH7" s="49">
        <v>81.16</v>
      </c>
      <c r="HI7" s="49">
        <v>0</v>
      </c>
      <c r="HJ7" s="49">
        <v>0</v>
      </c>
      <c r="HK7" s="49">
        <v>0</v>
      </c>
      <c r="HL7" s="49">
        <v>49</v>
      </c>
      <c r="HM7" s="49">
        <v>51</v>
      </c>
      <c r="HN7" s="49">
        <v>55</v>
      </c>
      <c r="HO7" s="49">
        <v>47</v>
      </c>
      <c r="HP7" s="49">
        <v>48</v>
      </c>
      <c r="HQ7" s="49">
        <v>47</v>
      </c>
      <c r="HR7" s="49">
        <v>45</v>
      </c>
      <c r="HS7" s="49">
        <v>62</v>
      </c>
      <c r="HT7" s="49">
        <v>0.39800000000000002</v>
      </c>
      <c r="HU7" s="49">
        <v>0</v>
      </c>
      <c r="HV7" s="49">
        <v>7.9000000000000001E-2</v>
      </c>
      <c r="HW7" s="49">
        <v>60.38</v>
      </c>
      <c r="HX7" s="49">
        <v>73.27</v>
      </c>
      <c r="HY7" s="3"/>
      <c r="HZ7" s="3"/>
      <c r="IA7" s="49">
        <v>1.7310000000000001</v>
      </c>
      <c r="IB7" s="49">
        <v>74</v>
      </c>
      <c r="IC7" s="49">
        <v>5.37</v>
      </c>
      <c r="ID7" s="49">
        <v>0</v>
      </c>
      <c r="IE7" s="49">
        <v>0</v>
      </c>
      <c r="IF7" s="49">
        <v>854</v>
      </c>
      <c r="IG7" s="49">
        <v>237.3</v>
      </c>
      <c r="IH7" s="49">
        <v>884.5</v>
      </c>
      <c r="II7" s="49">
        <v>252.5</v>
      </c>
      <c r="IJ7" s="49">
        <v>0</v>
      </c>
      <c r="IK7" s="49">
        <v>0</v>
      </c>
      <c r="IL7" s="49">
        <v>2404.585</v>
      </c>
      <c r="IM7" s="49">
        <v>2405.0059999999999</v>
      </c>
      <c r="IN7" s="49">
        <v>15.177</v>
      </c>
      <c r="IO7" s="49">
        <v>1.7999999999999999E-2</v>
      </c>
      <c r="IP7" s="49">
        <v>11</v>
      </c>
      <c r="IQ7" s="49">
        <v>0</v>
      </c>
      <c r="IR7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DD3C-C62D-4B12-8AAD-D4C0AAEA97C7}">
  <sheetPr codeName="Sheet3"/>
  <dimension ref="B1:IR9"/>
  <sheetViews>
    <sheetView zoomScale="80" zoomScaleNormal="80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409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412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1.3421759259259258E-2</v>
      </c>
      <c r="E7" s="49">
        <v>1159.636</v>
      </c>
      <c r="F7" s="48">
        <v>321.56</v>
      </c>
      <c r="G7" s="48">
        <v>5.41</v>
      </c>
      <c r="H7" s="48">
        <v>26.4</v>
      </c>
      <c r="I7" s="49">
        <v>0</v>
      </c>
      <c r="J7" s="49">
        <v>937</v>
      </c>
      <c r="K7" s="49">
        <v>6</v>
      </c>
      <c r="L7" s="49">
        <v>8</v>
      </c>
      <c r="M7" s="49">
        <v>9</v>
      </c>
      <c r="N7" s="49">
        <v>3</v>
      </c>
      <c r="O7" s="49">
        <v>3</v>
      </c>
      <c r="P7" s="48">
        <v>0.99299999999999999</v>
      </c>
      <c r="Q7" s="49">
        <v>1.3149999999999999</v>
      </c>
      <c r="R7" s="48">
        <v>1.018</v>
      </c>
      <c r="S7" s="48">
        <v>0.92400000000000004</v>
      </c>
      <c r="T7" s="48">
        <v>53.49</v>
      </c>
      <c r="U7" s="49">
        <v>60.713999999999999</v>
      </c>
      <c r="V7" s="49">
        <v>70</v>
      </c>
      <c r="W7" s="49">
        <v>40</v>
      </c>
      <c r="X7" s="49">
        <v>40</v>
      </c>
      <c r="Y7" s="49">
        <v>30</v>
      </c>
      <c r="Z7" s="48">
        <v>248.85</v>
      </c>
      <c r="AA7" s="48">
        <v>248.32</v>
      </c>
      <c r="AB7" s="48">
        <v>181.51</v>
      </c>
      <c r="AC7" s="48">
        <v>165.67</v>
      </c>
      <c r="AD7" s="48">
        <v>1.601</v>
      </c>
      <c r="AE7" s="48">
        <v>1.667</v>
      </c>
      <c r="AF7" s="48">
        <v>1.5269999999999999</v>
      </c>
      <c r="AG7" s="48">
        <v>1.546</v>
      </c>
      <c r="AH7" s="48">
        <v>57.55</v>
      </c>
      <c r="AI7" s="48">
        <v>55.18</v>
      </c>
      <c r="AJ7" s="48">
        <v>65.91</v>
      </c>
      <c r="AK7" s="48">
        <v>62.69</v>
      </c>
      <c r="AL7" s="48">
        <v>591.35299999999995</v>
      </c>
      <c r="AM7" s="48">
        <v>584.52</v>
      </c>
      <c r="AN7" s="48">
        <v>692.23599999999999</v>
      </c>
      <c r="AO7" s="48">
        <v>684.25599999999997</v>
      </c>
      <c r="AP7" s="48">
        <v>2.589</v>
      </c>
      <c r="AQ7" s="48">
        <v>1.9490000000000001</v>
      </c>
      <c r="AR7" s="49">
        <v>43.863</v>
      </c>
      <c r="AS7" s="48">
        <v>36.921999999999997</v>
      </c>
      <c r="AT7" s="49">
        <v>82</v>
      </c>
      <c r="AU7" s="48">
        <v>89</v>
      </c>
      <c r="AV7" s="48">
        <v>3.8254999999999999</v>
      </c>
      <c r="AW7" s="49">
        <v>6.3087</v>
      </c>
      <c r="AX7" s="48">
        <v>988.6</v>
      </c>
      <c r="AY7" s="49">
        <v>0.88</v>
      </c>
      <c r="AZ7" s="48">
        <v>5.67</v>
      </c>
      <c r="BA7" s="49">
        <v>69</v>
      </c>
      <c r="BB7" s="48">
        <v>69.8</v>
      </c>
      <c r="BC7" s="48">
        <v>7724</v>
      </c>
      <c r="BD7" s="48">
        <v>88</v>
      </c>
      <c r="BE7" s="48">
        <v>22.315000000000001</v>
      </c>
      <c r="BF7" s="48">
        <v>11.9</v>
      </c>
      <c r="BG7" s="48">
        <v>27.18</v>
      </c>
      <c r="BH7" s="48">
        <v>27.99</v>
      </c>
      <c r="BI7" s="48">
        <v>65.924000000000007</v>
      </c>
      <c r="BJ7" s="48">
        <v>76.054000000000002</v>
      </c>
      <c r="BK7" s="48">
        <v>64.852999999999994</v>
      </c>
      <c r="BL7" s="48">
        <v>74.171999999999997</v>
      </c>
      <c r="BM7" s="48">
        <v>74.695999999999998</v>
      </c>
      <c r="BN7" s="48">
        <v>75.927999999999997</v>
      </c>
      <c r="BO7" s="48">
        <v>76.424000000000007</v>
      </c>
      <c r="BP7" s="48">
        <v>89.176000000000002</v>
      </c>
      <c r="BQ7" s="48">
        <v>84.328000000000003</v>
      </c>
      <c r="BR7" s="48">
        <v>57.45</v>
      </c>
      <c r="BS7" s="48">
        <v>25.7</v>
      </c>
      <c r="BT7" s="48">
        <v>7198.0450000000001</v>
      </c>
      <c r="BU7" s="49">
        <v>82.730999999999995</v>
      </c>
      <c r="BV7" s="49">
        <v>67.445999999999998</v>
      </c>
      <c r="BW7" s="49">
        <v>68.766000000000005</v>
      </c>
      <c r="BX7" s="48">
        <v>59.564999999999998</v>
      </c>
      <c r="BY7" s="48">
        <v>1.3680000000000001</v>
      </c>
      <c r="BZ7" s="48">
        <v>2.0819999999999999</v>
      </c>
      <c r="CA7" s="48">
        <v>3.16</v>
      </c>
      <c r="CB7" s="48">
        <v>2.6280000000000001</v>
      </c>
      <c r="CC7" s="48">
        <v>6.0119999999999996</v>
      </c>
      <c r="CD7" s="48">
        <v>2.5640000000000001</v>
      </c>
      <c r="CE7" s="48">
        <v>3.9239999999999999</v>
      </c>
      <c r="CF7" s="49">
        <v>2.4020000000000001</v>
      </c>
      <c r="CG7" s="48">
        <v>13.680999999999999</v>
      </c>
      <c r="CH7" s="49">
        <v>9.8000000000000007</v>
      </c>
      <c r="CI7" s="48">
        <v>3.9430000000000001</v>
      </c>
      <c r="CJ7" s="48">
        <v>4.1070000000000002</v>
      </c>
      <c r="CK7" s="48">
        <v>1.4830000000000001</v>
      </c>
      <c r="CL7" s="48">
        <v>0</v>
      </c>
      <c r="CM7" s="49">
        <v>0.2</v>
      </c>
      <c r="CN7" s="49">
        <v>0</v>
      </c>
      <c r="CO7" s="49">
        <v>0</v>
      </c>
      <c r="CP7" s="48">
        <v>47.302999999999997</v>
      </c>
      <c r="CQ7" s="48">
        <v>47.58</v>
      </c>
      <c r="CR7" s="48">
        <v>57.427</v>
      </c>
      <c r="CS7" s="48">
        <v>55.790999999999997</v>
      </c>
      <c r="CT7" s="48">
        <v>0.253</v>
      </c>
      <c r="CU7" s="48">
        <v>0.70199999999999996</v>
      </c>
      <c r="CV7" s="49">
        <v>1.899</v>
      </c>
      <c r="CW7" s="48">
        <v>0.69899999999999995</v>
      </c>
      <c r="CX7" s="49">
        <v>1.605</v>
      </c>
      <c r="CY7" s="49">
        <v>1.002</v>
      </c>
      <c r="CZ7" s="49">
        <v>1.004</v>
      </c>
      <c r="DA7" s="49">
        <v>1.196</v>
      </c>
      <c r="DB7" s="49">
        <v>1.7030000000000001</v>
      </c>
      <c r="DC7" s="49">
        <v>6.0000000000000001E-3</v>
      </c>
      <c r="DD7" s="49">
        <v>0</v>
      </c>
      <c r="DE7" s="48">
        <v>0.33800000000000002</v>
      </c>
      <c r="DF7" s="48">
        <v>0.12</v>
      </c>
      <c r="DG7" s="48">
        <v>0.73299999999999998</v>
      </c>
      <c r="DH7" s="49">
        <v>2.95</v>
      </c>
      <c r="DI7" s="49">
        <v>1.5369999999999999</v>
      </c>
      <c r="DJ7" s="48">
        <v>0.30299999999999999</v>
      </c>
      <c r="DK7" s="48">
        <v>0.98</v>
      </c>
      <c r="DL7" s="48">
        <v>0.60299999999999998</v>
      </c>
      <c r="DM7" s="49">
        <v>0.75800000000000001</v>
      </c>
      <c r="DN7" s="48">
        <v>0.73699999999999999</v>
      </c>
      <c r="DO7" s="49">
        <v>0.71299999999999997</v>
      </c>
      <c r="DP7" s="48">
        <v>62.162999999999997</v>
      </c>
      <c r="DQ7" s="49">
        <v>57.893999999999998</v>
      </c>
      <c r="DR7" s="48">
        <v>53.933999999999997</v>
      </c>
      <c r="DS7" s="48">
        <v>46.811999999999998</v>
      </c>
      <c r="DT7" s="48">
        <v>0.81</v>
      </c>
      <c r="DU7" s="48">
        <v>0.87</v>
      </c>
      <c r="DV7" s="48">
        <v>1.63</v>
      </c>
      <c r="DW7" s="48">
        <v>1.28</v>
      </c>
      <c r="DX7" s="48">
        <v>0.82</v>
      </c>
      <c r="DY7" s="48">
        <v>0.85</v>
      </c>
      <c r="DZ7" s="48">
        <v>1.54</v>
      </c>
      <c r="EA7" s="48">
        <v>1.21</v>
      </c>
      <c r="EB7" s="48">
        <v>9.24</v>
      </c>
      <c r="EC7" s="48">
        <v>9.31</v>
      </c>
      <c r="ED7" s="48">
        <v>7.73</v>
      </c>
      <c r="EE7" s="48">
        <v>8.3000000000000007</v>
      </c>
      <c r="EF7" s="49">
        <v>89.14</v>
      </c>
      <c r="EG7" s="49">
        <v>88.96</v>
      </c>
      <c r="EH7" s="49">
        <v>89.11</v>
      </c>
      <c r="EI7" s="49">
        <v>89.21</v>
      </c>
      <c r="EJ7" s="48">
        <v>5.13</v>
      </c>
      <c r="EK7" s="48">
        <v>58.116999999999997</v>
      </c>
      <c r="EL7" s="49">
        <v>0.75</v>
      </c>
      <c r="EM7" s="49">
        <v>0.3</v>
      </c>
      <c r="EN7" s="49">
        <v>0.94</v>
      </c>
      <c r="EO7" s="49">
        <v>0.94</v>
      </c>
      <c r="EP7" s="49">
        <v>-109.142</v>
      </c>
      <c r="EQ7" s="49">
        <v>-1.0629999999999999</v>
      </c>
      <c r="ER7" s="49">
        <v>106.646</v>
      </c>
      <c r="ES7" s="48">
        <v>1.4690000000000001</v>
      </c>
      <c r="ET7" s="48">
        <v>1.504</v>
      </c>
      <c r="EU7" s="48">
        <v>1.4239999999999999</v>
      </c>
      <c r="EV7" s="48">
        <v>7.7709999999999999</v>
      </c>
      <c r="EW7" s="48">
        <v>3.0739999999999998</v>
      </c>
      <c r="EX7" s="48">
        <v>63.84</v>
      </c>
      <c r="EY7" s="49">
        <v>0</v>
      </c>
      <c r="EZ7" s="48">
        <v>0</v>
      </c>
      <c r="FA7" s="49">
        <v>0</v>
      </c>
      <c r="FB7" s="48">
        <v>9.0470000000000006</v>
      </c>
      <c r="FC7" s="48">
        <v>51.177</v>
      </c>
      <c r="FD7" s="48">
        <v>48.773000000000003</v>
      </c>
      <c r="FE7" s="48">
        <v>54.884999999999998</v>
      </c>
      <c r="FF7" s="48">
        <v>55.912999999999997</v>
      </c>
      <c r="FG7" s="49">
        <v>0.90200000000000002</v>
      </c>
      <c r="FH7" s="49">
        <v>0.90200000000000002</v>
      </c>
      <c r="FI7" s="49">
        <v>0.98</v>
      </c>
      <c r="FJ7" s="49">
        <v>0.97499999999999998</v>
      </c>
      <c r="FK7" s="49">
        <v>0.40200000000000002</v>
      </c>
      <c r="FL7" s="49">
        <v>83</v>
      </c>
      <c r="FM7" s="49">
        <v>2.37</v>
      </c>
      <c r="FN7" s="49">
        <v>0.37</v>
      </c>
      <c r="FO7" s="48">
        <v>5.56</v>
      </c>
      <c r="FP7" s="49">
        <v>0.05</v>
      </c>
      <c r="FQ7" s="49">
        <v>3.05</v>
      </c>
      <c r="FR7" s="48">
        <v>5.25</v>
      </c>
      <c r="FS7" s="49">
        <v>7.3730000000000002</v>
      </c>
      <c r="FT7" s="48">
        <v>1059</v>
      </c>
      <c r="FU7" s="48">
        <v>7.35</v>
      </c>
      <c r="FV7" s="48">
        <v>8.57</v>
      </c>
      <c r="FW7" s="48">
        <v>3178</v>
      </c>
      <c r="FX7" s="48">
        <v>163600</v>
      </c>
      <c r="FY7" s="48">
        <v>165500</v>
      </c>
      <c r="FZ7" s="49">
        <v>48.8</v>
      </c>
      <c r="GA7" s="49">
        <v>48.055999999999997</v>
      </c>
      <c r="GB7" s="48">
        <v>2133.6</v>
      </c>
      <c r="GC7" s="48">
        <v>2128</v>
      </c>
      <c r="GD7" s="48">
        <v>2175.1</v>
      </c>
      <c r="GE7" s="48">
        <v>2174</v>
      </c>
      <c r="GF7" s="48">
        <v>1325.625</v>
      </c>
      <c r="GG7" s="49">
        <v>30</v>
      </c>
      <c r="GH7" s="49">
        <v>30.3</v>
      </c>
      <c r="GI7" s="49">
        <v>71.400000000000006</v>
      </c>
      <c r="GJ7" s="49">
        <v>73.8</v>
      </c>
      <c r="GK7" s="49">
        <v>97</v>
      </c>
      <c r="GL7" s="48">
        <v>88.1</v>
      </c>
      <c r="GM7" s="49">
        <v>0</v>
      </c>
      <c r="GN7" s="48">
        <v>20.609000000000002</v>
      </c>
      <c r="GO7" s="49">
        <v>109.142</v>
      </c>
      <c r="GP7" s="49">
        <v>0</v>
      </c>
      <c r="GQ7" s="49">
        <v>4.0119999999999996</v>
      </c>
      <c r="GR7" s="49">
        <v>0</v>
      </c>
      <c r="GS7" s="49">
        <v>4.13</v>
      </c>
      <c r="GT7" s="49">
        <v>0</v>
      </c>
      <c r="GU7" s="49">
        <v>3.54</v>
      </c>
      <c r="GV7" s="49">
        <v>0</v>
      </c>
      <c r="GW7" s="48">
        <v>12.845000000000001</v>
      </c>
      <c r="GX7" s="49">
        <v>19.893999999999998</v>
      </c>
      <c r="GY7" s="49">
        <v>0</v>
      </c>
      <c r="GZ7" s="49">
        <v>0</v>
      </c>
      <c r="HA7" s="49">
        <v>0</v>
      </c>
      <c r="HB7" s="49">
        <v>1</v>
      </c>
      <c r="HC7" s="49">
        <v>24.934000000000001</v>
      </c>
      <c r="HD7" s="48">
        <v>82</v>
      </c>
      <c r="HE7" s="49">
        <v>0</v>
      </c>
      <c r="HF7" s="49">
        <v>0</v>
      </c>
      <c r="HG7" s="48">
        <v>79.89</v>
      </c>
      <c r="HH7" s="48">
        <v>83.12</v>
      </c>
      <c r="HI7" s="49">
        <v>0</v>
      </c>
      <c r="HJ7" s="49">
        <v>0</v>
      </c>
      <c r="HK7" s="49">
        <v>0</v>
      </c>
      <c r="HL7" s="48">
        <v>54</v>
      </c>
      <c r="HM7" s="49">
        <v>52</v>
      </c>
      <c r="HN7" s="48">
        <v>58</v>
      </c>
      <c r="HO7" s="48">
        <v>52</v>
      </c>
      <c r="HP7" s="48">
        <v>55</v>
      </c>
      <c r="HQ7" s="48">
        <v>53</v>
      </c>
      <c r="HR7" s="48">
        <v>48</v>
      </c>
      <c r="HS7" s="48">
        <v>62</v>
      </c>
      <c r="HT7" s="48">
        <v>0.22900000000000001</v>
      </c>
      <c r="HU7" s="49">
        <v>0</v>
      </c>
      <c r="HV7" s="48">
        <v>1.1319999999999999</v>
      </c>
      <c r="HW7" s="48">
        <v>40.299999999999997</v>
      </c>
      <c r="HX7" s="48">
        <v>52.16</v>
      </c>
      <c r="HY7" s="49">
        <v>51.95</v>
      </c>
      <c r="HZ7" s="49">
        <v>51.95</v>
      </c>
      <c r="IA7" s="48">
        <v>2.4470000000000001</v>
      </c>
      <c r="IB7" s="48">
        <v>93</v>
      </c>
      <c r="IC7" s="48">
        <v>14.351000000000001</v>
      </c>
      <c r="ID7" s="49">
        <v>-6.2E-2</v>
      </c>
      <c r="IE7" s="48">
        <v>-8.0000000000000002E-3</v>
      </c>
      <c r="IF7" s="48">
        <v>921.2</v>
      </c>
      <c r="IG7" s="48">
        <v>671.6</v>
      </c>
      <c r="IH7" s="48">
        <v>967.7</v>
      </c>
      <c r="II7" s="48">
        <v>701.4</v>
      </c>
      <c r="IJ7" s="49">
        <v>-3.5999999999999997E-2</v>
      </c>
      <c r="IK7" s="49">
        <v>-9.8000000000000004E-2</v>
      </c>
      <c r="IL7" s="49">
        <v>981.31100000000004</v>
      </c>
      <c r="IM7" s="49">
        <v>981.55200000000002</v>
      </c>
      <c r="IN7" s="48">
        <v>29.852</v>
      </c>
      <c r="IO7" s="48">
        <v>0.308</v>
      </c>
      <c r="IP7" s="48">
        <v>10.210000000000001</v>
      </c>
      <c r="IQ7" s="49">
        <v>1.4999999999999999E-2</v>
      </c>
      <c r="IR7" s="49">
        <v>0.03</v>
      </c>
    </row>
    <row r="8" spans="2:252" x14ac:dyDescent="0.25">
      <c r="B8" s="2" t="s">
        <v>407</v>
      </c>
      <c r="C8" s="58" t="s">
        <v>42</v>
      </c>
      <c r="D8" s="59">
        <v>2.5340277777777778E-3</v>
      </c>
      <c r="E8" s="48">
        <v>218.98</v>
      </c>
      <c r="F8" s="48">
        <v>325.17</v>
      </c>
      <c r="G8" s="49">
        <v>5.67</v>
      </c>
      <c r="H8" s="48">
        <v>27.4</v>
      </c>
      <c r="I8" s="49">
        <v>0</v>
      </c>
      <c r="J8" s="48">
        <v>19.399999999999999</v>
      </c>
      <c r="K8" s="49">
        <v>6</v>
      </c>
      <c r="L8" s="49">
        <v>8</v>
      </c>
      <c r="M8" s="48">
        <v>8</v>
      </c>
      <c r="N8" s="49">
        <v>3</v>
      </c>
      <c r="O8" s="49">
        <v>3</v>
      </c>
      <c r="P8" s="49">
        <v>1.04</v>
      </c>
      <c r="Q8" s="48">
        <v>1.2669999999999999</v>
      </c>
      <c r="R8" s="49">
        <v>1.34</v>
      </c>
      <c r="S8" s="49">
        <v>0.93500000000000005</v>
      </c>
      <c r="T8" s="49">
        <v>67.89</v>
      </c>
      <c r="U8" s="48">
        <v>60.656999999999996</v>
      </c>
      <c r="V8" s="48">
        <v>216.66</v>
      </c>
      <c r="W8" s="48">
        <v>241.66</v>
      </c>
      <c r="X8" s="48">
        <v>213.34</v>
      </c>
      <c r="Y8" s="48">
        <v>201.66</v>
      </c>
      <c r="Z8" s="48">
        <v>404</v>
      </c>
      <c r="AA8" s="48">
        <v>434.73</v>
      </c>
      <c r="AB8" s="48">
        <v>312.82</v>
      </c>
      <c r="AC8" s="48">
        <v>312.27</v>
      </c>
      <c r="AD8" s="48">
        <v>1.6890000000000001</v>
      </c>
      <c r="AE8" s="48">
        <v>1.7490000000000001</v>
      </c>
      <c r="AF8" s="48">
        <v>1.718</v>
      </c>
      <c r="AG8" s="48">
        <v>1.706</v>
      </c>
      <c r="AH8" s="48">
        <v>74.319999999999993</v>
      </c>
      <c r="AI8" s="48">
        <v>73.48</v>
      </c>
      <c r="AJ8" s="48">
        <v>93.31</v>
      </c>
      <c r="AK8" s="48">
        <v>87</v>
      </c>
      <c r="AL8" s="49">
        <v>660.67</v>
      </c>
      <c r="AM8" s="48">
        <v>647.84199999999998</v>
      </c>
      <c r="AN8" s="48">
        <v>759.93200000000002</v>
      </c>
      <c r="AO8" s="48">
        <v>749.12300000000005</v>
      </c>
      <c r="AP8" s="48">
        <v>2.544</v>
      </c>
      <c r="AQ8" s="48">
        <v>1.9279999999999999</v>
      </c>
      <c r="AR8" s="48">
        <v>41.576999999999998</v>
      </c>
      <c r="AS8" s="48">
        <v>37.744</v>
      </c>
      <c r="AT8" s="49">
        <v>82</v>
      </c>
      <c r="AU8" s="48">
        <v>101</v>
      </c>
      <c r="AV8" s="49">
        <v>3.3365</v>
      </c>
      <c r="AW8" s="48">
        <v>5.9778000000000002</v>
      </c>
      <c r="AX8" s="48">
        <v>992</v>
      </c>
      <c r="AY8" s="48">
        <v>0.85</v>
      </c>
      <c r="AZ8" s="49">
        <v>5.29</v>
      </c>
      <c r="BA8" s="48">
        <v>96.727000000000004</v>
      </c>
      <c r="BB8" s="48">
        <v>95.728999999999999</v>
      </c>
      <c r="BC8" s="48">
        <v>7712</v>
      </c>
      <c r="BD8" s="48">
        <v>89.25</v>
      </c>
      <c r="BE8" s="48">
        <v>23.385000000000002</v>
      </c>
      <c r="BF8" s="48">
        <v>12.69</v>
      </c>
      <c r="BG8" s="49">
        <v>30.7</v>
      </c>
      <c r="BH8" s="49">
        <v>29.18</v>
      </c>
      <c r="BI8" s="3"/>
      <c r="BJ8" s="3"/>
      <c r="BK8" s="3"/>
      <c r="BL8" s="3"/>
      <c r="BM8" s="3"/>
      <c r="BN8" s="48">
        <v>91.896000000000001</v>
      </c>
      <c r="BO8" s="48">
        <v>94.456000000000003</v>
      </c>
      <c r="BP8" s="48">
        <v>116.968</v>
      </c>
      <c r="BQ8" s="48">
        <v>115.78400000000001</v>
      </c>
      <c r="BR8" s="3"/>
      <c r="BS8" s="48">
        <v>26.9</v>
      </c>
      <c r="BT8" s="48">
        <v>7427.0330000000004</v>
      </c>
      <c r="BU8" s="48">
        <v>79.781999999999996</v>
      </c>
      <c r="BV8" s="48">
        <v>63.332000000000001</v>
      </c>
      <c r="BW8" s="48">
        <v>62.201000000000001</v>
      </c>
      <c r="BX8" s="49">
        <v>67.712999999999994</v>
      </c>
      <c r="BY8" s="48">
        <v>1.425</v>
      </c>
      <c r="BZ8" s="49">
        <v>2.5609999999999999</v>
      </c>
      <c r="CA8" s="48">
        <v>3.3279999999999998</v>
      </c>
      <c r="CB8" s="49">
        <v>3.0859999999999999</v>
      </c>
      <c r="CC8" s="48">
        <v>5.702</v>
      </c>
      <c r="CD8" s="48">
        <v>2.7109999999999999</v>
      </c>
      <c r="CE8" s="49">
        <v>4.0990000000000002</v>
      </c>
      <c r="CF8" s="48">
        <v>2.395</v>
      </c>
      <c r="CG8" s="48">
        <v>13.845000000000001</v>
      </c>
      <c r="CH8" s="48">
        <v>13.692</v>
      </c>
      <c r="CI8" s="49">
        <v>4.5860000000000003</v>
      </c>
      <c r="CJ8" s="49">
        <v>4.2960000000000003</v>
      </c>
      <c r="CK8" s="49">
        <v>1.6659999999999999</v>
      </c>
      <c r="CL8" s="49">
        <v>0.2</v>
      </c>
      <c r="CM8" s="49">
        <v>0.2</v>
      </c>
      <c r="CN8" s="49">
        <v>0</v>
      </c>
      <c r="CO8" s="49">
        <v>0</v>
      </c>
      <c r="CP8" s="48">
        <v>83.33</v>
      </c>
      <c r="CQ8" s="48">
        <v>86.070999999999998</v>
      </c>
      <c r="CR8" s="48">
        <v>102.05</v>
      </c>
      <c r="CS8" s="48">
        <v>99.504000000000005</v>
      </c>
      <c r="CT8" s="49">
        <v>0.377</v>
      </c>
      <c r="CU8" s="49">
        <v>1.1040000000000001</v>
      </c>
      <c r="CV8" s="48">
        <v>0.999</v>
      </c>
      <c r="CW8" s="49">
        <v>0.7</v>
      </c>
      <c r="CX8" s="48">
        <v>0.90200000000000002</v>
      </c>
      <c r="CY8" s="48">
        <v>0.60199999999999998</v>
      </c>
      <c r="CZ8" s="48">
        <v>0.5</v>
      </c>
      <c r="DA8" s="48">
        <v>0.89900000000000002</v>
      </c>
      <c r="DB8" s="48">
        <v>1.2</v>
      </c>
      <c r="DC8" s="48">
        <v>0</v>
      </c>
      <c r="DD8" s="49">
        <v>0</v>
      </c>
      <c r="DE8" s="49">
        <v>0.42499999999999999</v>
      </c>
      <c r="DF8" s="48">
        <v>0.191</v>
      </c>
      <c r="DG8" s="49">
        <v>0.95599999999999996</v>
      </c>
      <c r="DH8" s="48">
        <v>2.8410000000000002</v>
      </c>
      <c r="DI8" s="48">
        <v>1.214</v>
      </c>
      <c r="DJ8" s="49">
        <v>0.38800000000000001</v>
      </c>
      <c r="DK8" s="49">
        <v>1.405</v>
      </c>
      <c r="DL8" s="48">
        <v>0.60599999999999998</v>
      </c>
      <c r="DM8" s="48">
        <v>0.752</v>
      </c>
      <c r="DN8" s="48">
        <v>0.73399999999999999</v>
      </c>
      <c r="DO8" s="48">
        <v>0.69799999999999995</v>
      </c>
      <c r="DP8" s="49">
        <v>66.802999999999997</v>
      </c>
      <c r="DQ8" s="48">
        <v>57.15</v>
      </c>
      <c r="DR8" s="49">
        <v>55.759</v>
      </c>
      <c r="DS8" s="49">
        <v>49.616</v>
      </c>
      <c r="DT8" s="49">
        <v>5.8</v>
      </c>
      <c r="DU8" s="49">
        <v>6.03</v>
      </c>
      <c r="DV8" s="49">
        <v>11.44</v>
      </c>
      <c r="DW8" s="49">
        <v>8.6</v>
      </c>
      <c r="DX8" s="49">
        <v>6.09</v>
      </c>
      <c r="DY8" s="49">
        <v>6.18</v>
      </c>
      <c r="DZ8" s="49">
        <v>11.15</v>
      </c>
      <c r="EA8" s="49">
        <v>8.39</v>
      </c>
      <c r="EB8" s="48">
        <v>42.36</v>
      </c>
      <c r="EC8" s="48">
        <v>41.49</v>
      </c>
      <c r="ED8" s="49">
        <v>34.619999999999997</v>
      </c>
      <c r="EE8" s="49">
        <v>37.06</v>
      </c>
      <c r="EF8" s="48">
        <v>45.75</v>
      </c>
      <c r="EG8" s="48">
        <v>46.3</v>
      </c>
      <c r="EH8" s="48">
        <v>42.79</v>
      </c>
      <c r="EI8" s="48">
        <v>45.95</v>
      </c>
      <c r="EJ8" s="48">
        <v>5.8840000000000003</v>
      </c>
      <c r="EK8" s="49">
        <v>59.991</v>
      </c>
      <c r="EL8" s="48">
        <v>0.7</v>
      </c>
      <c r="EM8" s="49">
        <v>0.3</v>
      </c>
      <c r="EN8" s="48">
        <v>0.88</v>
      </c>
      <c r="EO8" s="48">
        <v>0.88</v>
      </c>
      <c r="EP8" s="48">
        <v>-108.85</v>
      </c>
      <c r="EQ8" s="48">
        <v>-2.7280000000000002</v>
      </c>
      <c r="ER8" s="48">
        <v>91.754000000000005</v>
      </c>
      <c r="ES8" s="49">
        <v>1.571</v>
      </c>
      <c r="ET8" s="49">
        <v>1.645</v>
      </c>
      <c r="EU8" s="49">
        <v>1.512</v>
      </c>
      <c r="EV8" s="49">
        <v>7.8959999999999999</v>
      </c>
      <c r="EW8" s="48">
        <v>2.819</v>
      </c>
      <c r="EX8" s="49">
        <v>70.16</v>
      </c>
      <c r="EY8" s="49">
        <v>0</v>
      </c>
      <c r="EZ8" s="49">
        <v>22.681000000000001</v>
      </c>
      <c r="FA8" s="49">
        <v>0</v>
      </c>
      <c r="FB8" s="48">
        <v>9.093</v>
      </c>
      <c r="FC8" s="48">
        <v>58.655999999999999</v>
      </c>
      <c r="FD8" s="48">
        <v>56.905999999999999</v>
      </c>
      <c r="FE8" s="48">
        <v>67.478999999999999</v>
      </c>
      <c r="FF8" s="48">
        <v>64.132999999999996</v>
      </c>
      <c r="FG8" s="48">
        <v>0.871</v>
      </c>
      <c r="FH8" s="48">
        <v>0.872</v>
      </c>
      <c r="FI8" s="48">
        <v>0.95699999999999996</v>
      </c>
      <c r="FJ8" s="48">
        <v>0.95399999999999996</v>
      </c>
      <c r="FK8" s="48">
        <v>0</v>
      </c>
      <c r="FL8" s="49">
        <v>83</v>
      </c>
      <c r="FM8" s="48">
        <v>2.34</v>
      </c>
      <c r="FN8" s="48">
        <v>1</v>
      </c>
      <c r="FO8" s="49">
        <v>5.27</v>
      </c>
      <c r="FP8" s="3"/>
      <c r="FQ8" s="48">
        <v>4.5999999999999996</v>
      </c>
      <c r="FR8" s="48">
        <v>5.15</v>
      </c>
      <c r="FS8" s="48">
        <v>7.0345000000000004</v>
      </c>
      <c r="FT8" s="48">
        <v>1077.3</v>
      </c>
      <c r="FU8" s="48">
        <v>7.51</v>
      </c>
      <c r="FV8" s="48">
        <v>14.24</v>
      </c>
      <c r="FW8" s="48">
        <v>3156.5</v>
      </c>
      <c r="FX8" s="49">
        <v>172700</v>
      </c>
      <c r="FY8" s="49">
        <v>172200</v>
      </c>
      <c r="FZ8" s="48">
        <v>47.186</v>
      </c>
      <c r="GA8" s="48">
        <v>45.820999999999998</v>
      </c>
      <c r="GB8" s="49">
        <v>2167.4</v>
      </c>
      <c r="GC8" s="49">
        <v>2153</v>
      </c>
      <c r="GD8" s="49">
        <v>2341.4</v>
      </c>
      <c r="GE8" s="48">
        <v>2226.6</v>
      </c>
      <c r="GF8" s="49">
        <v>1416.8280999999999</v>
      </c>
      <c r="GG8" s="48">
        <v>26</v>
      </c>
      <c r="GH8" s="48">
        <v>26.5</v>
      </c>
      <c r="GI8" s="48">
        <v>48.9</v>
      </c>
      <c r="GJ8" s="48">
        <v>54.2</v>
      </c>
      <c r="GK8" s="48">
        <v>99.5</v>
      </c>
      <c r="GL8" s="48">
        <v>90.5</v>
      </c>
      <c r="GM8" s="49">
        <v>0</v>
      </c>
      <c r="GN8" s="49">
        <v>22.244</v>
      </c>
      <c r="GO8" s="48">
        <v>108.85</v>
      </c>
      <c r="GP8" s="48">
        <v>0.94399999999999995</v>
      </c>
      <c r="GQ8" s="48">
        <v>1.8879999999999999</v>
      </c>
      <c r="GR8" s="48">
        <v>1.298</v>
      </c>
      <c r="GS8" s="48">
        <v>2.0059999999999998</v>
      </c>
      <c r="GT8" s="48">
        <v>0.70799999999999996</v>
      </c>
      <c r="GU8" s="48">
        <v>1.8879999999999999</v>
      </c>
      <c r="GV8" s="48">
        <v>12.544</v>
      </c>
      <c r="GW8" s="49">
        <v>13.928000000000001</v>
      </c>
      <c r="GX8" s="48">
        <v>15.778</v>
      </c>
      <c r="GY8" s="49">
        <v>0</v>
      </c>
      <c r="GZ8" s="49">
        <v>0</v>
      </c>
      <c r="HA8" s="49">
        <v>0</v>
      </c>
      <c r="HB8" s="48">
        <v>0</v>
      </c>
      <c r="HC8" s="48">
        <v>23.606000000000002</v>
      </c>
      <c r="HD8" s="48">
        <v>90</v>
      </c>
      <c r="HE8" s="49">
        <v>0</v>
      </c>
      <c r="HF8" s="49">
        <v>0</v>
      </c>
      <c r="HG8" s="49">
        <v>84.12</v>
      </c>
      <c r="HH8" s="49">
        <v>83.32</v>
      </c>
      <c r="HI8" s="49">
        <v>0</v>
      </c>
      <c r="HJ8" s="49">
        <v>0</v>
      </c>
      <c r="HK8" s="49">
        <v>0</v>
      </c>
      <c r="HL8" s="48">
        <v>60</v>
      </c>
      <c r="HM8" s="48">
        <v>51</v>
      </c>
      <c r="HN8" s="48">
        <v>60</v>
      </c>
      <c r="HO8" s="48">
        <v>54</v>
      </c>
      <c r="HP8" s="48">
        <v>57</v>
      </c>
      <c r="HQ8" s="48">
        <v>55</v>
      </c>
      <c r="HR8" s="48">
        <v>48</v>
      </c>
      <c r="HS8" s="49">
        <v>70</v>
      </c>
      <c r="HT8" s="48">
        <v>0.19950000000000001</v>
      </c>
      <c r="HU8" s="49">
        <v>0</v>
      </c>
      <c r="HV8" s="49">
        <v>1.3839999999999999</v>
      </c>
      <c r="HW8" s="49">
        <v>39.68</v>
      </c>
      <c r="HX8" s="49">
        <v>45.96</v>
      </c>
      <c r="HY8" s="48">
        <v>50.94</v>
      </c>
      <c r="HZ8" s="48">
        <v>50.94</v>
      </c>
      <c r="IA8" s="49">
        <v>2.7029999999999998</v>
      </c>
      <c r="IB8" s="49">
        <v>103</v>
      </c>
      <c r="IC8" s="48">
        <v>21.7</v>
      </c>
      <c r="ID8" s="48">
        <v>-9.5000000000000001E-2</v>
      </c>
      <c r="IE8" s="49">
        <v>3.5999999999999997E-2</v>
      </c>
      <c r="IF8" s="49">
        <v>921.8</v>
      </c>
      <c r="IG8" s="49">
        <v>800.9</v>
      </c>
      <c r="IH8" s="49">
        <v>987.8</v>
      </c>
      <c r="II8" s="49">
        <v>831</v>
      </c>
      <c r="IJ8" s="48">
        <v>-7.3999999999999996E-2</v>
      </c>
      <c r="IK8" s="48">
        <v>-0.23300000000000001</v>
      </c>
      <c r="IL8" s="48">
        <v>45.17</v>
      </c>
      <c r="IM8" s="48">
        <v>45.17</v>
      </c>
      <c r="IN8" s="48">
        <v>30.062000000000001</v>
      </c>
      <c r="IO8" s="49">
        <v>0.63300000000000001</v>
      </c>
      <c r="IP8" s="48">
        <v>13.13</v>
      </c>
      <c r="IQ8" s="48">
        <v>1.2E-2</v>
      </c>
      <c r="IR8" s="48">
        <v>3.0000000000000001E-3</v>
      </c>
    </row>
    <row r="9" spans="2:252" x14ac:dyDescent="0.25">
      <c r="B9" s="2" t="s">
        <v>407</v>
      </c>
      <c r="C9" s="2" t="s">
        <v>43</v>
      </c>
      <c r="D9" s="57">
        <v>2.8784722222222219E-3</v>
      </c>
      <c r="E9" s="48">
        <v>248.696</v>
      </c>
      <c r="F9" s="49">
        <v>330.04</v>
      </c>
      <c r="G9" s="48">
        <v>5.65</v>
      </c>
      <c r="H9" s="49">
        <v>28.1</v>
      </c>
      <c r="I9" s="49">
        <v>0</v>
      </c>
      <c r="J9" s="48">
        <v>18.100000000000001</v>
      </c>
      <c r="K9" s="49">
        <v>6</v>
      </c>
      <c r="L9" s="49">
        <v>8</v>
      </c>
      <c r="M9" s="48">
        <v>8</v>
      </c>
      <c r="N9" s="49">
        <v>3</v>
      </c>
      <c r="O9" s="49">
        <v>3</v>
      </c>
      <c r="P9" s="48">
        <v>0.85799999999999998</v>
      </c>
      <c r="Q9" s="48">
        <v>1.17</v>
      </c>
      <c r="R9" s="48">
        <v>1.0069999999999999</v>
      </c>
      <c r="S9" s="48">
        <v>0.92500000000000004</v>
      </c>
      <c r="T9" s="48">
        <v>67.53</v>
      </c>
      <c r="U9" s="48">
        <v>60.503999999999998</v>
      </c>
      <c r="V9" s="48">
        <v>238.34</v>
      </c>
      <c r="W9" s="48">
        <v>273.33999999999997</v>
      </c>
      <c r="X9" s="48">
        <v>241.66</v>
      </c>
      <c r="Y9" s="48">
        <v>258.33999999999997</v>
      </c>
      <c r="Z9" s="49">
        <v>414.13</v>
      </c>
      <c r="AA9" s="49">
        <v>441.46</v>
      </c>
      <c r="AB9" s="49">
        <v>346.62</v>
      </c>
      <c r="AC9" s="49">
        <v>371.29</v>
      </c>
      <c r="AD9" s="49">
        <v>1.736</v>
      </c>
      <c r="AE9" s="49">
        <v>1.7969999999999999</v>
      </c>
      <c r="AF9" s="49">
        <v>1.804</v>
      </c>
      <c r="AG9" s="49">
        <v>1.7989999999999999</v>
      </c>
      <c r="AH9" s="49">
        <v>78.2</v>
      </c>
      <c r="AI9" s="49">
        <v>78.599999999999994</v>
      </c>
      <c r="AJ9" s="49">
        <v>102.45</v>
      </c>
      <c r="AK9" s="49">
        <v>96.74</v>
      </c>
      <c r="AL9" s="48">
        <v>651.93600000000004</v>
      </c>
      <c r="AM9" s="49">
        <v>655.99</v>
      </c>
      <c r="AN9" s="49">
        <v>794.59199999999998</v>
      </c>
      <c r="AO9" s="49">
        <v>789.39800000000002</v>
      </c>
      <c r="AP9" s="49">
        <v>2.6160000000000001</v>
      </c>
      <c r="AQ9" s="49">
        <v>1.956</v>
      </c>
      <c r="AR9" s="48">
        <v>42.406999999999996</v>
      </c>
      <c r="AS9" s="49">
        <v>37.784999999999997</v>
      </c>
      <c r="AT9" s="49">
        <v>82</v>
      </c>
      <c r="AU9" s="49">
        <v>106</v>
      </c>
      <c r="AV9" s="48">
        <v>3.3574999999999999</v>
      </c>
      <c r="AW9" s="48">
        <v>5.7744</v>
      </c>
      <c r="AX9" s="49">
        <v>993.6</v>
      </c>
      <c r="AY9" s="48">
        <v>0.84</v>
      </c>
      <c r="AZ9" s="48">
        <v>5.75</v>
      </c>
      <c r="BA9" s="48">
        <v>69.153999999999996</v>
      </c>
      <c r="BB9" s="49">
        <v>69.400000000000006</v>
      </c>
      <c r="BC9" s="49">
        <v>7847</v>
      </c>
      <c r="BD9" s="49">
        <v>90</v>
      </c>
      <c r="BE9" s="49">
        <v>24.36</v>
      </c>
      <c r="BF9" s="49">
        <v>13.645</v>
      </c>
      <c r="BG9" s="48">
        <v>30.11</v>
      </c>
      <c r="BH9" s="48">
        <v>28.76</v>
      </c>
      <c r="BI9" s="49">
        <v>66.117999999999995</v>
      </c>
      <c r="BJ9" s="49">
        <v>77.69</v>
      </c>
      <c r="BK9" s="49">
        <v>64.894999999999996</v>
      </c>
      <c r="BL9" s="49">
        <v>75.884</v>
      </c>
      <c r="BM9" s="49">
        <v>75.796000000000006</v>
      </c>
      <c r="BN9" s="49">
        <v>107.52800000000001</v>
      </c>
      <c r="BO9" s="49">
        <v>110.36</v>
      </c>
      <c r="BP9" s="49">
        <v>144.84</v>
      </c>
      <c r="BQ9" s="49">
        <v>141.68799999999999</v>
      </c>
      <c r="BR9" s="49">
        <v>60.207000000000001</v>
      </c>
      <c r="BS9" s="49">
        <v>27.7</v>
      </c>
      <c r="BT9" s="49">
        <v>7444.3609999999999</v>
      </c>
      <c r="BU9" s="48">
        <v>81.096999999999994</v>
      </c>
      <c r="BV9" s="48">
        <v>65.378</v>
      </c>
      <c r="BW9" s="48">
        <v>59.012</v>
      </c>
      <c r="BX9" s="48">
        <v>64.213999999999999</v>
      </c>
      <c r="BY9" s="49">
        <v>1.4910000000000001</v>
      </c>
      <c r="BZ9" s="48">
        <v>2.5299999999999998</v>
      </c>
      <c r="CA9" s="49">
        <v>3.4009999999999998</v>
      </c>
      <c r="CB9" s="48">
        <v>3.0640000000000001</v>
      </c>
      <c r="CC9" s="49">
        <v>6.2549999999999999</v>
      </c>
      <c r="CD9" s="49">
        <v>2.7149999999999999</v>
      </c>
      <c r="CE9" s="48">
        <v>3.9119999999999999</v>
      </c>
      <c r="CF9" s="48">
        <v>2.1949999999999998</v>
      </c>
      <c r="CG9" s="49">
        <v>13.852</v>
      </c>
      <c r="CH9" s="48">
        <v>13.445</v>
      </c>
      <c r="CI9" s="3"/>
      <c r="CJ9" s="3"/>
      <c r="CK9" s="3"/>
      <c r="CL9" s="49">
        <v>0.2</v>
      </c>
      <c r="CM9" s="48">
        <v>0.1</v>
      </c>
      <c r="CN9" s="49">
        <v>0</v>
      </c>
      <c r="CO9" s="49">
        <v>0</v>
      </c>
      <c r="CP9" s="49">
        <v>92.268000000000001</v>
      </c>
      <c r="CQ9" s="49">
        <v>95.259</v>
      </c>
      <c r="CR9" s="49">
        <v>123.622</v>
      </c>
      <c r="CS9" s="49">
        <v>125.325</v>
      </c>
      <c r="CT9" s="48">
        <v>0.36299999999999999</v>
      </c>
      <c r="CU9" s="48">
        <v>0.69899999999999995</v>
      </c>
      <c r="CV9" s="48">
        <v>0.999</v>
      </c>
      <c r="CW9" s="48">
        <v>0.40100000000000002</v>
      </c>
      <c r="CX9" s="48">
        <v>1.1950000000000001</v>
      </c>
      <c r="CY9" s="48">
        <v>0.79900000000000004</v>
      </c>
      <c r="CZ9" s="48">
        <v>0.59899999999999998</v>
      </c>
      <c r="DA9" s="48">
        <v>0.59899999999999998</v>
      </c>
      <c r="DB9" s="48">
        <v>0.39800000000000002</v>
      </c>
      <c r="DC9" s="48">
        <v>0</v>
      </c>
      <c r="DD9" s="49">
        <v>0</v>
      </c>
      <c r="DE9" s="48">
        <v>0.32100000000000001</v>
      </c>
      <c r="DF9" s="49">
        <v>0.20799999999999999</v>
      </c>
      <c r="DG9" s="48">
        <v>0.38100000000000001</v>
      </c>
      <c r="DH9" s="48">
        <v>1.9450000000000001</v>
      </c>
      <c r="DI9" s="48">
        <v>1.022</v>
      </c>
      <c r="DJ9" s="48">
        <v>0.29599999999999999</v>
      </c>
      <c r="DK9" s="48">
        <v>1.357</v>
      </c>
      <c r="DL9" s="49">
        <v>0.61199999999999999</v>
      </c>
      <c r="DM9" s="48">
        <v>0.755</v>
      </c>
      <c r="DN9" s="49">
        <v>0.75700000000000001</v>
      </c>
      <c r="DO9" s="48">
        <v>0.68700000000000006</v>
      </c>
      <c r="DP9" s="48">
        <v>64.134</v>
      </c>
      <c r="DQ9" s="48">
        <v>55.534999999999997</v>
      </c>
      <c r="DR9" s="48">
        <v>54.06</v>
      </c>
      <c r="DS9" s="48">
        <v>49.064</v>
      </c>
      <c r="DT9" s="48">
        <v>5.35</v>
      </c>
      <c r="DU9" s="48">
        <v>5.79</v>
      </c>
      <c r="DV9" s="48">
        <v>10.95</v>
      </c>
      <c r="DW9" s="48">
        <v>8.16</v>
      </c>
      <c r="DX9" s="48">
        <v>5.58</v>
      </c>
      <c r="DY9" s="48">
        <v>5.96</v>
      </c>
      <c r="DZ9" s="48">
        <v>10.51</v>
      </c>
      <c r="EA9" s="48">
        <v>8.0299999999999994</v>
      </c>
      <c r="EB9" s="49">
        <v>42.77</v>
      </c>
      <c r="EC9" s="49">
        <v>41.56</v>
      </c>
      <c r="ED9" s="48">
        <v>34.200000000000003</v>
      </c>
      <c r="EE9" s="48">
        <v>36.47</v>
      </c>
      <c r="EF9" s="48">
        <v>46.29</v>
      </c>
      <c r="EG9" s="48">
        <v>46.68</v>
      </c>
      <c r="EH9" s="48">
        <v>44.33</v>
      </c>
      <c r="EI9" s="48">
        <v>47.33</v>
      </c>
      <c r="EJ9" s="49">
        <v>6.6360000000000001</v>
      </c>
      <c r="EK9" s="48">
        <v>59.844000000000001</v>
      </c>
      <c r="EL9" s="48">
        <v>0.65</v>
      </c>
      <c r="EM9" s="49">
        <v>0.3</v>
      </c>
      <c r="EN9" s="48">
        <v>0.9</v>
      </c>
      <c r="EO9" s="48">
        <v>0.9</v>
      </c>
      <c r="EP9" s="48">
        <v>-104.178</v>
      </c>
      <c r="EQ9" s="48">
        <v>-2.431</v>
      </c>
      <c r="ER9" s="48">
        <v>100.22199999999999</v>
      </c>
      <c r="ES9" s="48">
        <v>1.5249999999999999</v>
      </c>
      <c r="ET9" s="48">
        <v>1.633</v>
      </c>
      <c r="EU9" s="48">
        <v>1.4810000000000001</v>
      </c>
      <c r="EV9" s="48">
        <v>7.6509999999999998</v>
      </c>
      <c r="EW9" s="49">
        <v>3.08</v>
      </c>
      <c r="EX9" s="48">
        <v>69.099999999999994</v>
      </c>
      <c r="EY9" s="49">
        <v>0</v>
      </c>
      <c r="EZ9" s="48">
        <v>0.99099999999999999</v>
      </c>
      <c r="FA9" s="49">
        <v>0</v>
      </c>
      <c r="FB9" s="49">
        <v>9.1760000000000002</v>
      </c>
      <c r="FC9" s="49">
        <v>66.212999999999994</v>
      </c>
      <c r="FD9" s="49">
        <v>64.942999999999998</v>
      </c>
      <c r="FE9" s="49">
        <v>78.116</v>
      </c>
      <c r="FF9" s="49">
        <v>74.483000000000004</v>
      </c>
      <c r="FG9" s="48">
        <v>0.89200000000000002</v>
      </c>
      <c r="FH9" s="48">
        <v>0.89200000000000002</v>
      </c>
      <c r="FI9" s="48">
        <v>0.95899999999999996</v>
      </c>
      <c r="FJ9" s="48">
        <v>0.95699999999999996</v>
      </c>
      <c r="FK9" s="48">
        <v>0</v>
      </c>
      <c r="FL9" s="49">
        <v>83</v>
      </c>
      <c r="FM9" s="48">
        <v>2.31</v>
      </c>
      <c r="FN9" s="48">
        <v>0.54</v>
      </c>
      <c r="FO9" s="48">
        <v>5.66</v>
      </c>
      <c r="FP9" s="48">
        <v>3.35</v>
      </c>
      <c r="FQ9" s="48">
        <v>4.3</v>
      </c>
      <c r="FR9" s="49">
        <v>5.0999999999999996</v>
      </c>
      <c r="FS9" s="48">
        <v>7.0780000000000003</v>
      </c>
      <c r="FT9" s="49">
        <v>1079.9000000000001</v>
      </c>
      <c r="FU9" s="49">
        <v>7.85</v>
      </c>
      <c r="FV9" s="49">
        <v>19.89</v>
      </c>
      <c r="FW9" s="49">
        <v>3207.5</v>
      </c>
      <c r="FX9" s="48">
        <v>162900</v>
      </c>
      <c r="FY9" s="48">
        <v>163100</v>
      </c>
      <c r="FZ9" s="48">
        <v>47.582000000000001</v>
      </c>
      <c r="GA9" s="48">
        <v>46.113</v>
      </c>
      <c r="GB9" s="48">
        <v>2146.5</v>
      </c>
      <c r="GC9" s="48">
        <v>2129.3000000000002</v>
      </c>
      <c r="GD9" s="48">
        <v>2248.1</v>
      </c>
      <c r="GE9" s="49">
        <v>2248.8000000000002</v>
      </c>
      <c r="GF9" s="48">
        <v>1267.4375</v>
      </c>
      <c r="GG9" s="48">
        <v>27</v>
      </c>
      <c r="GH9" s="48">
        <v>27.3</v>
      </c>
      <c r="GI9" s="48">
        <v>46.3</v>
      </c>
      <c r="GJ9" s="48">
        <v>52.2</v>
      </c>
      <c r="GK9" s="48">
        <v>99.5</v>
      </c>
      <c r="GL9" s="49">
        <v>91.1</v>
      </c>
      <c r="GM9" s="49">
        <v>0</v>
      </c>
      <c r="GN9" s="48">
        <v>21.088000000000001</v>
      </c>
      <c r="GO9" s="48">
        <v>104.178</v>
      </c>
      <c r="GP9" s="49">
        <v>0</v>
      </c>
      <c r="GQ9" s="48">
        <v>1.8879999999999999</v>
      </c>
      <c r="GR9" s="49">
        <v>0</v>
      </c>
      <c r="GS9" s="48">
        <v>2.0649999999999999</v>
      </c>
      <c r="GT9" s="49">
        <v>0</v>
      </c>
      <c r="GU9" s="48">
        <v>1.8879999999999999</v>
      </c>
      <c r="GV9" s="49">
        <v>0</v>
      </c>
      <c r="GW9" s="48">
        <v>13.818</v>
      </c>
      <c r="GX9" s="48">
        <v>14.994</v>
      </c>
      <c r="GY9" s="49">
        <v>0</v>
      </c>
      <c r="GZ9" s="49">
        <v>0</v>
      </c>
      <c r="HA9" s="49">
        <v>0</v>
      </c>
      <c r="HB9" s="48">
        <v>0</v>
      </c>
      <c r="HC9" s="48">
        <v>24.215</v>
      </c>
      <c r="HD9" s="49">
        <v>98</v>
      </c>
      <c r="HE9" s="49">
        <v>0</v>
      </c>
      <c r="HF9" s="49">
        <v>0</v>
      </c>
      <c r="HG9" s="48">
        <v>83.56</v>
      </c>
      <c r="HH9" s="48">
        <v>82.88</v>
      </c>
      <c r="HI9" s="49">
        <v>0</v>
      </c>
      <c r="HJ9" s="49">
        <v>0</v>
      </c>
      <c r="HK9" s="49">
        <v>0</v>
      </c>
      <c r="HL9" s="49">
        <v>63</v>
      </c>
      <c r="HM9" s="48">
        <v>51</v>
      </c>
      <c r="HN9" s="49">
        <v>62</v>
      </c>
      <c r="HO9" s="49">
        <v>56</v>
      </c>
      <c r="HP9" s="49">
        <v>59</v>
      </c>
      <c r="HQ9" s="49">
        <v>57</v>
      </c>
      <c r="HR9" s="49">
        <v>49</v>
      </c>
      <c r="HS9" s="48">
        <v>62</v>
      </c>
      <c r="HT9" s="49">
        <v>0.1925</v>
      </c>
      <c r="HU9" s="49">
        <v>0</v>
      </c>
      <c r="HV9" s="48">
        <v>1.2549999999999999</v>
      </c>
      <c r="HW9" s="49">
        <v>39.68</v>
      </c>
      <c r="HX9" s="49">
        <v>45.96</v>
      </c>
      <c r="HY9" s="3"/>
      <c r="HZ9" s="3"/>
      <c r="IA9" s="48">
        <v>2.6509999999999998</v>
      </c>
      <c r="IB9" s="49">
        <v>103</v>
      </c>
      <c r="IC9" s="49">
        <v>22.167999999999999</v>
      </c>
      <c r="ID9" s="48">
        <v>-0.10299999999999999</v>
      </c>
      <c r="IE9" s="48">
        <v>3.5000000000000003E-2</v>
      </c>
      <c r="IF9" s="48">
        <v>914.1</v>
      </c>
      <c r="IG9" s="48">
        <v>787.9</v>
      </c>
      <c r="IH9" s="48">
        <v>973.7</v>
      </c>
      <c r="II9" s="48">
        <v>818.8</v>
      </c>
      <c r="IJ9" s="48">
        <v>-7.0999999999999994E-2</v>
      </c>
      <c r="IK9" s="48">
        <v>-0.25900000000000001</v>
      </c>
      <c r="IL9" s="48">
        <v>49.588000000000001</v>
      </c>
      <c r="IM9" s="48">
        <v>49.588000000000001</v>
      </c>
      <c r="IN9" s="49">
        <v>30.88</v>
      </c>
      <c r="IO9" s="48">
        <v>0.56599999999999995</v>
      </c>
      <c r="IP9" s="49">
        <v>14.62</v>
      </c>
      <c r="IQ9" s="48">
        <v>0</v>
      </c>
      <c r="IR9" s="48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B3FB-31BE-4743-9CAA-1DB6D026D0DF}">
  <sheetPr codeName="Sheet4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410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413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3.3505787037037033E-3</v>
      </c>
      <c r="E7" s="49">
        <v>289.495</v>
      </c>
      <c r="F7" s="48">
        <v>325.08999999999997</v>
      </c>
      <c r="G7" s="48">
        <v>5.71</v>
      </c>
      <c r="H7" s="48">
        <v>28</v>
      </c>
      <c r="I7" s="49">
        <v>0.16</v>
      </c>
      <c r="J7" s="49">
        <v>20.5</v>
      </c>
      <c r="K7" s="49">
        <v>6</v>
      </c>
      <c r="L7" s="49">
        <v>9</v>
      </c>
      <c r="M7" s="49">
        <v>8</v>
      </c>
      <c r="N7" s="49">
        <v>3</v>
      </c>
      <c r="O7" s="49">
        <v>3</v>
      </c>
      <c r="P7" s="48">
        <v>0.90500000000000003</v>
      </c>
      <c r="Q7" s="48">
        <v>1.1539999999999999</v>
      </c>
      <c r="R7" s="49">
        <v>1.052</v>
      </c>
      <c r="S7" s="49">
        <v>0.86699999999999999</v>
      </c>
      <c r="T7" s="48">
        <v>73.45</v>
      </c>
      <c r="U7" s="49">
        <v>60.786999999999999</v>
      </c>
      <c r="V7" s="49">
        <v>172.5</v>
      </c>
      <c r="W7" s="49">
        <v>201.66</v>
      </c>
      <c r="X7" s="49">
        <v>208.34</v>
      </c>
      <c r="Y7" s="49">
        <v>201.66</v>
      </c>
      <c r="Z7" s="48">
        <v>354.96</v>
      </c>
      <c r="AA7" s="48">
        <v>389.16</v>
      </c>
      <c r="AB7" s="48">
        <v>323.3</v>
      </c>
      <c r="AC7" s="48">
        <v>333.48</v>
      </c>
      <c r="AD7" s="48">
        <v>1.7030000000000001</v>
      </c>
      <c r="AE7" s="48">
        <v>1.7709999999999999</v>
      </c>
      <c r="AF7" s="48">
        <v>1.7709999999999999</v>
      </c>
      <c r="AG7" s="48">
        <v>1.77</v>
      </c>
      <c r="AH7" s="48">
        <v>68.03</v>
      </c>
      <c r="AI7" s="48">
        <v>69.78</v>
      </c>
      <c r="AJ7" s="48">
        <v>92.58</v>
      </c>
      <c r="AK7" s="48">
        <v>88.23</v>
      </c>
      <c r="AL7" s="48">
        <v>612.56700000000001</v>
      </c>
      <c r="AM7" s="48">
        <v>605.47299999999996</v>
      </c>
      <c r="AN7" s="48">
        <v>735.97</v>
      </c>
      <c r="AO7" s="48">
        <v>763.529</v>
      </c>
      <c r="AP7" s="48">
        <v>2.5249999999999999</v>
      </c>
      <c r="AQ7" s="48">
        <v>1.865</v>
      </c>
      <c r="AR7" s="48">
        <v>42.89</v>
      </c>
      <c r="AS7" s="48">
        <v>38.753999999999998</v>
      </c>
      <c r="AT7" s="49">
        <v>84</v>
      </c>
      <c r="AU7" s="48">
        <v>105</v>
      </c>
      <c r="AV7" s="48">
        <v>3.2925</v>
      </c>
      <c r="AW7" s="48">
        <v>5.7693000000000003</v>
      </c>
      <c r="AX7" s="49">
        <v>997.9</v>
      </c>
      <c r="AY7" s="49">
        <v>0.97</v>
      </c>
      <c r="AZ7" s="49">
        <v>5.64</v>
      </c>
      <c r="BA7" s="49">
        <v>64.611999999999995</v>
      </c>
      <c r="BB7" s="49">
        <v>66.805999999999997</v>
      </c>
      <c r="BC7" s="48">
        <v>7672</v>
      </c>
      <c r="BD7" s="48">
        <v>88.5</v>
      </c>
      <c r="BE7" s="48">
        <v>22.38</v>
      </c>
      <c r="BF7" s="48">
        <v>12.34</v>
      </c>
      <c r="BG7" s="48">
        <v>30.56</v>
      </c>
      <c r="BH7" s="48">
        <v>30.13</v>
      </c>
      <c r="BI7" s="48">
        <v>65.308000000000007</v>
      </c>
      <c r="BJ7" s="48">
        <v>76.453000000000003</v>
      </c>
      <c r="BK7" s="48">
        <v>64.129000000000005</v>
      </c>
      <c r="BL7" s="48">
        <v>74.724999999999994</v>
      </c>
      <c r="BM7" s="48">
        <v>74.617000000000004</v>
      </c>
      <c r="BN7" s="49">
        <v>124.152</v>
      </c>
      <c r="BO7" s="49">
        <v>129.208</v>
      </c>
      <c r="BP7" s="48">
        <v>146.44</v>
      </c>
      <c r="BQ7" s="48">
        <v>144.744</v>
      </c>
      <c r="BR7" s="48">
        <v>58.405000000000001</v>
      </c>
      <c r="BS7" s="48">
        <v>27.8</v>
      </c>
      <c r="BT7" s="48">
        <v>7210.585</v>
      </c>
      <c r="BU7" s="49">
        <v>81.722999999999999</v>
      </c>
      <c r="BV7" s="49">
        <v>66.31</v>
      </c>
      <c r="BW7" s="49">
        <v>65.5</v>
      </c>
      <c r="BX7" s="48">
        <v>60.637</v>
      </c>
      <c r="BY7" s="49">
        <v>1.4490000000000001</v>
      </c>
      <c r="BZ7" s="48">
        <v>2.6349999999999998</v>
      </c>
      <c r="CA7" s="48">
        <v>3.3839999999999999</v>
      </c>
      <c r="CB7" s="48">
        <v>2.86</v>
      </c>
      <c r="CC7" s="48">
        <v>5.8630000000000004</v>
      </c>
      <c r="CD7" s="48">
        <v>2.3420000000000001</v>
      </c>
      <c r="CE7" s="48">
        <v>3.7250000000000001</v>
      </c>
      <c r="CF7" s="49">
        <v>2.1819999999999999</v>
      </c>
      <c r="CG7" s="48">
        <v>13.72</v>
      </c>
      <c r="CH7" s="49">
        <v>9.7929999999999993</v>
      </c>
      <c r="CI7" s="49">
        <v>4.0709999999999997</v>
      </c>
      <c r="CJ7" s="48">
        <v>3.4649999999999999</v>
      </c>
      <c r="CK7" s="49">
        <v>1.3009999999999999</v>
      </c>
      <c r="CL7" s="48">
        <v>0</v>
      </c>
      <c r="CM7" s="48">
        <v>0</v>
      </c>
      <c r="CN7" s="49">
        <v>0</v>
      </c>
      <c r="CO7" s="49">
        <v>0</v>
      </c>
      <c r="CP7" s="49">
        <v>97.998000000000005</v>
      </c>
      <c r="CQ7" s="49">
        <v>101.116</v>
      </c>
      <c r="CR7" s="48">
        <v>131.78200000000001</v>
      </c>
      <c r="CS7" s="48">
        <v>131.024</v>
      </c>
      <c r="CT7" s="48">
        <v>0.36</v>
      </c>
      <c r="CU7" s="49">
        <v>1.2</v>
      </c>
      <c r="CV7" s="48">
        <v>0.7</v>
      </c>
      <c r="CW7" s="49">
        <v>0.999</v>
      </c>
      <c r="CX7" s="49">
        <v>1.196</v>
      </c>
      <c r="CY7" s="49">
        <v>1.595</v>
      </c>
      <c r="CZ7" s="49">
        <v>1.196</v>
      </c>
      <c r="DA7" s="49">
        <v>0.89800000000000002</v>
      </c>
      <c r="DB7" s="48">
        <v>1.494</v>
      </c>
      <c r="DC7" s="49">
        <v>0</v>
      </c>
      <c r="DD7" s="49">
        <v>0</v>
      </c>
      <c r="DE7" s="48">
        <v>0.27200000000000002</v>
      </c>
      <c r="DF7" s="48">
        <v>0.128</v>
      </c>
      <c r="DG7" s="48">
        <v>0.17899999999999999</v>
      </c>
      <c r="DH7" s="48">
        <v>1.6240000000000001</v>
      </c>
      <c r="DI7" s="48">
        <v>0.94299999999999995</v>
      </c>
      <c r="DJ7" s="48">
        <v>0.27</v>
      </c>
      <c r="DK7" s="48">
        <v>1.016</v>
      </c>
      <c r="DL7" s="48">
        <v>0.60699999999999998</v>
      </c>
      <c r="DM7" s="48">
        <v>0.69099999999999995</v>
      </c>
      <c r="DN7" s="48">
        <v>0.55200000000000005</v>
      </c>
      <c r="DO7" s="48">
        <v>0.71099999999999997</v>
      </c>
      <c r="DP7" s="48">
        <v>64.718999999999994</v>
      </c>
      <c r="DQ7" s="49">
        <v>58.252000000000002</v>
      </c>
      <c r="DR7" s="48">
        <v>54.743000000000002</v>
      </c>
      <c r="DS7" s="48">
        <v>48.645000000000003</v>
      </c>
      <c r="DT7" s="48">
        <v>3.8</v>
      </c>
      <c r="DU7" s="48">
        <v>4.46</v>
      </c>
      <c r="DV7" s="48">
        <v>8.44</v>
      </c>
      <c r="DW7" s="48">
        <v>6.63</v>
      </c>
      <c r="DX7" s="48">
        <v>3.87</v>
      </c>
      <c r="DY7" s="48">
        <v>4.4400000000000004</v>
      </c>
      <c r="DZ7" s="48">
        <v>7.88</v>
      </c>
      <c r="EA7" s="48">
        <v>6.49</v>
      </c>
      <c r="EB7" s="48">
        <v>35.6</v>
      </c>
      <c r="EC7" s="48">
        <v>35.31</v>
      </c>
      <c r="ED7" s="48">
        <v>28.77</v>
      </c>
      <c r="EE7" s="48">
        <v>30.94</v>
      </c>
      <c r="EF7" s="49">
        <v>56.74</v>
      </c>
      <c r="EG7" s="49">
        <v>55.79</v>
      </c>
      <c r="EH7" s="49">
        <v>54.92</v>
      </c>
      <c r="EI7" s="49">
        <v>55.94</v>
      </c>
      <c r="EJ7" s="48">
        <v>6.6150000000000002</v>
      </c>
      <c r="EK7" s="48">
        <v>59.933</v>
      </c>
      <c r="EL7" s="49">
        <v>0.9</v>
      </c>
      <c r="EM7" s="49">
        <v>0.25</v>
      </c>
      <c r="EN7" s="49">
        <v>0.95</v>
      </c>
      <c r="EO7" s="49">
        <v>0.94</v>
      </c>
      <c r="EP7" s="48">
        <v>-100.96599999999999</v>
      </c>
      <c r="EQ7" s="49">
        <v>-1.266</v>
      </c>
      <c r="ER7" s="49">
        <v>107.81399999999999</v>
      </c>
      <c r="ES7" s="48">
        <v>1.389</v>
      </c>
      <c r="ET7" s="48">
        <v>1.496</v>
      </c>
      <c r="EU7" s="48">
        <v>1.341</v>
      </c>
      <c r="EV7" s="48">
        <v>7.968</v>
      </c>
      <c r="EW7" s="49">
        <v>3.0110000000000001</v>
      </c>
      <c r="EX7" s="48">
        <v>68.66</v>
      </c>
      <c r="EY7" s="49">
        <v>0.56100000000000005</v>
      </c>
      <c r="EZ7" s="48">
        <v>0</v>
      </c>
      <c r="FA7" s="49">
        <v>0</v>
      </c>
      <c r="FB7" s="48">
        <v>8.4120000000000008</v>
      </c>
      <c r="FC7" s="48">
        <v>66.549000000000007</v>
      </c>
      <c r="FD7" s="48">
        <v>65.661000000000001</v>
      </c>
      <c r="FE7" s="48">
        <v>78.382000000000005</v>
      </c>
      <c r="FF7" s="48">
        <v>75.531999999999996</v>
      </c>
      <c r="FG7" s="49">
        <v>0.92900000000000005</v>
      </c>
      <c r="FH7" s="49">
        <v>0.91900000000000004</v>
      </c>
      <c r="FI7" s="49">
        <v>0.97399999999999998</v>
      </c>
      <c r="FJ7" s="49">
        <v>0.97099999999999997</v>
      </c>
      <c r="FK7" s="49">
        <v>0.60099999999999998</v>
      </c>
      <c r="FL7" s="49">
        <v>85</v>
      </c>
      <c r="FM7" s="49">
        <v>2.52</v>
      </c>
      <c r="FN7" s="48">
        <v>0.57999999999999996</v>
      </c>
      <c r="FO7" s="48">
        <v>5.48</v>
      </c>
      <c r="FP7" s="48">
        <v>4.5</v>
      </c>
      <c r="FQ7" s="49">
        <v>2.25</v>
      </c>
      <c r="FR7" s="49">
        <v>4.95</v>
      </c>
      <c r="FS7" s="49">
        <v>6.9770000000000003</v>
      </c>
      <c r="FT7" s="49">
        <v>1071.0999999999999</v>
      </c>
      <c r="FU7" s="48">
        <v>7.19</v>
      </c>
      <c r="FV7" s="48">
        <v>25.6</v>
      </c>
      <c r="FW7" s="48">
        <v>3148</v>
      </c>
      <c r="FX7" s="48">
        <v>161800</v>
      </c>
      <c r="FY7" s="49">
        <v>164600</v>
      </c>
      <c r="FZ7" s="49">
        <v>47.703000000000003</v>
      </c>
      <c r="GA7" s="49">
        <v>46.156999999999996</v>
      </c>
      <c r="GB7" s="48">
        <v>2194.1</v>
      </c>
      <c r="GC7" s="48">
        <v>2119.4</v>
      </c>
      <c r="GD7" s="48">
        <v>2194.1</v>
      </c>
      <c r="GE7" s="48">
        <v>2147.1999999999998</v>
      </c>
      <c r="GF7" s="48">
        <v>1149.4219000000001</v>
      </c>
      <c r="GG7" s="48">
        <v>28</v>
      </c>
      <c r="GH7" s="48">
        <v>28</v>
      </c>
      <c r="GI7" s="49">
        <v>50.2</v>
      </c>
      <c r="GJ7" s="49">
        <v>56.5</v>
      </c>
      <c r="GK7" s="49">
        <v>97</v>
      </c>
      <c r="GL7" s="49">
        <v>80</v>
      </c>
      <c r="GM7" s="49">
        <v>0</v>
      </c>
      <c r="GN7" s="48">
        <v>21.311</v>
      </c>
      <c r="GO7" s="48">
        <v>107.81399999999999</v>
      </c>
      <c r="GP7" s="49">
        <v>0</v>
      </c>
      <c r="GQ7" s="49">
        <v>4.13</v>
      </c>
      <c r="GR7" s="49">
        <v>0</v>
      </c>
      <c r="GS7" s="49">
        <v>3.7759999999999998</v>
      </c>
      <c r="GT7" s="49">
        <v>0</v>
      </c>
      <c r="GU7" s="49">
        <v>4.6020000000000003</v>
      </c>
      <c r="GV7" s="49">
        <v>0</v>
      </c>
      <c r="GW7" s="48">
        <v>12.773999999999999</v>
      </c>
      <c r="GX7" s="49">
        <v>20.384</v>
      </c>
      <c r="GY7" s="49">
        <v>0</v>
      </c>
      <c r="GZ7" s="49">
        <v>0</v>
      </c>
      <c r="HA7" s="49">
        <v>0</v>
      </c>
      <c r="HB7" s="49">
        <v>1</v>
      </c>
      <c r="HC7" s="49">
        <v>25.643999999999998</v>
      </c>
      <c r="HD7" s="49">
        <v>102</v>
      </c>
      <c r="HE7" s="49">
        <v>0</v>
      </c>
      <c r="HF7" s="49">
        <v>0</v>
      </c>
      <c r="HG7" s="49">
        <v>75.06</v>
      </c>
      <c r="HH7" s="48">
        <v>82.89</v>
      </c>
      <c r="HI7" s="49">
        <v>0</v>
      </c>
      <c r="HJ7" s="49">
        <v>0</v>
      </c>
      <c r="HK7" s="49">
        <v>0</v>
      </c>
      <c r="HL7" s="48">
        <v>66</v>
      </c>
      <c r="HM7" s="49">
        <v>52</v>
      </c>
      <c r="HN7" s="48">
        <v>63</v>
      </c>
      <c r="HO7" s="48">
        <v>57</v>
      </c>
      <c r="HP7" s="48">
        <v>61</v>
      </c>
      <c r="HQ7" s="48">
        <v>58</v>
      </c>
      <c r="HR7" s="48">
        <v>50</v>
      </c>
      <c r="HS7" s="48">
        <v>62</v>
      </c>
      <c r="HT7" s="48">
        <v>0.124</v>
      </c>
      <c r="HU7" s="49">
        <v>0</v>
      </c>
      <c r="HV7" s="48">
        <v>1.1379999999999999</v>
      </c>
      <c r="HW7" s="49">
        <v>38.47</v>
      </c>
      <c r="HX7" s="48">
        <v>46.15</v>
      </c>
      <c r="HY7" s="3"/>
      <c r="HZ7" s="3"/>
      <c r="IA7" s="48">
        <v>2.5289999999999999</v>
      </c>
      <c r="IB7" s="48">
        <v>101</v>
      </c>
      <c r="IC7" s="48">
        <v>19.526</v>
      </c>
      <c r="ID7" s="49">
        <v>-7.1999999999999995E-2</v>
      </c>
      <c r="IE7" s="48">
        <v>3.6999999999999998E-2</v>
      </c>
      <c r="IF7" s="48">
        <v>900.8</v>
      </c>
      <c r="IG7" s="48">
        <v>746.9</v>
      </c>
      <c r="IH7" s="48">
        <v>957.8</v>
      </c>
      <c r="II7" s="48">
        <v>779.4</v>
      </c>
      <c r="IJ7" s="49">
        <v>-5.8999999999999997E-2</v>
      </c>
      <c r="IK7" s="49">
        <v>-0.22600000000000001</v>
      </c>
      <c r="IL7" s="49">
        <v>113.499</v>
      </c>
      <c r="IM7" s="49">
        <v>113.499</v>
      </c>
      <c r="IN7" s="49">
        <v>32.548000000000002</v>
      </c>
      <c r="IO7" s="48">
        <v>0.61899999999999999</v>
      </c>
      <c r="IP7" s="49">
        <v>15.09</v>
      </c>
      <c r="IQ7" s="48">
        <v>1.6E-2</v>
      </c>
      <c r="IR7" s="49">
        <v>1.0999999999999999E-2</v>
      </c>
    </row>
    <row r="8" spans="2:252" x14ac:dyDescent="0.25">
      <c r="B8" s="2" t="s">
        <v>407</v>
      </c>
      <c r="C8" s="58" t="s">
        <v>42</v>
      </c>
      <c r="D8" s="59">
        <v>2.5106481481481481E-3</v>
      </c>
      <c r="E8" s="48">
        <v>216.96</v>
      </c>
      <c r="F8" s="49">
        <v>331.84</v>
      </c>
      <c r="G8" s="48">
        <v>5.84</v>
      </c>
      <c r="H8" s="48">
        <v>28.3</v>
      </c>
      <c r="I8" s="48">
        <v>0</v>
      </c>
      <c r="J8" s="48">
        <v>17.2</v>
      </c>
      <c r="K8" s="49">
        <v>6</v>
      </c>
      <c r="L8" s="49">
        <v>9</v>
      </c>
      <c r="M8" s="49">
        <v>8</v>
      </c>
      <c r="N8" s="49">
        <v>3</v>
      </c>
      <c r="O8" s="49">
        <v>3</v>
      </c>
      <c r="P8" s="49">
        <v>0.95599999999999996</v>
      </c>
      <c r="Q8" s="48">
        <v>1.425</v>
      </c>
      <c r="R8" s="48">
        <v>0.92</v>
      </c>
      <c r="S8" s="48">
        <v>0.84899999999999998</v>
      </c>
      <c r="T8" s="48">
        <v>64.06</v>
      </c>
      <c r="U8" s="48">
        <v>60.470999999999997</v>
      </c>
      <c r="V8" s="48">
        <v>248.34</v>
      </c>
      <c r="W8" s="48">
        <v>290</v>
      </c>
      <c r="X8" s="48">
        <v>261.66000000000003</v>
      </c>
      <c r="Y8" s="48">
        <v>271.66000000000003</v>
      </c>
      <c r="Z8" s="48">
        <v>404.78</v>
      </c>
      <c r="AA8" s="48">
        <v>444.8</v>
      </c>
      <c r="AB8" s="48">
        <v>360</v>
      </c>
      <c r="AC8" s="48">
        <v>380.09</v>
      </c>
      <c r="AD8" s="48">
        <v>1.718</v>
      </c>
      <c r="AE8" s="48">
        <v>1.7849999999999999</v>
      </c>
      <c r="AF8" s="48">
        <v>1.82</v>
      </c>
      <c r="AG8" s="48">
        <v>1.8120000000000001</v>
      </c>
      <c r="AH8" s="48">
        <v>75.650000000000006</v>
      </c>
      <c r="AI8" s="48">
        <v>77.39</v>
      </c>
      <c r="AJ8" s="48">
        <v>102.99</v>
      </c>
      <c r="AK8" s="48">
        <v>97.04</v>
      </c>
      <c r="AL8" s="49">
        <v>663.18200000000002</v>
      </c>
      <c r="AM8" s="48">
        <v>643.14499999999998</v>
      </c>
      <c r="AN8" s="49">
        <v>789.29300000000001</v>
      </c>
      <c r="AO8" s="49">
        <v>789.83799999999997</v>
      </c>
      <c r="AP8" s="49">
        <v>2.5430000000000001</v>
      </c>
      <c r="AQ8" s="49">
        <v>1.8660000000000001</v>
      </c>
      <c r="AR8" s="49">
        <v>43.34</v>
      </c>
      <c r="AS8" s="49">
        <v>39.533000000000001</v>
      </c>
      <c r="AT8" s="48">
        <v>83</v>
      </c>
      <c r="AU8" s="48">
        <v>108</v>
      </c>
      <c r="AV8" s="49">
        <v>3.2309999999999999</v>
      </c>
      <c r="AW8" s="49">
        <v>5.7754000000000003</v>
      </c>
      <c r="AX8" s="48">
        <v>995.9</v>
      </c>
      <c r="AY8" s="48">
        <v>0.9</v>
      </c>
      <c r="AZ8" s="48">
        <v>5.72</v>
      </c>
      <c r="BA8" s="48">
        <v>135.696</v>
      </c>
      <c r="BB8" s="48">
        <v>135.12</v>
      </c>
      <c r="BC8" s="49">
        <v>7869</v>
      </c>
      <c r="BD8" s="49">
        <v>89.5</v>
      </c>
      <c r="BE8" s="48">
        <v>22.945</v>
      </c>
      <c r="BF8" s="49">
        <v>12.77</v>
      </c>
      <c r="BG8" s="48">
        <v>30.01</v>
      </c>
      <c r="BH8" s="48">
        <v>28.61</v>
      </c>
      <c r="BI8" s="3"/>
      <c r="BJ8" s="3"/>
      <c r="BK8" s="3"/>
      <c r="BL8" s="3"/>
      <c r="BM8" s="3"/>
      <c r="BN8" s="48">
        <v>93.031999999999996</v>
      </c>
      <c r="BO8" s="48">
        <v>95.703999999999994</v>
      </c>
      <c r="BP8" s="48">
        <v>135.44800000000001</v>
      </c>
      <c r="BQ8" s="48">
        <v>134.232</v>
      </c>
      <c r="BR8" s="3"/>
      <c r="BS8" s="48">
        <v>28</v>
      </c>
      <c r="BT8" s="48">
        <v>7317.3019999999997</v>
      </c>
      <c r="BU8" s="48">
        <v>79.105999999999995</v>
      </c>
      <c r="BV8" s="48">
        <v>61.832000000000001</v>
      </c>
      <c r="BW8" s="48">
        <v>60.75</v>
      </c>
      <c r="BX8" s="48">
        <v>65.094999999999999</v>
      </c>
      <c r="BY8" s="48">
        <v>1.4379999999999999</v>
      </c>
      <c r="BZ8" s="48">
        <v>2.9870000000000001</v>
      </c>
      <c r="CA8" s="49">
        <v>3.476</v>
      </c>
      <c r="CB8" s="48">
        <v>2.9780000000000002</v>
      </c>
      <c r="CC8" s="49">
        <v>5.95</v>
      </c>
      <c r="CD8" s="49">
        <v>2.5409999999999999</v>
      </c>
      <c r="CE8" s="49">
        <v>3.73</v>
      </c>
      <c r="CF8" s="48">
        <v>2.1339999999999999</v>
      </c>
      <c r="CG8" s="48">
        <v>13.869</v>
      </c>
      <c r="CH8" s="48">
        <v>13.731999999999999</v>
      </c>
      <c r="CI8" s="48">
        <v>3.47</v>
      </c>
      <c r="CJ8" s="49">
        <v>3.585</v>
      </c>
      <c r="CK8" s="48">
        <v>1.2549999999999999</v>
      </c>
      <c r="CL8" s="48">
        <v>0</v>
      </c>
      <c r="CM8" s="49">
        <v>0.2</v>
      </c>
      <c r="CN8" s="49">
        <v>0</v>
      </c>
      <c r="CO8" s="49">
        <v>0</v>
      </c>
      <c r="CP8" s="48">
        <v>88.796000000000006</v>
      </c>
      <c r="CQ8" s="48">
        <v>92.656000000000006</v>
      </c>
      <c r="CR8" s="48">
        <v>129.71</v>
      </c>
      <c r="CS8" s="48">
        <v>129.77099999999999</v>
      </c>
      <c r="CT8" s="49">
        <v>0.40100000000000002</v>
      </c>
      <c r="CU8" s="48">
        <v>0.8</v>
      </c>
      <c r="CV8" s="49">
        <v>0.80100000000000005</v>
      </c>
      <c r="CW8" s="48">
        <v>0.7</v>
      </c>
      <c r="CX8" s="48">
        <v>0.90200000000000002</v>
      </c>
      <c r="CY8" s="48">
        <v>0.999</v>
      </c>
      <c r="CZ8" s="48">
        <v>0.60099999999999998</v>
      </c>
      <c r="DA8" s="48">
        <v>0.70299999999999996</v>
      </c>
      <c r="DB8" s="48">
        <v>1.1020000000000001</v>
      </c>
      <c r="DC8" s="49">
        <v>0</v>
      </c>
      <c r="DD8" s="49">
        <v>0</v>
      </c>
      <c r="DE8" s="49">
        <v>0.33800000000000002</v>
      </c>
      <c r="DF8" s="49">
        <v>0.19400000000000001</v>
      </c>
      <c r="DG8" s="49">
        <v>0.61699999999999999</v>
      </c>
      <c r="DH8" s="48">
        <v>1.627</v>
      </c>
      <c r="DI8" s="48">
        <v>0.94799999999999995</v>
      </c>
      <c r="DJ8" s="48">
        <v>0.28999999999999998</v>
      </c>
      <c r="DK8" s="49">
        <v>1.2929999999999999</v>
      </c>
      <c r="DL8" s="49">
        <v>0.61</v>
      </c>
      <c r="DM8" s="49">
        <v>0.76200000000000001</v>
      </c>
      <c r="DN8" s="49">
        <v>0.76300000000000001</v>
      </c>
      <c r="DO8" s="49">
        <v>0.71399999999999997</v>
      </c>
      <c r="DP8" s="48">
        <v>67.944999999999993</v>
      </c>
      <c r="DQ8" s="48">
        <v>57.264000000000003</v>
      </c>
      <c r="DR8" s="49">
        <v>56.357999999999997</v>
      </c>
      <c r="DS8" s="49">
        <v>49.69</v>
      </c>
      <c r="DT8" s="49">
        <v>5.94</v>
      </c>
      <c r="DU8" s="49">
        <v>6.45</v>
      </c>
      <c r="DV8" s="49">
        <v>12.38</v>
      </c>
      <c r="DW8" s="49">
        <v>9.52</v>
      </c>
      <c r="DX8" s="49">
        <v>6.17</v>
      </c>
      <c r="DY8" s="49">
        <v>6.84</v>
      </c>
      <c r="DZ8" s="49">
        <v>11.81</v>
      </c>
      <c r="EA8" s="49">
        <v>9.27</v>
      </c>
      <c r="EB8" s="48">
        <v>42.41</v>
      </c>
      <c r="EC8" s="48">
        <v>41.72</v>
      </c>
      <c r="ED8" s="48">
        <v>34.130000000000003</v>
      </c>
      <c r="EE8" s="48">
        <v>36.76</v>
      </c>
      <c r="EF8" s="48">
        <v>45.48</v>
      </c>
      <c r="EG8" s="48">
        <v>44.99</v>
      </c>
      <c r="EH8" s="48">
        <v>41.69</v>
      </c>
      <c r="EI8" s="48">
        <v>44.45</v>
      </c>
      <c r="EJ8" s="48">
        <v>7.0359999999999996</v>
      </c>
      <c r="EK8" s="48">
        <v>60.136000000000003</v>
      </c>
      <c r="EL8" s="48">
        <v>0.65</v>
      </c>
      <c r="EM8" s="49">
        <v>0.25</v>
      </c>
      <c r="EN8" s="48">
        <v>0.88</v>
      </c>
      <c r="EO8" s="48">
        <v>0.88</v>
      </c>
      <c r="EP8" s="49">
        <v>-118.77800000000001</v>
      </c>
      <c r="EQ8" s="48">
        <v>-3.22</v>
      </c>
      <c r="ER8" s="48">
        <v>96.718000000000004</v>
      </c>
      <c r="ES8" s="49">
        <v>1.484</v>
      </c>
      <c r="ET8" s="49">
        <v>1.651</v>
      </c>
      <c r="EU8" s="48">
        <v>1.4370000000000001</v>
      </c>
      <c r="EV8" s="48">
        <v>7.7089999999999996</v>
      </c>
      <c r="EW8" s="48">
        <v>2.7080000000000002</v>
      </c>
      <c r="EX8" s="48">
        <v>72.06</v>
      </c>
      <c r="EY8" s="48">
        <v>0</v>
      </c>
      <c r="EZ8" s="49">
        <v>38.491999999999997</v>
      </c>
      <c r="FA8" s="49">
        <v>0</v>
      </c>
      <c r="FB8" s="48">
        <v>9.1359999999999992</v>
      </c>
      <c r="FC8" s="48">
        <v>65.677000000000007</v>
      </c>
      <c r="FD8" s="48">
        <v>64.867000000000004</v>
      </c>
      <c r="FE8" s="48">
        <v>80.852999999999994</v>
      </c>
      <c r="FF8" s="48">
        <v>77.066999999999993</v>
      </c>
      <c r="FG8" s="48">
        <v>0.871</v>
      </c>
      <c r="FH8" s="48">
        <v>0.871</v>
      </c>
      <c r="FI8" s="48">
        <v>0.95599999999999996</v>
      </c>
      <c r="FJ8" s="48">
        <v>0.95499999999999996</v>
      </c>
      <c r="FK8" s="48">
        <v>0</v>
      </c>
      <c r="FL8" s="48">
        <v>83</v>
      </c>
      <c r="FM8" s="48">
        <v>2.2000000000000002</v>
      </c>
      <c r="FN8" s="48">
        <v>0.95</v>
      </c>
      <c r="FO8" s="49">
        <v>5.36</v>
      </c>
      <c r="FP8" s="3"/>
      <c r="FQ8" s="48">
        <v>4.55</v>
      </c>
      <c r="FR8" s="49">
        <v>4.95</v>
      </c>
      <c r="FS8" s="48">
        <v>6.8505000000000003</v>
      </c>
      <c r="FT8" s="48">
        <v>1069.8</v>
      </c>
      <c r="FU8" s="48">
        <v>7.56</v>
      </c>
      <c r="FV8" s="48">
        <v>31.44</v>
      </c>
      <c r="FW8" s="48">
        <v>3156</v>
      </c>
      <c r="FX8" s="48">
        <v>162800</v>
      </c>
      <c r="FY8" s="48">
        <v>161000</v>
      </c>
      <c r="FZ8" s="48">
        <v>47.145000000000003</v>
      </c>
      <c r="GA8" s="48">
        <v>45.405999999999999</v>
      </c>
      <c r="GB8" s="48">
        <v>2149.6999999999998</v>
      </c>
      <c r="GC8" s="48">
        <v>2144.4</v>
      </c>
      <c r="GD8" s="48">
        <v>2206</v>
      </c>
      <c r="GE8" s="49">
        <v>2240.6</v>
      </c>
      <c r="GF8" s="49">
        <v>1352.5</v>
      </c>
      <c r="GG8" s="48">
        <v>28</v>
      </c>
      <c r="GH8" s="48">
        <v>28.3</v>
      </c>
      <c r="GI8" s="48">
        <v>47</v>
      </c>
      <c r="GJ8" s="48">
        <v>52.8</v>
      </c>
      <c r="GK8" s="48">
        <v>99.5</v>
      </c>
      <c r="GL8" s="48">
        <v>76.599999999999994</v>
      </c>
      <c r="GM8" s="49">
        <v>0</v>
      </c>
      <c r="GN8" s="49">
        <v>21.576000000000001</v>
      </c>
      <c r="GO8" s="49">
        <v>118.77800000000001</v>
      </c>
      <c r="GP8" s="48">
        <v>0.53100000000000003</v>
      </c>
      <c r="GQ8" s="48">
        <v>1.8879999999999999</v>
      </c>
      <c r="GR8" s="48">
        <v>1.0620000000000001</v>
      </c>
      <c r="GS8" s="48">
        <v>2.0649999999999999</v>
      </c>
      <c r="GT8" s="48">
        <v>0.59</v>
      </c>
      <c r="GU8" s="48">
        <v>1.8879999999999999</v>
      </c>
      <c r="GV8" s="48">
        <v>13.132</v>
      </c>
      <c r="GW8" s="49">
        <v>14.138</v>
      </c>
      <c r="GX8" s="48">
        <v>16.66</v>
      </c>
      <c r="GY8" s="49">
        <v>0</v>
      </c>
      <c r="GZ8" s="49">
        <v>0</v>
      </c>
      <c r="HA8" s="49">
        <v>0</v>
      </c>
      <c r="HB8" s="48">
        <v>0</v>
      </c>
      <c r="HC8" s="48">
        <v>23.89</v>
      </c>
      <c r="HD8" s="48">
        <v>90</v>
      </c>
      <c r="HE8" s="49">
        <v>0</v>
      </c>
      <c r="HF8" s="49">
        <v>0</v>
      </c>
      <c r="HG8" s="48">
        <v>72.73</v>
      </c>
      <c r="HH8" s="48">
        <v>82.83</v>
      </c>
      <c r="HI8" s="49">
        <v>0</v>
      </c>
      <c r="HJ8" s="49">
        <v>0</v>
      </c>
      <c r="HK8" s="49">
        <v>0</v>
      </c>
      <c r="HL8" s="49">
        <v>67</v>
      </c>
      <c r="HM8" s="49">
        <v>52</v>
      </c>
      <c r="HN8" s="48">
        <v>65</v>
      </c>
      <c r="HO8" s="48">
        <v>59</v>
      </c>
      <c r="HP8" s="48">
        <v>62</v>
      </c>
      <c r="HQ8" s="48">
        <v>60</v>
      </c>
      <c r="HR8" s="48">
        <v>50</v>
      </c>
      <c r="HS8" s="48">
        <v>62</v>
      </c>
      <c r="HT8" s="48">
        <v>0.1105</v>
      </c>
      <c r="HU8" s="49">
        <v>0</v>
      </c>
      <c r="HV8" s="49">
        <v>1.379</v>
      </c>
      <c r="HW8" s="49">
        <v>38.47</v>
      </c>
      <c r="HX8" s="49">
        <v>43.14</v>
      </c>
      <c r="HY8" s="49">
        <v>51.49</v>
      </c>
      <c r="HZ8" s="49">
        <v>51.49</v>
      </c>
      <c r="IA8" s="48">
        <v>2.5750000000000002</v>
      </c>
      <c r="IB8" s="49">
        <v>103</v>
      </c>
      <c r="IC8" s="49">
        <v>22.056999999999999</v>
      </c>
      <c r="ID8" s="48">
        <v>-0.124</v>
      </c>
      <c r="IE8" s="48">
        <v>3.7999999999999999E-2</v>
      </c>
      <c r="IF8" s="48">
        <v>893.6</v>
      </c>
      <c r="IG8" s="49">
        <v>797.2</v>
      </c>
      <c r="IH8" s="48">
        <v>933.8</v>
      </c>
      <c r="II8" s="49">
        <v>826.8</v>
      </c>
      <c r="IJ8" s="48">
        <v>-0.11600000000000001</v>
      </c>
      <c r="IK8" s="48">
        <v>-0.376</v>
      </c>
      <c r="IL8" s="48">
        <v>43.957999999999998</v>
      </c>
      <c r="IM8" s="48">
        <v>43.957999999999998</v>
      </c>
      <c r="IN8" s="48">
        <v>29.582000000000001</v>
      </c>
      <c r="IO8" s="49">
        <v>0.86199999999999999</v>
      </c>
      <c r="IP8" s="48">
        <v>14.84</v>
      </c>
      <c r="IQ8" s="49">
        <v>0.02</v>
      </c>
      <c r="IR8" s="48">
        <v>3.0000000000000001E-3</v>
      </c>
    </row>
    <row r="9" spans="2:252" x14ac:dyDescent="0.25">
      <c r="B9" s="2" t="s">
        <v>407</v>
      </c>
      <c r="C9" s="2" t="s">
        <v>43</v>
      </c>
      <c r="D9" s="57">
        <v>2.8918981481481482E-3</v>
      </c>
      <c r="E9" s="48">
        <v>249.86099999999999</v>
      </c>
      <c r="F9" s="48">
        <v>324.70999999999998</v>
      </c>
      <c r="G9" s="49">
        <v>5.92</v>
      </c>
      <c r="H9" s="49">
        <v>28.4</v>
      </c>
      <c r="I9" s="48">
        <v>0</v>
      </c>
      <c r="J9" s="48">
        <v>15.7</v>
      </c>
      <c r="K9" s="49">
        <v>6</v>
      </c>
      <c r="L9" s="49">
        <v>9</v>
      </c>
      <c r="M9" s="49">
        <v>8</v>
      </c>
      <c r="N9" s="49">
        <v>3</v>
      </c>
      <c r="O9" s="49">
        <v>3</v>
      </c>
      <c r="P9" s="48">
        <v>0.91900000000000004</v>
      </c>
      <c r="Q9" s="49">
        <v>1.472</v>
      </c>
      <c r="R9" s="48">
        <v>0.85799999999999998</v>
      </c>
      <c r="S9" s="48">
        <v>0.70799999999999996</v>
      </c>
      <c r="T9" s="49">
        <v>82.09</v>
      </c>
      <c r="U9" s="48">
        <v>60.417000000000002</v>
      </c>
      <c r="V9" s="48">
        <v>236.66</v>
      </c>
      <c r="W9" s="48">
        <v>276.66000000000003</v>
      </c>
      <c r="X9" s="48">
        <v>253.34</v>
      </c>
      <c r="Y9" s="48">
        <v>260</v>
      </c>
      <c r="Z9" s="49">
        <v>416.76</v>
      </c>
      <c r="AA9" s="49">
        <v>453.69</v>
      </c>
      <c r="AB9" s="49">
        <v>380.57</v>
      </c>
      <c r="AC9" s="49">
        <v>398.12</v>
      </c>
      <c r="AD9" s="49">
        <v>1.728</v>
      </c>
      <c r="AE9" s="49">
        <v>1.8029999999999999</v>
      </c>
      <c r="AF9" s="49">
        <v>1.8460000000000001</v>
      </c>
      <c r="AG9" s="49">
        <v>1.839</v>
      </c>
      <c r="AH9" s="49">
        <v>76.819999999999993</v>
      </c>
      <c r="AI9" s="49">
        <v>79.14</v>
      </c>
      <c r="AJ9" s="49">
        <v>104.87</v>
      </c>
      <c r="AK9" s="49">
        <v>99.89</v>
      </c>
      <c r="AL9" s="48">
        <v>635.17700000000002</v>
      </c>
      <c r="AM9" s="49">
        <v>655.35799999999995</v>
      </c>
      <c r="AN9" s="48">
        <v>750.73099999999999</v>
      </c>
      <c r="AO9" s="48">
        <v>724.80499999999995</v>
      </c>
      <c r="AP9" s="48">
        <v>2.4910000000000001</v>
      </c>
      <c r="AQ9" s="48">
        <v>1.849</v>
      </c>
      <c r="AR9" s="48">
        <v>40.720999999999997</v>
      </c>
      <c r="AS9" s="48">
        <v>36.984999999999999</v>
      </c>
      <c r="AT9" s="48">
        <v>82</v>
      </c>
      <c r="AU9" s="49">
        <v>109</v>
      </c>
      <c r="AV9" s="48">
        <v>3.3780000000000001</v>
      </c>
      <c r="AW9" s="48">
        <v>5.6974999999999998</v>
      </c>
      <c r="AX9" s="48">
        <v>994</v>
      </c>
      <c r="AY9" s="48">
        <v>0.92</v>
      </c>
      <c r="AZ9" s="48">
        <v>5.7</v>
      </c>
      <c r="BA9" s="48">
        <v>76.400000000000006</v>
      </c>
      <c r="BB9" s="48">
        <v>76.218000000000004</v>
      </c>
      <c r="BC9" s="48">
        <v>7775</v>
      </c>
      <c r="BD9" s="48">
        <v>89.25</v>
      </c>
      <c r="BE9" s="49">
        <v>23.704999999999998</v>
      </c>
      <c r="BF9" s="48">
        <v>11.865</v>
      </c>
      <c r="BG9" s="49">
        <v>31.38</v>
      </c>
      <c r="BH9" s="49">
        <v>30.6</v>
      </c>
      <c r="BI9" s="49">
        <v>66.905000000000001</v>
      </c>
      <c r="BJ9" s="49">
        <v>77.838999999999999</v>
      </c>
      <c r="BK9" s="49">
        <v>65.748999999999995</v>
      </c>
      <c r="BL9" s="49">
        <v>76.111000000000004</v>
      </c>
      <c r="BM9" s="49">
        <v>76.070999999999998</v>
      </c>
      <c r="BN9" s="48">
        <v>107.304</v>
      </c>
      <c r="BO9" s="48">
        <v>114.04</v>
      </c>
      <c r="BP9" s="49">
        <v>152.76</v>
      </c>
      <c r="BQ9" s="49">
        <v>151.352</v>
      </c>
      <c r="BR9" s="49">
        <v>60.031999999999996</v>
      </c>
      <c r="BS9" s="49">
        <v>28.1</v>
      </c>
      <c r="BT9" s="49">
        <v>7486.527</v>
      </c>
      <c r="BU9" s="48">
        <v>81.2</v>
      </c>
      <c r="BV9" s="48">
        <v>61.93</v>
      </c>
      <c r="BW9" s="48">
        <v>61.838999999999999</v>
      </c>
      <c r="BX9" s="49">
        <v>66.028999999999996</v>
      </c>
      <c r="BY9" s="48">
        <v>1.4119999999999999</v>
      </c>
      <c r="BZ9" s="49">
        <v>3.0779999999999998</v>
      </c>
      <c r="CA9" s="48">
        <v>2.7959999999999998</v>
      </c>
      <c r="CB9" s="49">
        <v>3.1850000000000001</v>
      </c>
      <c r="CC9" s="48">
        <v>5.6779999999999999</v>
      </c>
      <c r="CD9" s="48">
        <v>2.3639999999999999</v>
      </c>
      <c r="CE9" s="48">
        <v>3.6789999999999998</v>
      </c>
      <c r="CF9" s="48">
        <v>2.1179999999999999</v>
      </c>
      <c r="CG9" s="49">
        <v>13.872</v>
      </c>
      <c r="CH9" s="48">
        <v>13.365</v>
      </c>
      <c r="CI9" s="3"/>
      <c r="CJ9" s="3"/>
      <c r="CK9" s="3"/>
      <c r="CL9" s="49">
        <v>0.1</v>
      </c>
      <c r="CM9" s="48">
        <v>0.1</v>
      </c>
      <c r="CN9" s="49">
        <v>0</v>
      </c>
      <c r="CO9" s="49">
        <v>0</v>
      </c>
      <c r="CP9" s="48">
        <v>91.334999999999994</v>
      </c>
      <c r="CQ9" s="48">
        <v>95.620999999999995</v>
      </c>
      <c r="CR9" s="49">
        <v>134.202</v>
      </c>
      <c r="CS9" s="49">
        <v>135.00200000000001</v>
      </c>
      <c r="CT9" s="48">
        <v>0.33</v>
      </c>
      <c r="CU9" s="49">
        <v>1.2</v>
      </c>
      <c r="CV9" s="48">
        <v>0.69799999999999995</v>
      </c>
      <c r="CW9" s="48">
        <v>0.60199999999999998</v>
      </c>
      <c r="CX9" s="48">
        <v>0.8</v>
      </c>
      <c r="CY9" s="48">
        <v>0.8</v>
      </c>
      <c r="CZ9" s="48">
        <v>0.60399999999999998</v>
      </c>
      <c r="DA9" s="48">
        <v>0.60099999999999998</v>
      </c>
      <c r="DB9" s="49">
        <v>1.603</v>
      </c>
      <c r="DC9" s="49">
        <v>0</v>
      </c>
      <c r="DD9" s="49">
        <v>0</v>
      </c>
      <c r="DE9" s="48">
        <v>0.27700000000000002</v>
      </c>
      <c r="DF9" s="48">
        <v>0.126</v>
      </c>
      <c r="DG9" s="48">
        <v>0.28299999999999997</v>
      </c>
      <c r="DH9" s="49">
        <v>1.7809999999999999</v>
      </c>
      <c r="DI9" s="49">
        <v>0.97499999999999998</v>
      </c>
      <c r="DJ9" s="49">
        <v>0.3</v>
      </c>
      <c r="DK9" s="48">
        <v>0.97899999999999998</v>
      </c>
      <c r="DL9" s="48">
        <v>0.60799999999999998</v>
      </c>
      <c r="DM9" s="48">
        <v>0.754</v>
      </c>
      <c r="DN9" s="48">
        <v>0.73199999999999998</v>
      </c>
      <c r="DO9" s="48">
        <v>0.69599999999999995</v>
      </c>
      <c r="DP9" s="49">
        <v>69.238</v>
      </c>
      <c r="DQ9" s="48">
        <v>57.798999999999999</v>
      </c>
      <c r="DR9" s="48">
        <v>54.817999999999998</v>
      </c>
      <c r="DS9" s="48">
        <v>48.534999999999997</v>
      </c>
      <c r="DT9" s="48">
        <v>4.57</v>
      </c>
      <c r="DU9" s="48">
        <v>5.77</v>
      </c>
      <c r="DV9" s="48">
        <v>10.45</v>
      </c>
      <c r="DW9" s="48">
        <v>8.02</v>
      </c>
      <c r="DX9" s="48">
        <v>4.99</v>
      </c>
      <c r="DY9" s="48">
        <v>5.95</v>
      </c>
      <c r="DZ9" s="48">
        <v>10.11</v>
      </c>
      <c r="EA9" s="48">
        <v>7.99</v>
      </c>
      <c r="EB9" s="49">
        <v>42.75</v>
      </c>
      <c r="EC9" s="49">
        <v>41.83</v>
      </c>
      <c r="ED9" s="49">
        <v>34.58</v>
      </c>
      <c r="EE9" s="49">
        <v>36.909999999999997</v>
      </c>
      <c r="EF9" s="48">
        <v>47.68</v>
      </c>
      <c r="EG9" s="48">
        <v>46.44</v>
      </c>
      <c r="EH9" s="48">
        <v>44.86</v>
      </c>
      <c r="EI9" s="48">
        <v>47.07</v>
      </c>
      <c r="EJ9" s="49">
        <v>7.42</v>
      </c>
      <c r="EK9" s="49">
        <v>60.404000000000003</v>
      </c>
      <c r="EL9" s="48">
        <v>0.65</v>
      </c>
      <c r="EM9" s="49">
        <v>0.25</v>
      </c>
      <c r="EN9" s="48">
        <v>0.92</v>
      </c>
      <c r="EO9" s="48">
        <v>0.9</v>
      </c>
      <c r="EP9" s="48">
        <v>-118.486</v>
      </c>
      <c r="EQ9" s="48">
        <v>-2.202</v>
      </c>
      <c r="ER9" s="48">
        <v>96.718000000000004</v>
      </c>
      <c r="ES9" s="48">
        <v>1.4810000000000001</v>
      </c>
      <c r="ET9" s="48">
        <v>1.6259999999999999</v>
      </c>
      <c r="EU9" s="49">
        <v>1.4510000000000001</v>
      </c>
      <c r="EV9" s="49">
        <v>8.0980000000000008</v>
      </c>
      <c r="EW9" s="48">
        <v>2.8359999999999999</v>
      </c>
      <c r="EX9" s="49">
        <v>72.16</v>
      </c>
      <c r="EY9" s="48">
        <v>0.12</v>
      </c>
      <c r="EZ9" s="48">
        <v>0.107</v>
      </c>
      <c r="FA9" s="49">
        <v>0</v>
      </c>
      <c r="FB9" s="49">
        <v>9.19</v>
      </c>
      <c r="FC9" s="49">
        <v>67.373999999999995</v>
      </c>
      <c r="FD9" s="49">
        <v>66.8</v>
      </c>
      <c r="FE9" s="49">
        <v>83.727000000000004</v>
      </c>
      <c r="FF9" s="49">
        <v>79.935000000000002</v>
      </c>
      <c r="FG9" s="48">
        <v>0.89500000000000002</v>
      </c>
      <c r="FH9" s="48">
        <v>0.876</v>
      </c>
      <c r="FI9" s="48">
        <v>0.96199999999999997</v>
      </c>
      <c r="FJ9" s="48">
        <v>0.96099999999999997</v>
      </c>
      <c r="FK9" s="48">
        <v>0</v>
      </c>
      <c r="FL9" s="48">
        <v>83</v>
      </c>
      <c r="FM9" s="48">
        <v>2.23</v>
      </c>
      <c r="FN9" s="49">
        <v>0.52</v>
      </c>
      <c r="FO9" s="48">
        <v>5.55</v>
      </c>
      <c r="FP9" s="49">
        <v>3.9</v>
      </c>
      <c r="FQ9" s="48">
        <v>4.45</v>
      </c>
      <c r="FR9" s="49">
        <v>4.95</v>
      </c>
      <c r="FS9" s="48">
        <v>6.9355000000000002</v>
      </c>
      <c r="FT9" s="48">
        <v>1066.2</v>
      </c>
      <c r="FU9" s="49">
        <v>7.63</v>
      </c>
      <c r="FV9" s="49">
        <v>37.36</v>
      </c>
      <c r="FW9" s="49">
        <v>3309.5</v>
      </c>
      <c r="FX9" s="49">
        <v>163100</v>
      </c>
      <c r="FY9" s="48">
        <v>163700</v>
      </c>
      <c r="FZ9" s="48">
        <v>47.308</v>
      </c>
      <c r="GA9" s="48">
        <v>45.496000000000002</v>
      </c>
      <c r="GB9" s="49">
        <v>2207</v>
      </c>
      <c r="GC9" s="49">
        <v>2156.6</v>
      </c>
      <c r="GD9" s="49">
        <v>2207</v>
      </c>
      <c r="GE9" s="48">
        <v>2178.1</v>
      </c>
      <c r="GF9" s="48">
        <v>1271.1094000000001</v>
      </c>
      <c r="GG9" s="49">
        <v>29</v>
      </c>
      <c r="GH9" s="49">
        <v>29.1</v>
      </c>
      <c r="GI9" s="48">
        <v>46.8</v>
      </c>
      <c r="GJ9" s="48">
        <v>52.6</v>
      </c>
      <c r="GK9" s="48">
        <v>99.5</v>
      </c>
      <c r="GL9" s="48">
        <v>76.3</v>
      </c>
      <c r="GM9" s="49">
        <v>0</v>
      </c>
      <c r="GN9" s="48">
        <v>20.884</v>
      </c>
      <c r="GO9" s="48">
        <v>118.486</v>
      </c>
      <c r="GP9" s="49">
        <v>0</v>
      </c>
      <c r="GQ9" s="48">
        <v>1.8879999999999999</v>
      </c>
      <c r="GR9" s="49">
        <v>0</v>
      </c>
      <c r="GS9" s="48">
        <v>2.0059999999999998</v>
      </c>
      <c r="GT9" s="49">
        <v>0</v>
      </c>
      <c r="GU9" s="48">
        <v>1.8879999999999999</v>
      </c>
      <c r="GV9" s="49">
        <v>0</v>
      </c>
      <c r="GW9" s="48">
        <v>14.065</v>
      </c>
      <c r="GX9" s="48">
        <v>16.66</v>
      </c>
      <c r="GY9" s="49">
        <v>0</v>
      </c>
      <c r="GZ9" s="49">
        <v>0</v>
      </c>
      <c r="HA9" s="49">
        <v>0</v>
      </c>
      <c r="HB9" s="49">
        <v>1</v>
      </c>
      <c r="HC9" s="48">
        <v>24.068000000000001</v>
      </c>
      <c r="HD9" s="48">
        <v>94</v>
      </c>
      <c r="HE9" s="49">
        <v>0</v>
      </c>
      <c r="HF9" s="49">
        <v>0</v>
      </c>
      <c r="HG9" s="48">
        <v>72.14</v>
      </c>
      <c r="HH9" s="49">
        <v>82.94</v>
      </c>
      <c r="HI9" s="49">
        <v>0</v>
      </c>
      <c r="HJ9" s="49">
        <v>0</v>
      </c>
      <c r="HK9" s="49">
        <v>0</v>
      </c>
      <c r="HL9" s="49">
        <v>67</v>
      </c>
      <c r="HM9" s="49">
        <v>52</v>
      </c>
      <c r="HN9" s="49">
        <v>66</v>
      </c>
      <c r="HO9" s="49">
        <v>60</v>
      </c>
      <c r="HP9" s="49">
        <v>64</v>
      </c>
      <c r="HQ9" s="49">
        <v>61</v>
      </c>
      <c r="HR9" s="49">
        <v>51</v>
      </c>
      <c r="HS9" s="49">
        <v>70</v>
      </c>
      <c r="HT9" s="49">
        <v>9.7000000000000003E-2</v>
      </c>
      <c r="HU9" s="49">
        <v>0</v>
      </c>
      <c r="HV9" s="48">
        <v>1.2430000000000001</v>
      </c>
      <c r="HW9" s="48">
        <v>42.26</v>
      </c>
      <c r="HX9" s="49">
        <v>43.14</v>
      </c>
      <c r="HY9" s="3"/>
      <c r="HZ9" s="3"/>
      <c r="IA9" s="49">
        <v>2.7469999999999999</v>
      </c>
      <c r="IB9" s="49">
        <v>103</v>
      </c>
      <c r="IC9" s="48">
        <v>21.959</v>
      </c>
      <c r="ID9" s="48">
        <v>-9.9000000000000005E-2</v>
      </c>
      <c r="IE9" s="49">
        <v>5.1999999999999998E-2</v>
      </c>
      <c r="IF9" s="49">
        <v>927.6</v>
      </c>
      <c r="IG9" s="48">
        <v>784.5</v>
      </c>
      <c r="IH9" s="49">
        <v>960.1</v>
      </c>
      <c r="II9" s="48">
        <v>816.7</v>
      </c>
      <c r="IJ9" s="48">
        <v>-8.1000000000000003E-2</v>
      </c>
      <c r="IK9" s="48">
        <v>-0.30399999999999999</v>
      </c>
      <c r="IL9" s="48">
        <v>54.37</v>
      </c>
      <c r="IM9" s="48">
        <v>54.37</v>
      </c>
      <c r="IN9" s="48">
        <v>32.173000000000002</v>
      </c>
      <c r="IO9" s="48">
        <v>0.78400000000000003</v>
      </c>
      <c r="IP9" s="48">
        <v>15.01</v>
      </c>
      <c r="IQ9" s="48">
        <v>0</v>
      </c>
      <c r="IR9" s="48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DE99-D5B3-4EAF-AF55-1C44EEABED8C}">
  <sheetPr codeName="Sheet5"/>
  <dimension ref="B1:IR7"/>
  <sheetViews>
    <sheetView zoomScale="70" zoomScaleNormal="70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414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2.3668055555555557E-2</v>
      </c>
      <c r="E7" s="49">
        <v>2044.9169999999999</v>
      </c>
      <c r="F7" s="49">
        <v>327.04000000000002</v>
      </c>
      <c r="G7" s="49">
        <v>5.59</v>
      </c>
      <c r="H7" s="49">
        <v>28.4</v>
      </c>
      <c r="I7" s="49">
        <v>0</v>
      </c>
      <c r="J7" s="49">
        <v>1787.6</v>
      </c>
      <c r="K7" s="49">
        <v>6</v>
      </c>
      <c r="L7" s="49">
        <v>9</v>
      </c>
      <c r="M7" s="49">
        <v>8</v>
      </c>
      <c r="N7" s="49">
        <v>3</v>
      </c>
      <c r="O7" s="49">
        <v>3</v>
      </c>
      <c r="P7" s="49">
        <v>1.0329999999999999</v>
      </c>
      <c r="Q7" s="49">
        <v>1.3129999999999999</v>
      </c>
      <c r="R7" s="49">
        <v>1.278</v>
      </c>
      <c r="S7" s="49">
        <v>1.046</v>
      </c>
      <c r="T7" s="49">
        <v>59.88</v>
      </c>
      <c r="U7" s="49">
        <v>59.613999999999997</v>
      </c>
      <c r="V7" s="49">
        <v>70</v>
      </c>
      <c r="W7" s="49">
        <v>40</v>
      </c>
      <c r="X7" s="49">
        <v>50</v>
      </c>
      <c r="Y7" s="49">
        <v>40</v>
      </c>
      <c r="Z7" s="49">
        <v>241.23</v>
      </c>
      <c r="AA7" s="49">
        <v>266.07</v>
      </c>
      <c r="AB7" s="49">
        <v>272.83</v>
      </c>
      <c r="AC7" s="49">
        <v>258.99</v>
      </c>
      <c r="AD7" s="49">
        <v>1.7949999999999999</v>
      </c>
      <c r="AE7" s="49">
        <v>1.875</v>
      </c>
      <c r="AF7" s="49">
        <v>1.8009999999999999</v>
      </c>
      <c r="AG7" s="49">
        <v>1.82</v>
      </c>
      <c r="AH7" s="49">
        <v>75.77</v>
      </c>
      <c r="AI7" s="49">
        <v>75.180000000000007</v>
      </c>
      <c r="AJ7" s="49">
        <v>90.35</v>
      </c>
      <c r="AK7" s="49">
        <v>88.18</v>
      </c>
      <c r="AL7" s="49">
        <v>612.82399999999996</v>
      </c>
      <c r="AM7" s="49">
        <v>629.62099999999998</v>
      </c>
      <c r="AN7" s="49">
        <v>719.45</v>
      </c>
      <c r="AO7" s="49">
        <v>736.35799999999995</v>
      </c>
      <c r="AP7" s="49">
        <v>2.4870000000000001</v>
      </c>
      <c r="AQ7" s="49">
        <v>1.853</v>
      </c>
      <c r="AR7" s="49">
        <v>44.523000000000003</v>
      </c>
      <c r="AS7" s="49">
        <v>36.658000000000001</v>
      </c>
      <c r="AT7" s="49">
        <v>83</v>
      </c>
      <c r="AU7" s="49">
        <v>98</v>
      </c>
      <c r="AV7" s="49">
        <v>3.1539999999999999</v>
      </c>
      <c r="AW7" s="49">
        <v>5.5368000000000004</v>
      </c>
      <c r="AX7" s="49">
        <v>990.9</v>
      </c>
      <c r="AY7" s="49">
        <v>0.97</v>
      </c>
      <c r="AZ7" s="49">
        <v>4.92</v>
      </c>
      <c r="BA7" s="49">
        <v>69.302999999999997</v>
      </c>
      <c r="BB7" s="49">
        <v>69.3</v>
      </c>
      <c r="BC7" s="49">
        <v>7727</v>
      </c>
      <c r="BD7" s="49">
        <v>89.25</v>
      </c>
      <c r="BE7" s="49">
        <v>21.53</v>
      </c>
      <c r="BF7" s="49">
        <v>12.055</v>
      </c>
      <c r="BG7" s="49">
        <v>24.55</v>
      </c>
      <c r="BH7" s="49">
        <v>25.6</v>
      </c>
      <c r="BI7" s="49">
        <v>66.787000000000006</v>
      </c>
      <c r="BJ7" s="49">
        <v>78.474999999999994</v>
      </c>
      <c r="BK7" s="49">
        <v>65.551000000000002</v>
      </c>
      <c r="BL7" s="49">
        <v>77.022999999999996</v>
      </c>
      <c r="BM7" s="49">
        <v>76.19</v>
      </c>
      <c r="BN7" s="49">
        <v>847.27200000000005</v>
      </c>
      <c r="BO7" s="49">
        <v>847.27200000000005</v>
      </c>
      <c r="BP7" s="49">
        <v>133.22399999999999</v>
      </c>
      <c r="BQ7" s="49">
        <v>126.52</v>
      </c>
      <c r="BR7" s="49">
        <v>59.744999999999997</v>
      </c>
      <c r="BS7" s="49">
        <v>28</v>
      </c>
      <c r="BT7" s="49">
        <v>7127.2849999999999</v>
      </c>
      <c r="BU7" s="49">
        <v>82.912999999999997</v>
      </c>
      <c r="BV7" s="49">
        <v>64.622</v>
      </c>
      <c r="BW7" s="49">
        <v>67.254000000000005</v>
      </c>
      <c r="BX7" s="49">
        <v>63.43</v>
      </c>
      <c r="BY7" s="49">
        <v>1.472</v>
      </c>
      <c r="BZ7" s="49">
        <v>2.2050000000000001</v>
      </c>
      <c r="CA7" s="49">
        <v>2.827</v>
      </c>
      <c r="CB7" s="49">
        <v>2.9489999999999998</v>
      </c>
      <c r="CC7" s="49">
        <v>5.8579999999999997</v>
      </c>
      <c r="CD7" s="49">
        <v>2.492</v>
      </c>
      <c r="CE7" s="49">
        <v>3.7959999999999998</v>
      </c>
      <c r="CF7" s="49">
        <v>2.1949999999999998</v>
      </c>
      <c r="CG7" s="49">
        <v>13.728</v>
      </c>
      <c r="CH7" s="49">
        <v>9.9079999999999995</v>
      </c>
      <c r="CI7" s="3"/>
      <c r="CJ7" s="3"/>
      <c r="CK7" s="3"/>
      <c r="CL7" s="49">
        <v>0</v>
      </c>
      <c r="CM7" s="49">
        <v>0</v>
      </c>
      <c r="CN7" s="49">
        <v>0</v>
      </c>
      <c r="CO7" s="49">
        <v>0</v>
      </c>
      <c r="CP7" s="49">
        <v>52.613</v>
      </c>
      <c r="CQ7" s="49">
        <v>748.36500000000001</v>
      </c>
      <c r="CR7" s="49">
        <v>93.802000000000007</v>
      </c>
      <c r="CS7" s="49">
        <v>90.278000000000006</v>
      </c>
      <c r="CT7" s="49">
        <v>0.53300000000000003</v>
      </c>
      <c r="CU7" s="49">
        <v>0.89400000000000002</v>
      </c>
      <c r="CV7" s="49">
        <v>1.0980000000000001</v>
      </c>
      <c r="CW7" s="49">
        <v>0.89900000000000002</v>
      </c>
      <c r="CX7" s="49">
        <v>0.999</v>
      </c>
      <c r="CY7" s="49">
        <v>0.80100000000000005</v>
      </c>
      <c r="CZ7" s="49">
        <v>1.298</v>
      </c>
      <c r="DA7" s="49">
        <v>0.79900000000000004</v>
      </c>
      <c r="DB7" s="49">
        <v>2.4969999999999999</v>
      </c>
      <c r="DC7" s="49">
        <v>6.0000000000000001E-3</v>
      </c>
      <c r="DD7" s="49">
        <v>0</v>
      </c>
      <c r="DE7" s="49">
        <v>0.314</v>
      </c>
      <c r="DF7" s="49">
        <v>0.22</v>
      </c>
      <c r="DG7" s="49">
        <v>0.214</v>
      </c>
      <c r="DH7" s="49">
        <v>1.9730000000000001</v>
      </c>
      <c r="DI7" s="49">
        <v>1.087</v>
      </c>
      <c r="DJ7" s="49">
        <v>0.23799999999999999</v>
      </c>
      <c r="DK7" s="49">
        <v>1.097</v>
      </c>
      <c r="DL7" s="49">
        <v>0.61099999999999999</v>
      </c>
      <c r="DM7" s="49">
        <v>0.77200000000000002</v>
      </c>
      <c r="DN7" s="49">
        <v>0.75900000000000001</v>
      </c>
      <c r="DO7" s="49">
        <v>0.70499999999999996</v>
      </c>
      <c r="DP7" s="49">
        <v>66.343999999999994</v>
      </c>
      <c r="DQ7" s="49">
        <v>58.656999999999996</v>
      </c>
      <c r="DR7" s="49">
        <v>55.45</v>
      </c>
      <c r="DS7" s="49">
        <v>49.04</v>
      </c>
      <c r="DT7" s="49">
        <v>0.55000000000000004</v>
      </c>
      <c r="DU7" s="49">
        <v>0.64</v>
      </c>
      <c r="DV7" s="49">
        <v>1.23</v>
      </c>
      <c r="DW7" s="49">
        <v>1</v>
      </c>
      <c r="DX7" s="49">
        <v>0.56000000000000005</v>
      </c>
      <c r="DY7" s="49">
        <v>0.62</v>
      </c>
      <c r="DZ7" s="49">
        <v>1.1599999999999999</v>
      </c>
      <c r="EA7" s="49">
        <v>0.93</v>
      </c>
      <c r="EB7" s="49">
        <v>5.75</v>
      </c>
      <c r="EC7" s="49">
        <v>5.47</v>
      </c>
      <c r="ED7" s="49">
        <v>4.62</v>
      </c>
      <c r="EE7" s="49">
        <v>4.72</v>
      </c>
      <c r="EF7" s="49">
        <v>93.14</v>
      </c>
      <c r="EG7" s="49">
        <v>93.26</v>
      </c>
      <c r="EH7" s="49">
        <v>92.99</v>
      </c>
      <c r="EI7" s="49">
        <v>93.36</v>
      </c>
      <c r="EJ7" s="49">
        <v>6.4539999999999997</v>
      </c>
      <c r="EK7" s="49">
        <v>57.728999999999999</v>
      </c>
      <c r="EL7" s="49">
        <v>0.65</v>
      </c>
      <c r="EM7" s="49">
        <v>0.3</v>
      </c>
      <c r="EN7" s="49">
        <v>0.94</v>
      </c>
      <c r="EO7" s="49">
        <v>0.93</v>
      </c>
      <c r="EP7" s="49">
        <v>-81.11</v>
      </c>
      <c r="EQ7" s="49">
        <v>-1.3049999999999999</v>
      </c>
      <c r="ER7" s="49">
        <v>91.462000000000003</v>
      </c>
      <c r="ES7" s="49">
        <v>1.373</v>
      </c>
      <c r="ET7" s="49">
        <v>1.4970000000000001</v>
      </c>
      <c r="EU7" s="49">
        <v>1.349</v>
      </c>
      <c r="EV7" s="49">
        <v>7.0990000000000002</v>
      </c>
      <c r="EW7" s="49">
        <v>11.099</v>
      </c>
      <c r="EX7" s="49">
        <v>65.180000000000007</v>
      </c>
      <c r="EY7" s="49">
        <v>0</v>
      </c>
      <c r="EZ7" s="49">
        <v>0</v>
      </c>
      <c r="FA7" s="49">
        <v>0</v>
      </c>
      <c r="FB7" s="49">
        <v>8.2040000000000006</v>
      </c>
      <c r="FC7" s="49">
        <v>78.337000000000003</v>
      </c>
      <c r="FD7" s="49">
        <v>79.212999999999994</v>
      </c>
      <c r="FE7" s="49">
        <v>90.873999999999995</v>
      </c>
      <c r="FF7" s="49">
        <v>88.275999999999996</v>
      </c>
      <c r="FG7" s="49">
        <v>0.92400000000000004</v>
      </c>
      <c r="FH7" s="49">
        <v>0.91</v>
      </c>
      <c r="FI7" s="49">
        <v>0.97799999999999998</v>
      </c>
      <c r="FJ7" s="49">
        <v>0.97499999999999998</v>
      </c>
      <c r="FK7" s="49">
        <v>0.501</v>
      </c>
      <c r="FL7" s="49">
        <v>83</v>
      </c>
      <c r="FM7" s="49">
        <v>2.2000000000000002</v>
      </c>
      <c r="FN7" s="49">
        <v>0.45</v>
      </c>
      <c r="FO7" s="49">
        <v>4.92</v>
      </c>
      <c r="FP7" s="49">
        <v>0.7</v>
      </c>
      <c r="FQ7" s="49">
        <v>4.4000000000000004</v>
      </c>
      <c r="FR7" s="49">
        <v>5.2</v>
      </c>
      <c r="FS7" s="49">
        <v>6.9790000000000001</v>
      </c>
      <c r="FT7" s="49">
        <v>1063.0999999999999</v>
      </c>
      <c r="FU7" s="49">
        <v>4.29</v>
      </c>
      <c r="FV7" s="49">
        <v>42.95</v>
      </c>
      <c r="FW7" s="49">
        <v>3149.5</v>
      </c>
      <c r="FX7" s="49">
        <v>163400</v>
      </c>
      <c r="FY7" s="49">
        <v>164600</v>
      </c>
      <c r="FZ7" s="49">
        <v>48.604999999999997</v>
      </c>
      <c r="GA7" s="49">
        <v>46.073</v>
      </c>
      <c r="GB7" s="49">
        <v>2171.9</v>
      </c>
      <c r="GC7" s="49">
        <v>2155</v>
      </c>
      <c r="GD7" s="49">
        <v>2243.6999999999998</v>
      </c>
      <c r="GE7" s="49">
        <v>2236.5</v>
      </c>
      <c r="GF7" s="49">
        <v>1588.6405999999999</v>
      </c>
      <c r="GG7" s="49">
        <v>37</v>
      </c>
      <c r="GH7" s="49">
        <v>36.5</v>
      </c>
      <c r="GI7" s="49">
        <v>80.599999999999994</v>
      </c>
      <c r="GJ7" s="49">
        <v>82.2</v>
      </c>
      <c r="GK7" s="49">
        <v>96.5</v>
      </c>
      <c r="GL7" s="49">
        <v>79.5</v>
      </c>
      <c r="GM7" s="49">
        <v>0</v>
      </c>
      <c r="GN7" s="49">
        <v>23.811</v>
      </c>
      <c r="GO7" s="49">
        <v>91.462000000000003</v>
      </c>
      <c r="GP7" s="49">
        <v>0</v>
      </c>
      <c r="GQ7" s="49">
        <v>4.72</v>
      </c>
      <c r="GR7" s="49">
        <v>0</v>
      </c>
      <c r="GS7" s="49">
        <v>4.8380000000000001</v>
      </c>
      <c r="GT7" s="49">
        <v>0</v>
      </c>
      <c r="GU7" s="49">
        <v>4.9560000000000004</v>
      </c>
      <c r="GV7" s="49">
        <v>0</v>
      </c>
      <c r="GW7" s="49">
        <v>12.904</v>
      </c>
      <c r="GX7" s="49">
        <v>24.99</v>
      </c>
      <c r="GY7" s="49">
        <v>0</v>
      </c>
      <c r="GZ7" s="49">
        <v>0</v>
      </c>
      <c r="HA7" s="49">
        <v>0</v>
      </c>
      <c r="HB7" s="49">
        <v>1</v>
      </c>
      <c r="HC7" s="49">
        <v>25.536999999999999</v>
      </c>
      <c r="HD7" s="49">
        <v>90</v>
      </c>
      <c r="HE7" s="49">
        <v>0</v>
      </c>
      <c r="HF7" s="49">
        <v>0</v>
      </c>
      <c r="HG7" s="49">
        <v>76.31</v>
      </c>
      <c r="HH7" s="49">
        <v>80.64</v>
      </c>
      <c r="HI7" s="49">
        <v>0</v>
      </c>
      <c r="HJ7" s="49">
        <v>0</v>
      </c>
      <c r="HK7" s="49">
        <v>0</v>
      </c>
      <c r="HL7" s="49">
        <v>64</v>
      </c>
      <c r="HM7" s="49">
        <v>58</v>
      </c>
      <c r="HN7" s="49">
        <v>67</v>
      </c>
      <c r="HO7" s="49">
        <v>60</v>
      </c>
      <c r="HP7" s="49">
        <v>63</v>
      </c>
      <c r="HQ7" s="49">
        <v>60</v>
      </c>
      <c r="HR7" s="49">
        <v>53</v>
      </c>
      <c r="HS7" s="49">
        <v>62</v>
      </c>
      <c r="HT7" s="49">
        <v>0.1065</v>
      </c>
      <c r="HU7" s="49">
        <v>0</v>
      </c>
      <c r="HV7" s="49">
        <v>1.091</v>
      </c>
      <c r="HW7" s="49">
        <v>62.5</v>
      </c>
      <c r="HX7" s="49">
        <v>65.31</v>
      </c>
      <c r="HY7" s="3"/>
      <c r="HZ7" s="3"/>
      <c r="IA7" s="49">
        <v>2.64</v>
      </c>
      <c r="IB7" s="49">
        <v>95</v>
      </c>
      <c r="IC7" s="49">
        <v>16.178000000000001</v>
      </c>
      <c r="ID7" s="49">
        <v>-8.0000000000000002E-3</v>
      </c>
      <c r="IE7" s="49">
        <v>1.2999999999999999E-2</v>
      </c>
      <c r="IF7" s="49">
        <v>911.7</v>
      </c>
      <c r="IG7" s="49">
        <v>666.7</v>
      </c>
      <c r="IH7" s="49">
        <v>964</v>
      </c>
      <c r="II7" s="49">
        <v>696.6</v>
      </c>
      <c r="IJ7" s="49">
        <v>2.3E-2</v>
      </c>
      <c r="IK7" s="49">
        <v>-3.0000000000000001E-3</v>
      </c>
      <c r="IL7" s="49">
        <v>1849.306</v>
      </c>
      <c r="IM7" s="49">
        <v>1849.306</v>
      </c>
      <c r="IN7" s="49">
        <v>29.908999999999999</v>
      </c>
      <c r="IO7" s="49">
        <v>0.24299999999999999</v>
      </c>
      <c r="IP7" s="49">
        <v>14.47</v>
      </c>
      <c r="IQ7" s="49">
        <v>0</v>
      </c>
      <c r="IR7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72D-9A0C-484F-8EE6-BEEA190B0218}">
  <sheetPr codeName="Sheet18"/>
  <dimension ref="B1:IR8"/>
  <sheetViews>
    <sheetView zoomScale="70" zoomScaleNormal="70" workbookViewId="0">
      <selection activeCell="D8" sqref="D8"/>
    </sheetView>
  </sheetViews>
  <sheetFormatPr defaultRowHeight="15" x14ac:dyDescent="0.25"/>
  <cols>
    <col min="4" max="4" width="10.140625" bestFit="1" customWidth="1"/>
  </cols>
  <sheetData>
    <row r="1" spans="2:252" x14ac:dyDescent="0.25">
      <c r="B1" t="s">
        <v>356</v>
      </c>
      <c r="C1" t="s">
        <v>408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2.9094907407407407E-3</v>
      </c>
      <c r="E7" s="49">
        <v>251.37899999999999</v>
      </c>
      <c r="F7" s="48">
        <v>331.32</v>
      </c>
      <c r="G7" s="49">
        <v>5.82</v>
      </c>
      <c r="H7" s="48">
        <v>29.2</v>
      </c>
      <c r="I7" s="49">
        <v>0</v>
      </c>
      <c r="J7" s="49">
        <v>12</v>
      </c>
      <c r="K7" s="49">
        <v>6</v>
      </c>
      <c r="L7" s="49">
        <v>9</v>
      </c>
      <c r="M7" s="49">
        <v>4</v>
      </c>
      <c r="N7" s="49">
        <v>3</v>
      </c>
      <c r="O7" s="49">
        <v>3</v>
      </c>
      <c r="P7" s="48">
        <v>0.84299999999999997</v>
      </c>
      <c r="Q7" s="48">
        <v>1.196</v>
      </c>
      <c r="R7" s="48">
        <v>1.1040000000000001</v>
      </c>
      <c r="S7" s="48">
        <v>0.82099999999999995</v>
      </c>
      <c r="T7" s="48">
        <v>53.06</v>
      </c>
      <c r="U7" s="49">
        <v>61.243000000000002</v>
      </c>
      <c r="V7" s="49">
        <v>187.5</v>
      </c>
      <c r="W7" s="49">
        <v>201.66</v>
      </c>
      <c r="X7" s="49">
        <v>211.66</v>
      </c>
      <c r="Y7" s="49">
        <v>203.34</v>
      </c>
      <c r="Z7" s="48">
        <v>353.36</v>
      </c>
      <c r="AA7" s="48">
        <v>360.52</v>
      </c>
      <c r="AB7" s="48">
        <v>355.03</v>
      </c>
      <c r="AC7" s="48">
        <v>344.87</v>
      </c>
      <c r="AD7" s="48">
        <v>1.6839999999999999</v>
      </c>
      <c r="AE7" s="48">
        <v>1.772</v>
      </c>
      <c r="AF7" s="48">
        <v>1.7430000000000001</v>
      </c>
      <c r="AG7" s="48">
        <v>1.7509999999999999</v>
      </c>
      <c r="AH7" s="48">
        <v>67.12</v>
      </c>
      <c r="AI7" s="48">
        <v>66.91</v>
      </c>
      <c r="AJ7" s="48">
        <v>86.5</v>
      </c>
      <c r="AK7" s="48">
        <v>82.69</v>
      </c>
      <c r="AL7" s="48">
        <v>630.76499999999999</v>
      </c>
      <c r="AM7" s="48">
        <v>626.48900000000003</v>
      </c>
      <c r="AN7" s="48">
        <v>744.35500000000002</v>
      </c>
      <c r="AO7" s="48">
        <v>731.18600000000004</v>
      </c>
      <c r="AP7" s="49">
        <v>2.5</v>
      </c>
      <c r="AQ7" s="49">
        <v>1.837</v>
      </c>
      <c r="AR7" s="48">
        <v>40.957000000000001</v>
      </c>
      <c r="AS7" s="49">
        <v>34.963999999999999</v>
      </c>
      <c r="AT7" s="49">
        <v>85</v>
      </c>
      <c r="AU7" s="48">
        <v>103</v>
      </c>
      <c r="AV7" s="48">
        <v>3.3624999999999998</v>
      </c>
      <c r="AW7" s="49">
        <v>5.5568</v>
      </c>
      <c r="AX7" s="49">
        <v>993.6</v>
      </c>
      <c r="AY7" s="49">
        <v>1.01</v>
      </c>
      <c r="AZ7" s="49">
        <v>5.78</v>
      </c>
      <c r="BA7" s="49">
        <v>67.915999999999997</v>
      </c>
      <c r="BB7" s="49">
        <v>68.099999999999994</v>
      </c>
      <c r="BC7" s="49">
        <v>7824</v>
      </c>
      <c r="BD7" s="49">
        <v>89.75</v>
      </c>
      <c r="BE7" s="48">
        <v>22.87</v>
      </c>
      <c r="BF7" s="48">
        <v>13.494999999999999</v>
      </c>
      <c r="BG7" s="48">
        <v>26.61</v>
      </c>
      <c r="BH7" s="48">
        <v>25.62</v>
      </c>
      <c r="BI7" s="49">
        <v>66.884</v>
      </c>
      <c r="BJ7" s="48">
        <v>77.423000000000002</v>
      </c>
      <c r="BK7" s="49">
        <v>65.77</v>
      </c>
      <c r="BL7" s="48">
        <v>75.850999999999999</v>
      </c>
      <c r="BM7" s="48">
        <v>75.626000000000005</v>
      </c>
      <c r="BN7" s="48">
        <v>605.03200000000004</v>
      </c>
      <c r="BO7" s="49">
        <v>847.27200000000005</v>
      </c>
      <c r="BP7" s="48">
        <v>143.28800000000001</v>
      </c>
      <c r="BQ7" s="48">
        <v>141.14400000000001</v>
      </c>
      <c r="BR7" s="48">
        <v>58.643999999999998</v>
      </c>
      <c r="BS7" s="48">
        <v>28.9</v>
      </c>
      <c r="BT7" s="48">
        <v>7351.4059999999999</v>
      </c>
      <c r="BU7" s="48">
        <v>81.179000000000002</v>
      </c>
      <c r="BV7" s="48">
        <v>66.007000000000005</v>
      </c>
      <c r="BW7" s="49">
        <v>64.83</v>
      </c>
      <c r="BX7" s="49">
        <v>66.808999999999997</v>
      </c>
      <c r="BY7" s="49">
        <v>1.877</v>
      </c>
      <c r="BZ7" s="48">
        <v>2.3639999999999999</v>
      </c>
      <c r="CA7" s="49">
        <v>3.2589999999999999</v>
      </c>
      <c r="CB7" s="49">
        <v>4.1769999999999996</v>
      </c>
      <c r="CC7" s="49">
        <v>5.827</v>
      </c>
      <c r="CD7" s="49">
        <v>2.3029999999999999</v>
      </c>
      <c r="CE7" s="49">
        <v>3.964</v>
      </c>
      <c r="CF7" s="49">
        <v>2.2490000000000001</v>
      </c>
      <c r="CG7" s="48">
        <v>13.702999999999999</v>
      </c>
      <c r="CH7" s="49">
        <v>9.8249999999999993</v>
      </c>
      <c r="CI7" s="49">
        <v>4.0469999999999997</v>
      </c>
      <c r="CJ7" s="49">
        <v>3.1589999999999998</v>
      </c>
      <c r="CK7" s="49">
        <v>1.5109999999999999</v>
      </c>
      <c r="CL7" s="49">
        <v>0</v>
      </c>
      <c r="CM7" s="48">
        <v>0</v>
      </c>
      <c r="CN7" s="49">
        <v>0</v>
      </c>
      <c r="CO7" s="49">
        <v>0</v>
      </c>
      <c r="CP7" s="48">
        <v>92.902000000000001</v>
      </c>
      <c r="CQ7" s="48">
        <v>314.33999999999997</v>
      </c>
      <c r="CR7" s="48">
        <v>132.81</v>
      </c>
      <c r="CS7" s="48">
        <v>128.98099999999999</v>
      </c>
      <c r="CT7" s="49">
        <v>0.36499999999999999</v>
      </c>
      <c r="CU7" s="49">
        <v>1.9019999999999999</v>
      </c>
      <c r="CV7" s="49">
        <v>1.2</v>
      </c>
      <c r="CW7" s="49">
        <v>1.403</v>
      </c>
      <c r="CX7" s="48">
        <v>1.2</v>
      </c>
      <c r="CY7" s="49">
        <v>0.6</v>
      </c>
      <c r="CZ7" s="49">
        <v>0.999</v>
      </c>
      <c r="DA7" s="49">
        <v>1.2010000000000001</v>
      </c>
      <c r="DB7" s="49">
        <v>1.806</v>
      </c>
      <c r="DC7" s="49">
        <v>0</v>
      </c>
      <c r="DD7" s="49">
        <v>0</v>
      </c>
      <c r="DE7" s="48">
        <v>0.30299999999999999</v>
      </c>
      <c r="DF7" s="48">
        <v>0.16600000000000001</v>
      </c>
      <c r="DG7" s="48">
        <v>0.185</v>
      </c>
      <c r="DH7" s="49">
        <v>2.5470000000000002</v>
      </c>
      <c r="DI7" s="49">
        <v>1.2729999999999999</v>
      </c>
      <c r="DJ7" s="49">
        <v>0.313</v>
      </c>
      <c r="DK7" s="48">
        <v>0.748</v>
      </c>
      <c r="DL7" s="48">
        <v>0.61099999999999999</v>
      </c>
      <c r="DM7" s="48">
        <v>0.77300000000000002</v>
      </c>
      <c r="DN7" s="49">
        <v>0.79700000000000004</v>
      </c>
      <c r="DO7" s="49">
        <v>0.71899999999999997</v>
      </c>
      <c r="DP7" s="49">
        <v>65.366</v>
      </c>
      <c r="DQ7" s="48">
        <v>57.475000000000001</v>
      </c>
      <c r="DR7" s="48">
        <v>56.055</v>
      </c>
      <c r="DS7" s="48">
        <v>49.017000000000003</v>
      </c>
      <c r="DT7" s="48">
        <v>4.96</v>
      </c>
      <c r="DU7" s="48">
        <v>5.78</v>
      </c>
      <c r="DV7" s="48">
        <v>10.88</v>
      </c>
      <c r="DW7" s="48">
        <v>8.86</v>
      </c>
      <c r="DX7" s="48">
        <v>5.0999999999999996</v>
      </c>
      <c r="DY7" s="48">
        <v>6.19</v>
      </c>
      <c r="DZ7" s="48">
        <v>10.06</v>
      </c>
      <c r="EA7" s="48">
        <v>8.65</v>
      </c>
      <c r="EB7" s="48">
        <v>40.61</v>
      </c>
      <c r="EC7" s="48">
        <v>39.299999999999997</v>
      </c>
      <c r="ED7" s="48">
        <v>30.79</v>
      </c>
      <c r="EE7" s="48">
        <v>34.65</v>
      </c>
      <c r="EF7" s="49">
        <v>49.34</v>
      </c>
      <c r="EG7" s="49">
        <v>48.73</v>
      </c>
      <c r="EH7" s="49">
        <v>48.27</v>
      </c>
      <c r="EI7" s="49">
        <v>47.85</v>
      </c>
      <c r="EJ7" s="48">
        <v>6.4649999999999999</v>
      </c>
      <c r="EK7" s="48">
        <v>58.412999999999997</v>
      </c>
      <c r="EL7" s="49">
        <v>0.9</v>
      </c>
      <c r="EM7" s="49">
        <v>0.3</v>
      </c>
      <c r="EN7" s="49">
        <v>0.91</v>
      </c>
      <c r="EO7" s="49">
        <v>0.91</v>
      </c>
      <c r="EP7" s="48">
        <v>-105.63800000000001</v>
      </c>
      <c r="EQ7" s="49">
        <v>-1.327</v>
      </c>
      <c r="ER7" s="49">
        <v>98.177999999999997</v>
      </c>
      <c r="ES7" s="48">
        <v>1.335</v>
      </c>
      <c r="ET7" s="48">
        <v>1.48</v>
      </c>
      <c r="EU7" s="48">
        <v>1.3109999999999999</v>
      </c>
      <c r="EV7" s="49">
        <v>7.1859999999999999</v>
      </c>
      <c r="EW7" s="48">
        <v>10.914</v>
      </c>
      <c r="EX7" s="48">
        <v>68.260000000000005</v>
      </c>
      <c r="EY7" s="49">
        <v>6.0999999999999999E-2</v>
      </c>
      <c r="EZ7" s="48">
        <v>0</v>
      </c>
      <c r="FA7" s="49">
        <v>0</v>
      </c>
      <c r="FB7" s="48">
        <v>8.2089999999999996</v>
      </c>
      <c r="FC7" s="48">
        <v>63.35</v>
      </c>
      <c r="FD7" s="48">
        <v>66.111999999999995</v>
      </c>
      <c r="FE7" s="48">
        <v>78.210999999999999</v>
      </c>
      <c r="FF7" s="48">
        <v>74.929000000000002</v>
      </c>
      <c r="FG7" s="49">
        <v>0.9</v>
      </c>
      <c r="FH7" s="49">
        <v>0.89900000000000002</v>
      </c>
      <c r="FI7" s="49">
        <v>0.97499999999999998</v>
      </c>
      <c r="FJ7" s="49">
        <v>0.97299999999999998</v>
      </c>
      <c r="FK7" s="49">
        <v>0.4</v>
      </c>
      <c r="FL7" s="49">
        <v>85</v>
      </c>
      <c r="FM7" s="49">
        <v>2.54</v>
      </c>
      <c r="FN7" s="48">
        <v>0.59</v>
      </c>
      <c r="FO7" s="48">
        <v>5.51</v>
      </c>
      <c r="FP7" s="49">
        <v>0.7</v>
      </c>
      <c r="FQ7" s="48">
        <v>4.45</v>
      </c>
      <c r="FR7" s="48">
        <v>5.05</v>
      </c>
      <c r="FS7" s="49">
        <v>6.92</v>
      </c>
      <c r="FT7" s="49">
        <v>1071.4000000000001</v>
      </c>
      <c r="FU7" s="48">
        <v>5.93</v>
      </c>
      <c r="FV7" s="48">
        <v>48.77</v>
      </c>
      <c r="FW7" s="49">
        <v>3071.5</v>
      </c>
      <c r="FX7" s="49">
        <v>169100</v>
      </c>
      <c r="FY7" s="49">
        <v>167900</v>
      </c>
      <c r="FZ7" s="48">
        <v>48.963000000000001</v>
      </c>
      <c r="GA7" s="48">
        <v>45.48</v>
      </c>
      <c r="GB7" s="49">
        <v>2308</v>
      </c>
      <c r="GC7" s="49">
        <v>2184.6999999999998</v>
      </c>
      <c r="GD7" s="49">
        <v>2363</v>
      </c>
      <c r="GE7" s="49">
        <v>2184.6999999999998</v>
      </c>
      <c r="GF7" s="49">
        <v>1356.5780999999999</v>
      </c>
      <c r="GG7" s="48">
        <v>33</v>
      </c>
      <c r="GH7" s="48">
        <v>33.299999999999997</v>
      </c>
      <c r="GI7" s="49">
        <v>56.7</v>
      </c>
      <c r="GJ7" s="49">
        <v>61.5</v>
      </c>
      <c r="GK7" s="49">
        <v>95.5</v>
      </c>
      <c r="GL7" s="49">
        <v>83.1</v>
      </c>
      <c r="GM7" s="49">
        <v>0</v>
      </c>
      <c r="GN7" s="49">
        <v>22.449000000000002</v>
      </c>
      <c r="GO7" s="48">
        <v>105.63800000000001</v>
      </c>
      <c r="GP7" s="49">
        <v>0</v>
      </c>
      <c r="GQ7" s="49">
        <v>4.5430000000000001</v>
      </c>
      <c r="GR7" s="49">
        <v>0</v>
      </c>
      <c r="GS7" s="48">
        <v>3.7759999999999998</v>
      </c>
      <c r="GT7" s="49">
        <v>0</v>
      </c>
      <c r="GU7" s="48">
        <v>3.9529999999999998</v>
      </c>
      <c r="GV7" s="49">
        <v>0</v>
      </c>
      <c r="GW7" s="48">
        <v>12.882999999999999</v>
      </c>
      <c r="GX7" s="48">
        <v>18.423999999999999</v>
      </c>
      <c r="GY7" s="49">
        <v>0</v>
      </c>
      <c r="GZ7" s="49">
        <v>0</v>
      </c>
      <c r="HA7" s="49">
        <v>0</v>
      </c>
      <c r="HB7" s="49">
        <v>1</v>
      </c>
      <c r="HC7" s="49">
        <v>27.497</v>
      </c>
      <c r="HD7" s="48">
        <v>94</v>
      </c>
      <c r="HE7" s="49">
        <v>0</v>
      </c>
      <c r="HF7" s="49">
        <v>0</v>
      </c>
      <c r="HG7" s="49">
        <v>78.55</v>
      </c>
      <c r="HH7" s="48">
        <v>81.06</v>
      </c>
      <c r="HI7" s="49">
        <v>0</v>
      </c>
      <c r="HJ7" s="49">
        <v>0</v>
      </c>
      <c r="HK7" s="49">
        <v>0</v>
      </c>
      <c r="HL7" s="49">
        <v>68</v>
      </c>
      <c r="HM7" s="49">
        <v>57</v>
      </c>
      <c r="HN7" s="49">
        <v>67</v>
      </c>
      <c r="HO7" s="48">
        <v>60</v>
      </c>
      <c r="HP7" s="48">
        <v>64</v>
      </c>
      <c r="HQ7" s="48">
        <v>61</v>
      </c>
      <c r="HR7" s="49">
        <v>53</v>
      </c>
      <c r="HS7" s="48">
        <v>60</v>
      </c>
      <c r="HT7" s="48">
        <v>3.7999999999999999E-2</v>
      </c>
      <c r="HU7" s="49">
        <v>0</v>
      </c>
      <c r="HV7" s="48">
        <v>1.232</v>
      </c>
      <c r="HW7" s="49">
        <v>39.03</v>
      </c>
      <c r="HX7" s="49">
        <v>42.69</v>
      </c>
      <c r="HY7" s="3"/>
      <c r="HZ7" s="3"/>
      <c r="IA7" s="48">
        <v>2.6190000000000002</v>
      </c>
      <c r="IB7" s="48">
        <v>100</v>
      </c>
      <c r="IC7" s="48">
        <v>19.379000000000001</v>
      </c>
      <c r="ID7" s="49">
        <v>-4.2000000000000003E-2</v>
      </c>
      <c r="IE7" s="48">
        <v>0.03</v>
      </c>
      <c r="IF7" s="48">
        <v>900.5</v>
      </c>
      <c r="IG7" s="48">
        <v>734.3</v>
      </c>
      <c r="IH7" s="48">
        <v>928.1</v>
      </c>
      <c r="II7" s="48">
        <v>764.9</v>
      </c>
      <c r="IJ7" s="48">
        <v>3.4000000000000002E-2</v>
      </c>
      <c r="IK7" s="49">
        <v>-8.9999999999999993E-3</v>
      </c>
      <c r="IL7" s="49">
        <v>76.540999999999997</v>
      </c>
      <c r="IM7" s="49">
        <v>76.661000000000001</v>
      </c>
      <c r="IN7" s="49">
        <v>30.616</v>
      </c>
      <c r="IO7" s="48">
        <v>0.29799999999999999</v>
      </c>
      <c r="IP7" s="49">
        <v>14.54</v>
      </c>
      <c r="IQ7" s="49">
        <v>4.9000000000000002E-2</v>
      </c>
      <c r="IR7" s="49">
        <v>4.9000000000000002E-2</v>
      </c>
    </row>
    <row r="8" spans="2:252" x14ac:dyDescent="0.25">
      <c r="B8" s="2" t="s">
        <v>407</v>
      </c>
      <c r="C8" s="2" t="s">
        <v>42</v>
      </c>
      <c r="D8" s="57">
        <v>2.8307870370370375E-3</v>
      </c>
      <c r="E8" s="48">
        <v>244.58199999999999</v>
      </c>
      <c r="F8" s="49">
        <v>332.11</v>
      </c>
      <c r="G8" s="48">
        <v>5.8</v>
      </c>
      <c r="H8" s="49">
        <v>29.3</v>
      </c>
      <c r="I8" s="49">
        <v>0</v>
      </c>
      <c r="J8" s="48">
        <v>11.6</v>
      </c>
      <c r="K8" s="48">
        <v>4</v>
      </c>
      <c r="L8" s="49">
        <v>9</v>
      </c>
      <c r="M8" s="49">
        <v>4</v>
      </c>
      <c r="N8" s="49">
        <v>3</v>
      </c>
      <c r="O8" s="49">
        <v>3</v>
      </c>
      <c r="P8" s="49">
        <v>0.97199999999999998</v>
      </c>
      <c r="Q8" s="49">
        <v>1.2949999999999999</v>
      </c>
      <c r="R8" s="49">
        <v>1.129</v>
      </c>
      <c r="S8" s="49">
        <v>0.91500000000000004</v>
      </c>
      <c r="T8" s="49">
        <v>63.32</v>
      </c>
      <c r="U8" s="48">
        <v>59.823999999999998</v>
      </c>
      <c r="V8" s="48">
        <v>310</v>
      </c>
      <c r="W8" s="48">
        <v>286.66000000000003</v>
      </c>
      <c r="X8" s="48">
        <v>323</v>
      </c>
      <c r="Y8" s="48">
        <v>324</v>
      </c>
      <c r="Z8" s="49">
        <v>438.81</v>
      </c>
      <c r="AA8" s="49">
        <v>423.15</v>
      </c>
      <c r="AB8" s="49">
        <v>443.92</v>
      </c>
      <c r="AC8" s="49">
        <v>446.46</v>
      </c>
      <c r="AD8" s="49">
        <v>1.722</v>
      </c>
      <c r="AE8" s="49">
        <v>1.7949999999999999</v>
      </c>
      <c r="AF8" s="49">
        <v>1.845</v>
      </c>
      <c r="AG8" s="49">
        <v>1.8340000000000001</v>
      </c>
      <c r="AH8" s="49">
        <v>75.97</v>
      </c>
      <c r="AI8" s="49">
        <v>77.180000000000007</v>
      </c>
      <c r="AJ8" s="49">
        <v>103.72</v>
      </c>
      <c r="AK8" s="49">
        <v>97.29</v>
      </c>
      <c r="AL8" s="49">
        <v>662.75400000000002</v>
      </c>
      <c r="AM8" s="49">
        <v>668.07399999999996</v>
      </c>
      <c r="AN8" s="49">
        <v>805.76900000000001</v>
      </c>
      <c r="AO8" s="49">
        <v>759.56</v>
      </c>
      <c r="AP8" s="48">
        <v>2.4670000000000001</v>
      </c>
      <c r="AQ8" s="48">
        <v>1.8140000000000001</v>
      </c>
      <c r="AR8" s="49">
        <v>43.904000000000003</v>
      </c>
      <c r="AS8" s="48">
        <v>34.904000000000003</v>
      </c>
      <c r="AT8" s="48">
        <v>83</v>
      </c>
      <c r="AU8" s="49">
        <v>107</v>
      </c>
      <c r="AV8" s="49">
        <v>3.157</v>
      </c>
      <c r="AW8" s="48">
        <v>5.5503</v>
      </c>
      <c r="AX8" s="48">
        <v>991</v>
      </c>
      <c r="AY8" s="48">
        <v>0.98</v>
      </c>
      <c r="AZ8" s="48">
        <v>5.82</v>
      </c>
      <c r="BA8" s="48">
        <v>69.3</v>
      </c>
      <c r="BB8" s="48">
        <v>69.400000000000006</v>
      </c>
      <c r="BC8" s="48">
        <v>7725</v>
      </c>
      <c r="BD8" s="48">
        <v>89</v>
      </c>
      <c r="BE8" s="49">
        <v>23.274999999999999</v>
      </c>
      <c r="BF8" s="49">
        <v>13.835000000000001</v>
      </c>
      <c r="BG8" s="49">
        <v>28.97</v>
      </c>
      <c r="BH8" s="49">
        <v>26.47</v>
      </c>
      <c r="BI8" s="48">
        <v>66.635000000000005</v>
      </c>
      <c r="BJ8" s="49">
        <v>78.906000000000006</v>
      </c>
      <c r="BK8" s="48">
        <v>65.337000000000003</v>
      </c>
      <c r="BL8" s="49">
        <v>77.191999999999993</v>
      </c>
      <c r="BM8" s="49">
        <v>76.695999999999998</v>
      </c>
      <c r="BN8" s="49">
        <v>847.27200000000005</v>
      </c>
      <c r="BO8" s="49">
        <v>847.27200000000005</v>
      </c>
      <c r="BP8" s="49">
        <v>173.4</v>
      </c>
      <c r="BQ8" s="49">
        <v>165.06399999999999</v>
      </c>
      <c r="BR8" s="49">
        <v>60.234999999999999</v>
      </c>
      <c r="BS8" s="49">
        <v>29</v>
      </c>
      <c r="BT8" s="49">
        <v>7356.7709999999997</v>
      </c>
      <c r="BU8" s="49">
        <v>81.391999999999996</v>
      </c>
      <c r="BV8" s="49">
        <v>66.710999999999999</v>
      </c>
      <c r="BW8" s="48">
        <v>63.749000000000002</v>
      </c>
      <c r="BX8" s="48">
        <v>66.100999999999999</v>
      </c>
      <c r="BY8" s="48">
        <v>1.3959999999999999</v>
      </c>
      <c r="BZ8" s="49">
        <v>2.5720000000000001</v>
      </c>
      <c r="CA8" s="48">
        <v>2.8839999999999999</v>
      </c>
      <c r="CB8" s="48">
        <v>3.53</v>
      </c>
      <c r="CC8" s="48">
        <v>5.5519999999999996</v>
      </c>
      <c r="CD8" s="48">
        <v>2.2210000000000001</v>
      </c>
      <c r="CE8" s="48">
        <v>3.7090000000000001</v>
      </c>
      <c r="CF8" s="48">
        <v>2.0790000000000002</v>
      </c>
      <c r="CG8" s="49">
        <v>13.881</v>
      </c>
      <c r="CH8" s="48">
        <v>10.654</v>
      </c>
      <c r="CI8" s="3"/>
      <c r="CJ8" s="3"/>
      <c r="CK8" s="3"/>
      <c r="CL8" s="49">
        <v>0</v>
      </c>
      <c r="CM8" s="49">
        <v>0.1</v>
      </c>
      <c r="CN8" s="49">
        <v>0</v>
      </c>
      <c r="CO8" s="49">
        <v>0</v>
      </c>
      <c r="CP8" s="49">
        <v>100.295</v>
      </c>
      <c r="CQ8" s="49">
        <v>545.08900000000006</v>
      </c>
      <c r="CR8" s="49">
        <v>151.76499999999999</v>
      </c>
      <c r="CS8" s="49">
        <v>147.50299999999999</v>
      </c>
      <c r="CT8" s="48">
        <v>0.311</v>
      </c>
      <c r="CU8" s="48">
        <v>0.79900000000000004</v>
      </c>
      <c r="CV8" s="48">
        <v>0.80100000000000005</v>
      </c>
      <c r="CW8" s="48">
        <v>0.80100000000000005</v>
      </c>
      <c r="CX8" s="49">
        <v>1.6</v>
      </c>
      <c r="CY8" s="48">
        <v>0.20100000000000001</v>
      </c>
      <c r="CZ8" s="48">
        <v>0.59899999999999998</v>
      </c>
      <c r="DA8" s="48">
        <v>0.39900000000000002</v>
      </c>
      <c r="DB8" s="48">
        <v>0.69799999999999995</v>
      </c>
      <c r="DC8" s="49">
        <v>0</v>
      </c>
      <c r="DD8" s="49">
        <v>0</v>
      </c>
      <c r="DE8" s="49">
        <v>0.32600000000000001</v>
      </c>
      <c r="DF8" s="49">
        <v>0.19</v>
      </c>
      <c r="DG8" s="49">
        <v>0.42799999999999999</v>
      </c>
      <c r="DH8" s="48">
        <v>1.879</v>
      </c>
      <c r="DI8" s="48">
        <v>1.0389999999999999</v>
      </c>
      <c r="DJ8" s="48">
        <v>0.28199999999999997</v>
      </c>
      <c r="DK8" s="49">
        <v>1.0289999999999999</v>
      </c>
      <c r="DL8" s="49">
        <v>0.61399999999999999</v>
      </c>
      <c r="DM8" s="49">
        <v>0.78</v>
      </c>
      <c r="DN8" s="48">
        <v>0.76300000000000001</v>
      </c>
      <c r="DO8" s="48">
        <v>0.71</v>
      </c>
      <c r="DP8" s="48">
        <v>65.364000000000004</v>
      </c>
      <c r="DQ8" s="49">
        <v>58.13</v>
      </c>
      <c r="DR8" s="49">
        <v>56.195999999999998</v>
      </c>
      <c r="DS8" s="49">
        <v>50.116999999999997</v>
      </c>
      <c r="DT8" s="49">
        <v>5.46</v>
      </c>
      <c r="DU8" s="49">
        <v>6.16</v>
      </c>
      <c r="DV8" s="49">
        <v>11.85</v>
      </c>
      <c r="DW8" s="49">
        <v>9.3699999999999992</v>
      </c>
      <c r="DX8" s="49">
        <v>5.64</v>
      </c>
      <c r="DY8" s="49">
        <v>6.69</v>
      </c>
      <c r="DZ8" s="49">
        <v>11.32</v>
      </c>
      <c r="EA8" s="49">
        <v>9.19</v>
      </c>
      <c r="EB8" s="49">
        <v>42</v>
      </c>
      <c r="EC8" s="49">
        <v>41.43</v>
      </c>
      <c r="ED8" s="49">
        <v>33.25</v>
      </c>
      <c r="EE8" s="49">
        <v>35.54</v>
      </c>
      <c r="EF8" s="48">
        <v>46.9</v>
      </c>
      <c r="EG8" s="48">
        <v>45.72</v>
      </c>
      <c r="EH8" s="48">
        <v>43.58</v>
      </c>
      <c r="EI8" s="48">
        <v>45.9</v>
      </c>
      <c r="EJ8" s="49">
        <v>7.3390000000000004</v>
      </c>
      <c r="EK8" s="49">
        <v>59.4</v>
      </c>
      <c r="EL8" s="48">
        <v>0.75</v>
      </c>
      <c r="EM8" s="49">
        <v>0.3</v>
      </c>
      <c r="EN8" s="48">
        <v>0.89</v>
      </c>
      <c r="EO8" s="48">
        <v>0.9</v>
      </c>
      <c r="EP8" s="49">
        <v>-111.77</v>
      </c>
      <c r="EQ8" s="48">
        <v>-2.5680000000000001</v>
      </c>
      <c r="ER8" s="48">
        <v>89.126000000000005</v>
      </c>
      <c r="ES8" s="49">
        <v>1.421</v>
      </c>
      <c r="ET8" s="49">
        <v>1.5860000000000001</v>
      </c>
      <c r="EU8" s="49">
        <v>1.415</v>
      </c>
      <c r="EV8" s="48">
        <v>7.1310000000000002</v>
      </c>
      <c r="EW8" s="49">
        <v>10.978999999999999</v>
      </c>
      <c r="EX8" s="49">
        <v>70.12</v>
      </c>
      <c r="EY8" s="48">
        <v>0.02</v>
      </c>
      <c r="EZ8" s="49">
        <v>0.443</v>
      </c>
      <c r="FA8" s="49">
        <v>0</v>
      </c>
      <c r="FB8" s="49">
        <v>9.1630000000000003</v>
      </c>
      <c r="FC8" s="49">
        <v>65.563999999999993</v>
      </c>
      <c r="FD8" s="49">
        <v>66.201999999999998</v>
      </c>
      <c r="FE8" s="49">
        <v>83.25</v>
      </c>
      <c r="FF8" s="49">
        <v>78.960999999999999</v>
      </c>
      <c r="FG8" s="48">
        <v>0.877</v>
      </c>
      <c r="FH8" s="48">
        <v>0.89800000000000002</v>
      </c>
      <c r="FI8" s="48">
        <v>0.96699999999999997</v>
      </c>
      <c r="FJ8" s="48">
        <v>0.96299999999999997</v>
      </c>
      <c r="FK8" s="48">
        <v>9.9000000000000005E-2</v>
      </c>
      <c r="FL8" s="48">
        <v>83</v>
      </c>
      <c r="FM8" s="48">
        <v>2.35</v>
      </c>
      <c r="FN8" s="49">
        <v>0.56999999999999995</v>
      </c>
      <c r="FO8" s="49">
        <v>5.46</v>
      </c>
      <c r="FP8" s="48">
        <v>3.9</v>
      </c>
      <c r="FQ8" s="49">
        <v>4.4000000000000004</v>
      </c>
      <c r="FR8" s="49">
        <v>5</v>
      </c>
      <c r="FS8" s="48">
        <v>6.8659999999999997</v>
      </c>
      <c r="FT8" s="48">
        <v>1063.4000000000001</v>
      </c>
      <c r="FU8" s="49">
        <v>6.7</v>
      </c>
      <c r="FV8" s="49">
        <v>54.57</v>
      </c>
      <c r="FW8" s="48">
        <v>3015</v>
      </c>
      <c r="FX8" s="48">
        <v>155400</v>
      </c>
      <c r="FY8" s="48">
        <v>165500</v>
      </c>
      <c r="FZ8" s="49">
        <v>69.260000000000005</v>
      </c>
      <c r="GA8" s="49">
        <v>45.83</v>
      </c>
      <c r="GB8" s="48">
        <v>2055.4</v>
      </c>
      <c r="GC8" s="48">
        <v>2098</v>
      </c>
      <c r="GD8" s="48">
        <v>2059.9</v>
      </c>
      <c r="GE8" s="48">
        <v>2123.3000000000002</v>
      </c>
      <c r="GF8" s="48">
        <v>1303.3594000000001</v>
      </c>
      <c r="GG8" s="49">
        <v>34</v>
      </c>
      <c r="GH8" s="49">
        <v>33.6</v>
      </c>
      <c r="GI8" s="48">
        <v>49.8</v>
      </c>
      <c r="GJ8" s="48">
        <v>55.7</v>
      </c>
      <c r="GK8" s="48">
        <v>99.5</v>
      </c>
      <c r="GL8" s="48">
        <v>76.8</v>
      </c>
      <c r="GM8" s="49">
        <v>0</v>
      </c>
      <c r="GN8" s="48">
        <v>21.786999999999999</v>
      </c>
      <c r="GO8" s="49">
        <v>111.77</v>
      </c>
      <c r="GP8" s="49">
        <v>0</v>
      </c>
      <c r="GQ8" s="48">
        <v>4.13</v>
      </c>
      <c r="GR8" s="49">
        <v>0</v>
      </c>
      <c r="GS8" s="49">
        <v>4.1890000000000001</v>
      </c>
      <c r="GT8" s="49">
        <v>0</v>
      </c>
      <c r="GU8" s="49">
        <v>4.13</v>
      </c>
      <c r="GV8" s="49">
        <v>0</v>
      </c>
      <c r="GW8" s="49">
        <v>13.978</v>
      </c>
      <c r="GX8" s="49">
        <v>22.736000000000001</v>
      </c>
      <c r="GY8" s="49">
        <v>0</v>
      </c>
      <c r="GZ8" s="49">
        <v>0</v>
      </c>
      <c r="HA8" s="49">
        <v>0</v>
      </c>
      <c r="HB8" s="48">
        <v>0</v>
      </c>
      <c r="HC8" s="48">
        <v>23.79</v>
      </c>
      <c r="HD8" s="49">
        <v>98</v>
      </c>
      <c r="HE8" s="49">
        <v>0</v>
      </c>
      <c r="HF8" s="49">
        <v>0</v>
      </c>
      <c r="HG8" s="48">
        <v>72.349999999999994</v>
      </c>
      <c r="HH8" s="49">
        <v>81.16</v>
      </c>
      <c r="HI8" s="49">
        <v>0</v>
      </c>
      <c r="HJ8" s="49">
        <v>0</v>
      </c>
      <c r="HK8" s="49">
        <v>0</v>
      </c>
      <c r="HL8" s="49">
        <v>68</v>
      </c>
      <c r="HM8" s="48">
        <v>56</v>
      </c>
      <c r="HN8" s="49">
        <v>67</v>
      </c>
      <c r="HO8" s="49">
        <v>61</v>
      </c>
      <c r="HP8" s="49">
        <v>65</v>
      </c>
      <c r="HQ8" s="49">
        <v>62</v>
      </c>
      <c r="HR8" s="49">
        <v>53</v>
      </c>
      <c r="HS8" s="49">
        <v>62</v>
      </c>
      <c r="HT8" s="49">
        <v>3.4000000000000002E-2</v>
      </c>
      <c r="HU8" s="49">
        <v>0</v>
      </c>
      <c r="HV8" s="49">
        <v>1.2869999999999999</v>
      </c>
      <c r="HW8" s="49">
        <v>39.03</v>
      </c>
      <c r="HX8" s="49">
        <v>42.69</v>
      </c>
      <c r="HY8" s="3"/>
      <c r="HZ8" s="3"/>
      <c r="IA8" s="49">
        <v>2.6850000000000001</v>
      </c>
      <c r="IB8" s="49">
        <v>103</v>
      </c>
      <c r="IC8" s="49">
        <v>22.132999999999999</v>
      </c>
      <c r="ID8" s="48">
        <v>-0.06</v>
      </c>
      <c r="IE8" s="49">
        <v>4.8000000000000001E-2</v>
      </c>
      <c r="IF8" s="49">
        <v>913.4</v>
      </c>
      <c r="IG8" s="49">
        <v>798</v>
      </c>
      <c r="IH8" s="49">
        <v>949.2</v>
      </c>
      <c r="II8" s="49">
        <v>822.6</v>
      </c>
      <c r="IJ8" s="49">
        <v>0.58099999999999996</v>
      </c>
      <c r="IK8" s="48">
        <v>-3.3000000000000002E-2</v>
      </c>
      <c r="IL8" s="48">
        <v>43.722999999999999</v>
      </c>
      <c r="IM8" s="48">
        <v>43.722999999999999</v>
      </c>
      <c r="IN8" s="48">
        <v>24.574999999999999</v>
      </c>
      <c r="IO8" s="49">
        <v>2.923</v>
      </c>
      <c r="IP8" s="48">
        <v>14.52</v>
      </c>
      <c r="IQ8" s="48">
        <v>0</v>
      </c>
      <c r="IR8" s="48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2A2A-5D6A-4465-A7C1-21193649C2E2}">
  <sheetPr codeName="Sheet7"/>
  <dimension ref="B1:IR7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416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ht="30" x14ac:dyDescent="0.25">
      <c r="B7" s="2" t="s">
        <v>407</v>
      </c>
      <c r="C7" s="2" t="s">
        <v>41</v>
      </c>
      <c r="D7" s="2" t="s">
        <v>417</v>
      </c>
      <c r="E7" s="49">
        <v>1565.6189999999999</v>
      </c>
      <c r="F7" s="49">
        <v>325.07</v>
      </c>
      <c r="G7" s="49">
        <v>5.68</v>
      </c>
      <c r="H7" s="49">
        <v>28.7</v>
      </c>
      <c r="I7" s="49">
        <v>0</v>
      </c>
      <c r="J7" s="49">
        <v>1312.3</v>
      </c>
      <c r="K7" s="49">
        <v>8</v>
      </c>
      <c r="L7" s="49">
        <v>8</v>
      </c>
      <c r="M7" s="49">
        <v>4</v>
      </c>
      <c r="N7" s="49">
        <v>3</v>
      </c>
      <c r="O7" s="49">
        <v>3</v>
      </c>
      <c r="P7" s="49">
        <v>0.871</v>
      </c>
      <c r="Q7" s="49">
        <v>1.5720000000000001</v>
      </c>
      <c r="R7" s="49">
        <v>0.746</v>
      </c>
      <c r="S7" s="49">
        <v>0.67800000000000005</v>
      </c>
      <c r="T7" s="49">
        <v>52.16</v>
      </c>
      <c r="U7" s="49">
        <v>59.96</v>
      </c>
      <c r="V7" s="49">
        <v>120</v>
      </c>
      <c r="W7" s="49">
        <v>100</v>
      </c>
      <c r="X7" s="49">
        <v>100</v>
      </c>
      <c r="Y7" s="49">
        <v>80</v>
      </c>
      <c r="Z7" s="49">
        <v>293.47000000000003</v>
      </c>
      <c r="AA7" s="49">
        <v>267.39999999999998</v>
      </c>
      <c r="AB7" s="49">
        <v>268.01</v>
      </c>
      <c r="AC7" s="49">
        <v>250.11</v>
      </c>
      <c r="AD7" s="49">
        <v>1.7050000000000001</v>
      </c>
      <c r="AE7" s="49">
        <v>1.7509999999999999</v>
      </c>
      <c r="AF7" s="49">
        <v>1.6279999999999999</v>
      </c>
      <c r="AG7" s="49">
        <v>1.667</v>
      </c>
      <c r="AH7" s="49">
        <v>58.53</v>
      </c>
      <c r="AI7" s="49">
        <v>56.44</v>
      </c>
      <c r="AJ7" s="49">
        <v>71.69</v>
      </c>
      <c r="AK7" s="49">
        <v>68.77</v>
      </c>
      <c r="AL7" s="49">
        <v>601.16</v>
      </c>
      <c r="AM7" s="49">
        <v>624.76599999999996</v>
      </c>
      <c r="AN7" s="49">
        <v>760.50400000000002</v>
      </c>
      <c r="AO7" s="49">
        <v>740.774</v>
      </c>
      <c r="AP7" s="49">
        <v>2.4390000000000001</v>
      </c>
      <c r="AQ7" s="49">
        <v>1.829</v>
      </c>
      <c r="AR7" s="49">
        <v>45.914999999999999</v>
      </c>
      <c r="AS7" s="49">
        <v>37.664000000000001</v>
      </c>
      <c r="AT7" s="49">
        <v>84</v>
      </c>
      <c r="AU7" s="49">
        <v>100</v>
      </c>
      <c r="AV7" s="49">
        <v>3.1829999999999998</v>
      </c>
      <c r="AW7" s="49">
        <v>5.5000999999999998</v>
      </c>
      <c r="AX7" s="49">
        <v>991.8</v>
      </c>
      <c r="AY7" s="49">
        <v>1.02</v>
      </c>
      <c r="AZ7" s="49">
        <v>5.42</v>
      </c>
      <c r="BA7" s="49">
        <v>64.507999999999996</v>
      </c>
      <c r="BB7" s="49">
        <v>67.802000000000007</v>
      </c>
      <c r="BC7" s="49">
        <v>7660</v>
      </c>
      <c r="BD7" s="49">
        <v>89.25</v>
      </c>
      <c r="BE7" s="49">
        <v>22.605</v>
      </c>
      <c r="BF7" s="49">
        <v>14.085000000000001</v>
      </c>
      <c r="BG7" s="49">
        <v>26.4</v>
      </c>
      <c r="BH7" s="49">
        <v>26.04</v>
      </c>
      <c r="BI7" s="49">
        <v>67.783000000000001</v>
      </c>
      <c r="BJ7" s="49">
        <v>81.576999999999998</v>
      </c>
      <c r="BK7" s="49">
        <v>66.325000000000003</v>
      </c>
      <c r="BL7" s="49">
        <v>79.641999999999996</v>
      </c>
      <c r="BM7" s="49">
        <v>79.100999999999999</v>
      </c>
      <c r="BN7" s="49">
        <v>847.27200000000005</v>
      </c>
      <c r="BO7" s="49">
        <v>137.048</v>
      </c>
      <c r="BP7" s="49">
        <v>126.84</v>
      </c>
      <c r="BQ7" s="49">
        <v>117.78400000000001</v>
      </c>
      <c r="BR7" s="49">
        <v>59.534999999999997</v>
      </c>
      <c r="BS7" s="49">
        <v>28.3</v>
      </c>
      <c r="BT7" s="49">
        <v>7131.5349999999999</v>
      </c>
      <c r="BU7" s="49">
        <v>82.460999999999999</v>
      </c>
      <c r="BV7" s="49">
        <v>66.715000000000003</v>
      </c>
      <c r="BW7" s="49">
        <v>73.072000000000003</v>
      </c>
      <c r="BX7" s="49">
        <v>64.477999999999994</v>
      </c>
      <c r="BY7" s="49">
        <v>1.4</v>
      </c>
      <c r="BZ7" s="49">
        <v>2.609</v>
      </c>
      <c r="CA7" s="49">
        <v>2.988</v>
      </c>
      <c r="CB7" s="49">
        <v>2.9089999999999998</v>
      </c>
      <c r="CC7" s="49">
        <v>5.7530000000000001</v>
      </c>
      <c r="CD7" s="49">
        <v>2.2570000000000001</v>
      </c>
      <c r="CE7" s="49">
        <v>3.6669999999999998</v>
      </c>
      <c r="CF7" s="49">
        <v>2.0649999999999999</v>
      </c>
      <c r="CG7" s="49">
        <v>13.709</v>
      </c>
      <c r="CH7" s="49">
        <v>9.9890000000000008</v>
      </c>
      <c r="CI7" s="3"/>
      <c r="CJ7" s="3"/>
      <c r="CK7" s="3"/>
      <c r="CL7" s="49">
        <v>0</v>
      </c>
      <c r="CM7" s="49">
        <v>0.1</v>
      </c>
      <c r="CN7" s="49">
        <v>0</v>
      </c>
      <c r="CO7" s="49">
        <v>0</v>
      </c>
      <c r="CP7" s="49">
        <v>116.833</v>
      </c>
      <c r="CQ7" s="49">
        <v>82.07</v>
      </c>
      <c r="CR7" s="49">
        <v>99.879000000000005</v>
      </c>
      <c r="CS7" s="49">
        <v>94.808000000000007</v>
      </c>
      <c r="CT7" s="49">
        <v>0.38900000000000001</v>
      </c>
      <c r="CU7" s="49">
        <v>4.4809999999999999</v>
      </c>
      <c r="CV7" s="49">
        <v>3.78</v>
      </c>
      <c r="CW7" s="49">
        <v>3.68</v>
      </c>
      <c r="CX7" s="49">
        <v>4.08</v>
      </c>
      <c r="CY7" s="49">
        <v>4.3819999999999997</v>
      </c>
      <c r="CZ7" s="49">
        <v>3.9820000000000002</v>
      </c>
      <c r="DA7" s="49">
        <v>3.4809999999999999</v>
      </c>
      <c r="DB7" s="49">
        <v>4.0810000000000004</v>
      </c>
      <c r="DC7" s="49">
        <v>6.0000000000000001E-3</v>
      </c>
      <c r="DD7" s="49">
        <v>0</v>
      </c>
      <c r="DE7" s="49">
        <v>0.28999999999999998</v>
      </c>
      <c r="DF7" s="49">
        <v>0.193</v>
      </c>
      <c r="DG7" s="49">
        <v>0.67200000000000004</v>
      </c>
      <c r="DH7" s="49">
        <v>2.8239999999999998</v>
      </c>
      <c r="DI7" s="49">
        <v>0.89500000000000002</v>
      </c>
      <c r="DJ7" s="49">
        <v>0.19</v>
      </c>
      <c r="DK7" s="49">
        <v>0.88500000000000001</v>
      </c>
      <c r="DL7" s="49">
        <v>0.60899999999999999</v>
      </c>
      <c r="DM7" s="49">
        <v>0.78600000000000003</v>
      </c>
      <c r="DN7" s="49">
        <v>0.76600000000000001</v>
      </c>
      <c r="DO7" s="49">
        <v>0.76600000000000001</v>
      </c>
      <c r="DP7" s="49">
        <v>65.424999999999997</v>
      </c>
      <c r="DQ7" s="49">
        <v>60.798000000000002</v>
      </c>
      <c r="DR7" s="49">
        <v>54.387999999999998</v>
      </c>
      <c r="DS7" s="49">
        <v>50.956000000000003</v>
      </c>
      <c r="DT7" s="49">
        <v>0.74</v>
      </c>
      <c r="DU7" s="49">
        <v>0.93</v>
      </c>
      <c r="DV7" s="49">
        <v>1.61</v>
      </c>
      <c r="DW7" s="49">
        <v>1.37</v>
      </c>
      <c r="DX7" s="49">
        <v>0.77</v>
      </c>
      <c r="DY7" s="49">
        <v>0.94</v>
      </c>
      <c r="DZ7" s="49">
        <v>1.53</v>
      </c>
      <c r="EA7" s="49">
        <v>1.34</v>
      </c>
      <c r="EB7" s="49">
        <v>7.43</v>
      </c>
      <c r="EC7" s="49">
        <v>7.09</v>
      </c>
      <c r="ED7" s="49">
        <v>5.99</v>
      </c>
      <c r="EE7" s="49">
        <v>6.26</v>
      </c>
      <c r="EF7" s="49">
        <v>91.05</v>
      </c>
      <c r="EG7" s="49">
        <v>91.04</v>
      </c>
      <c r="EH7" s="49">
        <v>90.87</v>
      </c>
      <c r="EI7" s="49">
        <v>91.03</v>
      </c>
      <c r="EJ7" s="49">
        <v>6.8339999999999996</v>
      </c>
      <c r="EK7" s="49">
        <v>58.213000000000001</v>
      </c>
      <c r="EL7" s="49">
        <v>0.75</v>
      </c>
      <c r="EM7" s="49">
        <v>0.35</v>
      </c>
      <c r="EN7" s="49">
        <v>0.95</v>
      </c>
      <c r="EO7" s="49">
        <v>0.93</v>
      </c>
      <c r="EP7" s="49">
        <v>-107.974</v>
      </c>
      <c r="EQ7" s="49">
        <v>-1.839</v>
      </c>
      <c r="ER7" s="49">
        <v>112.194</v>
      </c>
      <c r="ES7" s="49">
        <v>1.3109999999999999</v>
      </c>
      <c r="ET7" s="49">
        <v>1.4279999999999999</v>
      </c>
      <c r="EU7" s="49">
        <v>1.3029999999999999</v>
      </c>
      <c r="EV7" s="49">
        <v>7.3620000000000001</v>
      </c>
      <c r="EW7" s="49">
        <v>11.186999999999999</v>
      </c>
      <c r="EX7" s="49">
        <v>66.06</v>
      </c>
      <c r="EY7" s="49">
        <v>8.1000000000000003E-2</v>
      </c>
      <c r="EZ7" s="49">
        <v>0</v>
      </c>
      <c r="FA7" s="49">
        <v>0</v>
      </c>
      <c r="FB7" s="49">
        <v>8.2680000000000007</v>
      </c>
      <c r="FC7" s="49">
        <v>53.414000000000001</v>
      </c>
      <c r="FD7" s="49">
        <v>52.719000000000001</v>
      </c>
      <c r="FE7" s="49">
        <v>60.68</v>
      </c>
      <c r="FF7" s="49">
        <v>59.655000000000001</v>
      </c>
      <c r="FG7" s="49">
        <v>0.92600000000000005</v>
      </c>
      <c r="FH7" s="49">
        <v>0.90800000000000003</v>
      </c>
      <c r="FI7" s="49">
        <v>0.98799999999999999</v>
      </c>
      <c r="FJ7" s="49">
        <v>0.98199999999999998</v>
      </c>
      <c r="FK7" s="49">
        <v>0.40300000000000002</v>
      </c>
      <c r="FL7" s="49">
        <v>85</v>
      </c>
      <c r="FM7" s="49">
        <v>2.37</v>
      </c>
      <c r="FN7" s="49">
        <v>0.56999999999999995</v>
      </c>
      <c r="FO7" s="49">
        <v>5.24</v>
      </c>
      <c r="FP7" s="49">
        <v>0</v>
      </c>
      <c r="FQ7" s="49">
        <v>1.75</v>
      </c>
      <c r="FR7" s="49">
        <v>5.05</v>
      </c>
      <c r="FS7" s="49">
        <v>6.9494999999999996</v>
      </c>
      <c r="FT7" s="49">
        <v>1061</v>
      </c>
      <c r="FU7" s="49">
        <v>5.03</v>
      </c>
      <c r="FV7" s="49">
        <v>60.25</v>
      </c>
      <c r="FW7" s="49">
        <v>3090</v>
      </c>
      <c r="FX7" s="49">
        <v>154700</v>
      </c>
      <c r="FY7" s="49">
        <v>168200</v>
      </c>
      <c r="FZ7" s="49">
        <v>71.778000000000006</v>
      </c>
      <c r="GA7" s="49">
        <v>48.106999999999999</v>
      </c>
      <c r="GB7" s="49">
        <v>2072.9</v>
      </c>
      <c r="GC7" s="49">
        <v>2091.1</v>
      </c>
      <c r="GD7" s="49">
        <v>2095.3000000000002</v>
      </c>
      <c r="GE7" s="49">
        <v>2127.6</v>
      </c>
      <c r="GF7" s="49">
        <v>1269.2188000000001</v>
      </c>
      <c r="GG7" s="49">
        <v>38</v>
      </c>
      <c r="GH7" s="49">
        <v>38</v>
      </c>
      <c r="GI7" s="49">
        <v>82</v>
      </c>
      <c r="GJ7" s="49">
        <v>84.3</v>
      </c>
      <c r="GK7" s="49">
        <v>93</v>
      </c>
      <c r="GL7" s="49">
        <v>79.3</v>
      </c>
      <c r="GM7" s="49">
        <v>0</v>
      </c>
      <c r="GN7" s="49">
        <v>22.818999999999999</v>
      </c>
      <c r="GO7" s="49">
        <v>112.194</v>
      </c>
      <c r="GP7" s="49">
        <v>0</v>
      </c>
      <c r="GQ7" s="49">
        <v>5.133</v>
      </c>
      <c r="GR7" s="49">
        <v>0</v>
      </c>
      <c r="GS7" s="49">
        <v>4.7789999999999999</v>
      </c>
      <c r="GT7" s="49">
        <v>0</v>
      </c>
      <c r="GU7" s="49">
        <v>4.6020000000000003</v>
      </c>
      <c r="GV7" s="49">
        <v>0</v>
      </c>
      <c r="GW7" s="49">
        <v>12.946</v>
      </c>
      <c r="GX7" s="49">
        <v>19.404</v>
      </c>
      <c r="GY7" s="49">
        <v>0</v>
      </c>
      <c r="GZ7" s="49">
        <v>0</v>
      </c>
      <c r="HA7" s="49">
        <v>0</v>
      </c>
      <c r="HB7" s="49">
        <v>1</v>
      </c>
      <c r="HC7" s="49">
        <v>29.384</v>
      </c>
      <c r="HD7" s="49">
        <v>94</v>
      </c>
      <c r="HE7" s="49">
        <v>0</v>
      </c>
      <c r="HF7" s="49">
        <v>0</v>
      </c>
      <c r="HG7" s="49">
        <v>77.290000000000006</v>
      </c>
      <c r="HH7" s="49">
        <v>80.55</v>
      </c>
      <c r="HI7" s="49">
        <v>0</v>
      </c>
      <c r="HJ7" s="49">
        <v>0</v>
      </c>
      <c r="HK7" s="49">
        <v>0</v>
      </c>
      <c r="HL7" s="49">
        <v>68</v>
      </c>
      <c r="HM7" s="49">
        <v>59</v>
      </c>
      <c r="HN7" s="49">
        <v>68</v>
      </c>
      <c r="HO7" s="49">
        <v>60</v>
      </c>
      <c r="HP7" s="49">
        <v>64</v>
      </c>
      <c r="HQ7" s="49">
        <v>62</v>
      </c>
      <c r="HR7" s="49">
        <v>54</v>
      </c>
      <c r="HS7" s="49">
        <v>62</v>
      </c>
      <c r="HT7" s="49">
        <v>1.4999999999999999E-2</v>
      </c>
      <c r="HU7" s="49">
        <v>0</v>
      </c>
      <c r="HV7" s="49">
        <v>1.109</v>
      </c>
      <c r="HW7" s="49">
        <v>65.66</v>
      </c>
      <c r="HX7" s="49">
        <v>76.239999999999995</v>
      </c>
      <c r="HY7" s="3"/>
      <c r="HZ7" s="3"/>
      <c r="IA7" s="49">
        <v>2.6709999999999998</v>
      </c>
      <c r="IB7" s="49">
        <v>97</v>
      </c>
      <c r="IC7" s="49">
        <v>17.318000000000001</v>
      </c>
      <c r="ID7" s="49">
        <v>-1.9E-2</v>
      </c>
      <c r="IE7" s="49">
        <v>2.3E-2</v>
      </c>
      <c r="IF7" s="49">
        <v>906</v>
      </c>
      <c r="IG7" s="49">
        <v>683.3</v>
      </c>
      <c r="IH7" s="49">
        <v>929</v>
      </c>
      <c r="II7" s="49">
        <v>710.8</v>
      </c>
      <c r="IJ7" s="49">
        <v>0</v>
      </c>
      <c r="IK7" s="49">
        <v>4.0000000000000001E-3</v>
      </c>
      <c r="IL7" s="49">
        <v>1366.4259999999999</v>
      </c>
      <c r="IM7" s="49">
        <v>1366.6859999999999</v>
      </c>
      <c r="IN7" s="49">
        <v>27.579000000000001</v>
      </c>
      <c r="IO7" s="49">
        <v>2.8380000000000001</v>
      </c>
      <c r="IP7" s="49">
        <v>14.1</v>
      </c>
      <c r="IQ7" s="49">
        <v>0</v>
      </c>
      <c r="IR7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F8F57-27BA-450C-A564-458E6D938D2A}">
  <sheetPr codeName="Sheet8"/>
  <dimension ref="B1:IR7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418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6.3045138888888881E-3</v>
      </c>
      <c r="E7" s="49">
        <v>544.70899999999995</v>
      </c>
      <c r="F7" s="49">
        <v>325.44</v>
      </c>
      <c r="G7" s="49">
        <v>5.9</v>
      </c>
      <c r="H7" s="49">
        <v>28.7</v>
      </c>
      <c r="I7" s="49">
        <v>0</v>
      </c>
      <c r="J7" s="49">
        <v>298.60000000000002</v>
      </c>
      <c r="K7" s="49">
        <v>8</v>
      </c>
      <c r="L7" s="49">
        <v>8</v>
      </c>
      <c r="M7" s="49">
        <v>4</v>
      </c>
      <c r="N7" s="49">
        <v>3</v>
      </c>
      <c r="O7" s="49">
        <v>3</v>
      </c>
      <c r="P7" s="49">
        <v>0.75700000000000001</v>
      </c>
      <c r="Q7" s="49">
        <v>1.214</v>
      </c>
      <c r="R7" s="49">
        <v>0.89500000000000002</v>
      </c>
      <c r="S7" s="49">
        <v>0.65900000000000003</v>
      </c>
      <c r="T7" s="49">
        <v>55.24</v>
      </c>
      <c r="U7" s="49">
        <v>59.902000000000001</v>
      </c>
      <c r="V7" s="49">
        <v>223.34</v>
      </c>
      <c r="W7" s="49">
        <v>197.5</v>
      </c>
      <c r="X7" s="49">
        <v>192.5</v>
      </c>
      <c r="Y7" s="49">
        <v>167.5</v>
      </c>
      <c r="Z7" s="49">
        <v>370.83</v>
      </c>
      <c r="AA7" s="49">
        <v>340.79</v>
      </c>
      <c r="AB7" s="49">
        <v>341.56</v>
      </c>
      <c r="AC7" s="49">
        <v>310.51</v>
      </c>
      <c r="AD7" s="49">
        <v>1.776</v>
      </c>
      <c r="AE7" s="49">
        <v>1.8089999999999999</v>
      </c>
      <c r="AF7" s="49">
        <v>1.7270000000000001</v>
      </c>
      <c r="AG7" s="49">
        <v>1.7330000000000001</v>
      </c>
      <c r="AH7" s="49">
        <v>67.599999999999994</v>
      </c>
      <c r="AI7" s="49">
        <v>65.099999999999994</v>
      </c>
      <c r="AJ7" s="49">
        <v>84.99</v>
      </c>
      <c r="AK7" s="49">
        <v>80.52</v>
      </c>
      <c r="AL7" s="49">
        <v>671.25099999999998</v>
      </c>
      <c r="AM7" s="49">
        <v>685.86599999999999</v>
      </c>
      <c r="AN7" s="49">
        <v>825.62300000000005</v>
      </c>
      <c r="AO7" s="49">
        <v>818.95899999999995</v>
      </c>
      <c r="AP7" s="49">
        <v>2.4119999999999999</v>
      </c>
      <c r="AQ7" s="49">
        <v>1.8140000000000001</v>
      </c>
      <c r="AR7" s="49">
        <v>44.673000000000002</v>
      </c>
      <c r="AS7" s="49">
        <v>35.518000000000001</v>
      </c>
      <c r="AT7" s="49">
        <v>85</v>
      </c>
      <c r="AU7" s="49">
        <v>103</v>
      </c>
      <c r="AV7" s="49">
        <v>2.972</v>
      </c>
      <c r="AW7" s="49">
        <v>5.4816000000000003</v>
      </c>
      <c r="AX7" s="49">
        <v>995</v>
      </c>
      <c r="AY7" s="49">
        <v>1.08</v>
      </c>
      <c r="AZ7" s="49">
        <v>5.74</v>
      </c>
      <c r="BA7" s="49">
        <v>66.796999999999997</v>
      </c>
      <c r="BB7" s="49">
        <v>66.7</v>
      </c>
      <c r="BC7" s="49">
        <v>7764</v>
      </c>
      <c r="BD7" s="49">
        <v>89.75</v>
      </c>
      <c r="BE7" s="49">
        <v>24.395</v>
      </c>
      <c r="BF7" s="49">
        <v>14.16</v>
      </c>
      <c r="BG7" s="49">
        <v>27.08</v>
      </c>
      <c r="BH7" s="49">
        <v>26.28</v>
      </c>
      <c r="BI7" s="49">
        <v>68.087999999999994</v>
      </c>
      <c r="BJ7" s="49">
        <v>82.587999999999994</v>
      </c>
      <c r="BK7" s="49">
        <v>66.555000000000007</v>
      </c>
      <c r="BL7" s="49">
        <v>80.608999999999995</v>
      </c>
      <c r="BM7" s="49">
        <v>79.930000000000007</v>
      </c>
      <c r="BN7" s="49">
        <v>847.27200000000005</v>
      </c>
      <c r="BO7" s="49">
        <v>847.27200000000005</v>
      </c>
      <c r="BP7" s="49">
        <v>144.24799999999999</v>
      </c>
      <c r="BQ7" s="49">
        <v>130.98400000000001</v>
      </c>
      <c r="BR7" s="49">
        <v>59.612000000000002</v>
      </c>
      <c r="BS7" s="49">
        <v>28.4</v>
      </c>
      <c r="BT7" s="49">
        <v>7311.2569999999996</v>
      </c>
      <c r="BU7" s="49">
        <v>82.471999999999994</v>
      </c>
      <c r="BV7" s="49">
        <v>68.486999999999995</v>
      </c>
      <c r="BW7" s="49">
        <v>63.052999999999997</v>
      </c>
      <c r="BX7" s="49">
        <v>63.158000000000001</v>
      </c>
      <c r="BY7" s="49">
        <v>1.923</v>
      </c>
      <c r="BZ7" s="49">
        <v>3.2389999999999999</v>
      </c>
      <c r="CA7" s="49">
        <v>3.2639999999999998</v>
      </c>
      <c r="CB7" s="49">
        <v>3.1560000000000001</v>
      </c>
      <c r="CC7" s="49">
        <v>5.61</v>
      </c>
      <c r="CD7" s="49">
        <v>2.3180000000000001</v>
      </c>
      <c r="CE7" s="49">
        <v>3.6909999999999998</v>
      </c>
      <c r="CF7" s="49">
        <v>2.0830000000000002</v>
      </c>
      <c r="CG7" s="49">
        <v>13.692</v>
      </c>
      <c r="CH7" s="49">
        <v>9.9610000000000003</v>
      </c>
      <c r="CI7" s="3"/>
      <c r="CJ7" s="3"/>
      <c r="CK7" s="3"/>
      <c r="CL7" s="49">
        <v>0</v>
      </c>
      <c r="CM7" s="49">
        <v>0.2</v>
      </c>
      <c r="CN7" s="49">
        <v>0</v>
      </c>
      <c r="CO7" s="49">
        <v>0</v>
      </c>
      <c r="CP7" s="49">
        <v>127.569</v>
      </c>
      <c r="CQ7" s="49">
        <v>151.59800000000001</v>
      </c>
      <c r="CR7" s="49">
        <v>125.84</v>
      </c>
      <c r="CS7" s="49">
        <v>118.00700000000001</v>
      </c>
      <c r="CT7" s="49">
        <v>0.33900000000000002</v>
      </c>
      <c r="CU7" s="49">
        <v>1.1000000000000001</v>
      </c>
      <c r="CV7" s="49">
        <v>1.298</v>
      </c>
      <c r="CW7" s="49">
        <v>0.5</v>
      </c>
      <c r="CX7" s="49">
        <v>1.5960000000000001</v>
      </c>
      <c r="CY7" s="49">
        <v>0.997</v>
      </c>
      <c r="CZ7" s="49">
        <v>0.70099999999999996</v>
      </c>
      <c r="DA7" s="49">
        <v>0.60099999999999998</v>
      </c>
      <c r="DB7" s="49">
        <v>1.1970000000000001</v>
      </c>
      <c r="DC7" s="49">
        <v>6.0000000000000001E-3</v>
      </c>
      <c r="DD7" s="49">
        <v>0</v>
      </c>
      <c r="DE7" s="49">
        <v>0.27</v>
      </c>
      <c r="DF7" s="49">
        <v>0.18</v>
      </c>
      <c r="DG7" s="49">
        <v>0.45700000000000002</v>
      </c>
      <c r="DH7" s="49">
        <v>2.15</v>
      </c>
      <c r="DI7" s="49">
        <v>1.028</v>
      </c>
      <c r="DJ7" s="49">
        <v>0.152</v>
      </c>
      <c r="DK7" s="49">
        <v>1.03</v>
      </c>
      <c r="DL7" s="49">
        <v>0.60799999999999998</v>
      </c>
      <c r="DM7" s="49">
        <v>0.77100000000000002</v>
      </c>
      <c r="DN7" s="49">
        <v>0.73199999999999998</v>
      </c>
      <c r="DO7" s="49">
        <v>0.69399999999999995</v>
      </c>
      <c r="DP7" s="49">
        <v>67.043000000000006</v>
      </c>
      <c r="DQ7" s="49">
        <v>60.802</v>
      </c>
      <c r="DR7" s="49">
        <v>54.865000000000002</v>
      </c>
      <c r="DS7" s="49">
        <v>51.74</v>
      </c>
      <c r="DT7" s="49">
        <v>2.46</v>
      </c>
      <c r="DU7" s="49">
        <v>2.87</v>
      </c>
      <c r="DV7" s="49">
        <v>5.23</v>
      </c>
      <c r="DW7" s="49">
        <v>4.1100000000000003</v>
      </c>
      <c r="DX7" s="49">
        <v>2.6</v>
      </c>
      <c r="DY7" s="49">
        <v>3.05</v>
      </c>
      <c r="DZ7" s="49">
        <v>5.01</v>
      </c>
      <c r="EA7" s="49">
        <v>4.1500000000000004</v>
      </c>
      <c r="EB7" s="49">
        <v>19.98</v>
      </c>
      <c r="EC7" s="49">
        <v>19.829999999999998</v>
      </c>
      <c r="ED7" s="49">
        <v>15.81</v>
      </c>
      <c r="EE7" s="49">
        <v>17.12</v>
      </c>
      <c r="EF7" s="49">
        <v>74.959999999999994</v>
      </c>
      <c r="EG7" s="49">
        <v>74.25</v>
      </c>
      <c r="EH7" s="49">
        <v>73.94</v>
      </c>
      <c r="EI7" s="49">
        <v>74.62</v>
      </c>
      <c r="EJ7" s="49">
        <v>6.9870000000000001</v>
      </c>
      <c r="EK7" s="49">
        <v>59.179000000000002</v>
      </c>
      <c r="EL7" s="49">
        <v>0.9</v>
      </c>
      <c r="EM7" s="49">
        <v>0.35</v>
      </c>
      <c r="EN7" s="49">
        <v>0.92</v>
      </c>
      <c r="EO7" s="49">
        <v>0.92</v>
      </c>
      <c r="EP7" s="49">
        <v>-105.054</v>
      </c>
      <c r="EQ7" s="49">
        <v>-2.2130000000000001</v>
      </c>
      <c r="ER7" s="49">
        <v>118.32599999999999</v>
      </c>
      <c r="ES7" s="49">
        <v>1.2669999999999999</v>
      </c>
      <c r="ET7" s="49">
        <v>1.35</v>
      </c>
      <c r="EU7" s="49">
        <v>1.206</v>
      </c>
      <c r="EV7" s="49">
        <v>7.4059999999999997</v>
      </c>
      <c r="EW7" s="49">
        <v>11.714</v>
      </c>
      <c r="EX7" s="49">
        <v>69.84</v>
      </c>
      <c r="EY7" s="49">
        <v>2.1000000000000001E-2</v>
      </c>
      <c r="EZ7" s="49">
        <v>0</v>
      </c>
      <c r="FA7" s="49">
        <v>0</v>
      </c>
      <c r="FB7" s="49">
        <v>8.2810000000000006</v>
      </c>
      <c r="FC7" s="49">
        <v>61.575000000000003</v>
      </c>
      <c r="FD7" s="49">
        <v>58.661000000000001</v>
      </c>
      <c r="FE7" s="49">
        <v>69.325000000000003</v>
      </c>
      <c r="FF7" s="49">
        <v>66.614000000000004</v>
      </c>
      <c r="FG7" s="49">
        <v>0.91</v>
      </c>
      <c r="FH7" s="49">
        <v>0.91</v>
      </c>
      <c r="FI7" s="49">
        <v>0.98199999999999998</v>
      </c>
      <c r="FJ7" s="49">
        <v>0.97599999999999998</v>
      </c>
      <c r="FK7" s="49">
        <v>0.4</v>
      </c>
      <c r="FL7" s="49">
        <v>86</v>
      </c>
      <c r="FM7" s="49">
        <v>2.54</v>
      </c>
      <c r="FN7" s="49">
        <v>0.62</v>
      </c>
      <c r="FO7" s="49">
        <v>5.47</v>
      </c>
      <c r="FP7" s="49">
        <v>0.5</v>
      </c>
      <c r="FQ7" s="49">
        <v>3.5</v>
      </c>
      <c r="FR7" s="49">
        <v>5.15</v>
      </c>
      <c r="FS7" s="49">
        <v>7.0324999999999998</v>
      </c>
      <c r="FT7" s="49">
        <v>1064.7</v>
      </c>
      <c r="FU7" s="49">
        <v>5.96</v>
      </c>
      <c r="FV7" s="49">
        <v>66.150000000000006</v>
      </c>
      <c r="FW7" s="49">
        <v>3042</v>
      </c>
      <c r="FX7" s="49">
        <v>155300</v>
      </c>
      <c r="FY7" s="49">
        <v>166900</v>
      </c>
      <c r="FZ7" s="49">
        <v>70.272000000000006</v>
      </c>
      <c r="GA7" s="49">
        <v>46.469000000000001</v>
      </c>
      <c r="GB7" s="49">
        <v>2070.6</v>
      </c>
      <c r="GC7" s="49">
        <v>2101.4</v>
      </c>
      <c r="GD7" s="49">
        <v>2070.6</v>
      </c>
      <c r="GE7" s="49">
        <v>2191.5</v>
      </c>
      <c r="GF7" s="49">
        <v>1220.625</v>
      </c>
      <c r="GG7" s="49">
        <v>37</v>
      </c>
      <c r="GH7" s="49">
        <v>37.1</v>
      </c>
      <c r="GI7" s="49">
        <v>62.9</v>
      </c>
      <c r="GJ7" s="49">
        <v>67.400000000000006</v>
      </c>
      <c r="GK7" s="49">
        <v>93</v>
      </c>
      <c r="GL7" s="49">
        <v>77.3</v>
      </c>
      <c r="GM7" s="49">
        <v>0</v>
      </c>
      <c r="GN7" s="49">
        <v>22.878</v>
      </c>
      <c r="GO7" s="49">
        <v>118.32599999999999</v>
      </c>
      <c r="GP7" s="49">
        <v>0</v>
      </c>
      <c r="GQ7" s="49">
        <v>3.9529999999999998</v>
      </c>
      <c r="GR7" s="49">
        <v>0</v>
      </c>
      <c r="GS7" s="49">
        <v>3.7759999999999998</v>
      </c>
      <c r="GT7" s="49">
        <v>0</v>
      </c>
      <c r="GU7" s="49">
        <v>4.5430000000000001</v>
      </c>
      <c r="GV7" s="49">
        <v>0</v>
      </c>
      <c r="GW7" s="49">
        <v>12.898999999999999</v>
      </c>
      <c r="GX7" s="49">
        <v>20.58</v>
      </c>
      <c r="GY7" s="49">
        <v>0</v>
      </c>
      <c r="GZ7" s="49">
        <v>0</v>
      </c>
      <c r="HA7" s="49">
        <v>0</v>
      </c>
      <c r="HB7" s="49">
        <v>1</v>
      </c>
      <c r="HC7" s="49">
        <v>30.065000000000001</v>
      </c>
      <c r="HD7" s="49">
        <v>98</v>
      </c>
      <c r="HE7" s="49">
        <v>0</v>
      </c>
      <c r="HF7" s="49">
        <v>0</v>
      </c>
      <c r="HG7" s="49">
        <v>90.64</v>
      </c>
      <c r="HH7" s="49">
        <v>81.17</v>
      </c>
      <c r="HI7" s="49">
        <v>0</v>
      </c>
      <c r="HJ7" s="49">
        <v>0</v>
      </c>
      <c r="HK7" s="49">
        <v>0</v>
      </c>
      <c r="HL7" s="49">
        <v>68</v>
      </c>
      <c r="HM7" s="49">
        <v>57</v>
      </c>
      <c r="HN7" s="49">
        <v>67</v>
      </c>
      <c r="HO7" s="49">
        <v>60</v>
      </c>
      <c r="HP7" s="49">
        <v>64</v>
      </c>
      <c r="HQ7" s="49">
        <v>61</v>
      </c>
      <c r="HR7" s="49">
        <v>54</v>
      </c>
      <c r="HS7" s="49">
        <v>62</v>
      </c>
      <c r="HT7" s="49">
        <v>-5.6000000000000001E-2</v>
      </c>
      <c r="HU7" s="49">
        <v>0</v>
      </c>
      <c r="HV7" s="49">
        <v>1.1399999999999999</v>
      </c>
      <c r="HW7" s="49">
        <v>62.71</v>
      </c>
      <c r="HX7" s="49">
        <v>59.51</v>
      </c>
      <c r="HY7" s="3"/>
      <c r="HZ7" s="3"/>
      <c r="IA7" s="49">
        <v>2.802</v>
      </c>
      <c r="IB7" s="49">
        <v>100</v>
      </c>
      <c r="IC7" s="49">
        <v>19.297000000000001</v>
      </c>
      <c r="ID7" s="49">
        <v>-2.7E-2</v>
      </c>
      <c r="IE7" s="49">
        <v>2.3E-2</v>
      </c>
      <c r="IF7" s="49">
        <v>876</v>
      </c>
      <c r="IG7" s="49">
        <v>724.9</v>
      </c>
      <c r="IH7" s="49">
        <v>916</v>
      </c>
      <c r="II7" s="49">
        <v>754.5</v>
      </c>
      <c r="IJ7" s="49">
        <v>1.2E-2</v>
      </c>
      <c r="IK7" s="49">
        <v>2.1999999999999999E-2</v>
      </c>
      <c r="IL7" s="49">
        <v>347.209</v>
      </c>
      <c r="IM7" s="49">
        <v>347.44900000000001</v>
      </c>
      <c r="IN7" s="49">
        <v>29.553000000000001</v>
      </c>
      <c r="IO7" s="49">
        <v>3.1739999999999999</v>
      </c>
      <c r="IP7" s="49">
        <v>13.76</v>
      </c>
      <c r="IQ7" s="49">
        <v>0</v>
      </c>
      <c r="IR7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5180F-F89E-476E-A422-A72F999D5FA0}">
  <sheetPr codeName="Sheet9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419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4.8232638888888891E-3</v>
      </c>
      <c r="E7" s="48">
        <v>416.72899999999998</v>
      </c>
      <c r="F7" s="48">
        <v>327.07</v>
      </c>
      <c r="G7" s="48">
        <v>5.86</v>
      </c>
      <c r="H7" s="49">
        <v>26.4</v>
      </c>
      <c r="I7" s="49">
        <v>2.06</v>
      </c>
      <c r="J7" s="49">
        <v>157.80000000000001</v>
      </c>
      <c r="K7" s="49">
        <v>6</v>
      </c>
      <c r="L7" s="49">
        <v>4</v>
      </c>
      <c r="M7" s="49">
        <v>4</v>
      </c>
      <c r="N7" s="49">
        <v>3</v>
      </c>
      <c r="O7" s="49">
        <v>3</v>
      </c>
      <c r="P7" s="48">
        <v>0.79300000000000004</v>
      </c>
      <c r="Q7" s="48">
        <v>1.252</v>
      </c>
      <c r="R7" s="48">
        <v>0.91700000000000004</v>
      </c>
      <c r="S7" s="49">
        <v>0.59299999999999997</v>
      </c>
      <c r="T7" s="48">
        <v>67.59</v>
      </c>
      <c r="U7" s="49">
        <v>61.606999999999999</v>
      </c>
      <c r="V7" s="49">
        <v>70</v>
      </c>
      <c r="W7" s="49">
        <v>40</v>
      </c>
      <c r="X7" s="49">
        <v>40</v>
      </c>
      <c r="Y7" s="49">
        <v>30</v>
      </c>
      <c r="Z7" s="48">
        <v>200.81</v>
      </c>
      <c r="AA7" s="48">
        <v>186.42</v>
      </c>
      <c r="AB7" s="48">
        <v>163.38999999999999</v>
      </c>
      <c r="AC7" s="48">
        <v>142.88999999999999</v>
      </c>
      <c r="AD7" s="49">
        <v>1.871</v>
      </c>
      <c r="AE7" s="49">
        <v>1.9350000000000001</v>
      </c>
      <c r="AF7" s="49">
        <v>1.722</v>
      </c>
      <c r="AG7" s="49">
        <v>2.2349999999999999</v>
      </c>
      <c r="AH7" s="48">
        <v>67.28</v>
      </c>
      <c r="AI7" s="48">
        <v>64.349999999999994</v>
      </c>
      <c r="AJ7" s="48">
        <v>69.09</v>
      </c>
      <c r="AK7" s="48">
        <v>31.19</v>
      </c>
      <c r="AL7" s="48">
        <v>578.89499999999998</v>
      </c>
      <c r="AM7" s="48">
        <v>594.28399999999999</v>
      </c>
      <c r="AN7" s="48">
        <v>664.62099999999998</v>
      </c>
      <c r="AO7" s="48">
        <v>674.45399999999995</v>
      </c>
      <c r="AP7" s="49">
        <v>2.657</v>
      </c>
      <c r="AQ7" s="49">
        <v>1.952</v>
      </c>
      <c r="AR7" s="49">
        <v>39.817</v>
      </c>
      <c r="AS7" s="48">
        <v>33.771999999999998</v>
      </c>
      <c r="AT7" s="49">
        <v>82</v>
      </c>
      <c r="AU7" s="48">
        <v>86</v>
      </c>
      <c r="AV7" s="48">
        <v>3.1280000000000001</v>
      </c>
      <c r="AW7" s="48">
        <v>5.1810999999999998</v>
      </c>
      <c r="AX7" s="49">
        <v>1004.4</v>
      </c>
      <c r="AY7" s="48">
        <v>0.99</v>
      </c>
      <c r="AZ7" s="49">
        <v>0.47</v>
      </c>
      <c r="BA7" s="49">
        <v>64.997</v>
      </c>
      <c r="BB7" s="49">
        <v>66.503</v>
      </c>
      <c r="BC7" s="48">
        <v>7567</v>
      </c>
      <c r="BD7" s="48">
        <v>89</v>
      </c>
      <c r="BE7" s="48">
        <v>23.234999999999999</v>
      </c>
      <c r="BF7" s="48">
        <v>12.355</v>
      </c>
      <c r="BG7" s="48">
        <v>26.48</v>
      </c>
      <c r="BH7" s="48">
        <v>26.74</v>
      </c>
      <c r="BI7" s="3"/>
      <c r="BJ7" s="3"/>
      <c r="BK7" s="3"/>
      <c r="BL7" s="3"/>
      <c r="BM7" s="3"/>
      <c r="BN7" s="48">
        <v>568.15200000000004</v>
      </c>
      <c r="BO7" s="48">
        <v>586.904</v>
      </c>
      <c r="BP7" s="48">
        <v>103.57599999999999</v>
      </c>
      <c r="BQ7" s="48">
        <v>93.031999999999996</v>
      </c>
      <c r="BR7" s="3"/>
      <c r="BS7" s="49">
        <v>25.3</v>
      </c>
      <c r="BT7" s="48">
        <v>6868.88</v>
      </c>
      <c r="BU7" s="49">
        <v>87.275000000000006</v>
      </c>
      <c r="BV7" s="49">
        <v>69.158000000000001</v>
      </c>
      <c r="BW7" s="48">
        <v>66.590999999999994</v>
      </c>
      <c r="BX7" s="48">
        <v>69.135000000000005</v>
      </c>
      <c r="BY7" s="49">
        <v>1.4490000000000001</v>
      </c>
      <c r="BZ7" s="48">
        <v>2.8109999999999999</v>
      </c>
      <c r="CA7" s="48">
        <v>2.9159999999999999</v>
      </c>
      <c r="CB7" s="48">
        <v>3.7280000000000002</v>
      </c>
      <c r="CC7" s="48">
        <v>6.2069999999999999</v>
      </c>
      <c r="CD7" s="48">
        <v>2.39</v>
      </c>
      <c r="CE7" s="48">
        <v>3.976</v>
      </c>
      <c r="CF7" s="49">
        <v>2.274</v>
      </c>
      <c r="CG7" s="48">
        <v>13.079000000000001</v>
      </c>
      <c r="CH7" s="49">
        <v>9.8650000000000002</v>
      </c>
      <c r="CI7" s="49">
        <v>4.7069999999999999</v>
      </c>
      <c r="CJ7" s="49">
        <v>2.7519999999999998</v>
      </c>
      <c r="CK7" s="49">
        <v>1.52</v>
      </c>
      <c r="CL7" s="49">
        <v>0</v>
      </c>
      <c r="CM7" s="48">
        <v>0</v>
      </c>
      <c r="CN7" s="49">
        <v>0</v>
      </c>
      <c r="CO7" s="49">
        <v>0</v>
      </c>
      <c r="CP7" s="48">
        <v>63.801000000000002</v>
      </c>
      <c r="CQ7" s="48">
        <v>46.726999999999997</v>
      </c>
      <c r="CR7" s="48">
        <v>50.948999999999998</v>
      </c>
      <c r="CS7" s="48">
        <v>47.676000000000002</v>
      </c>
      <c r="CT7" s="49">
        <v>0.57599999999999996</v>
      </c>
      <c r="CU7" s="49">
        <v>1.9019999999999999</v>
      </c>
      <c r="CV7" s="49">
        <v>1.5029999999999999</v>
      </c>
      <c r="CW7" s="48">
        <v>1.0980000000000001</v>
      </c>
      <c r="CX7" s="49">
        <v>2.1019999999999999</v>
      </c>
      <c r="CY7" s="49">
        <v>0.5</v>
      </c>
      <c r="CZ7" s="49">
        <v>1.1990000000000001</v>
      </c>
      <c r="DA7" s="49">
        <v>0.89900000000000002</v>
      </c>
      <c r="DB7" s="48">
        <v>1.601</v>
      </c>
      <c r="DC7" s="49">
        <v>0</v>
      </c>
      <c r="DD7" s="49">
        <v>0</v>
      </c>
      <c r="DE7" s="48">
        <v>0.188</v>
      </c>
      <c r="DF7" s="48">
        <v>0.14699999999999999</v>
      </c>
      <c r="DG7" s="48">
        <v>0.129</v>
      </c>
      <c r="DH7" s="48">
        <v>1.6539999999999999</v>
      </c>
      <c r="DI7" s="48">
        <v>1.1419999999999999</v>
      </c>
      <c r="DJ7" s="48">
        <v>0.245</v>
      </c>
      <c r="DK7" s="48">
        <v>0.996</v>
      </c>
      <c r="DL7" s="48">
        <v>0.61</v>
      </c>
      <c r="DM7" s="48">
        <v>0.77600000000000002</v>
      </c>
      <c r="DN7" s="48">
        <v>0.76300000000000001</v>
      </c>
      <c r="DO7" s="48">
        <v>0.71</v>
      </c>
      <c r="DP7" s="49">
        <v>65.025999999999996</v>
      </c>
      <c r="DQ7" s="48">
        <v>61.975000000000001</v>
      </c>
      <c r="DR7" s="48">
        <v>52.972999999999999</v>
      </c>
      <c r="DS7" s="48">
        <v>51.600999999999999</v>
      </c>
      <c r="DT7" s="48">
        <v>2.39</v>
      </c>
      <c r="DU7" s="48">
        <v>2.71</v>
      </c>
      <c r="DV7" s="48">
        <v>7.77</v>
      </c>
      <c r="DW7" s="48">
        <v>6.09</v>
      </c>
      <c r="DX7" s="48">
        <v>2.75</v>
      </c>
      <c r="DY7" s="48">
        <v>2.78</v>
      </c>
      <c r="DZ7" s="48">
        <v>7.43</v>
      </c>
      <c r="EA7" s="48">
        <v>5.9</v>
      </c>
      <c r="EB7" s="48">
        <v>28.22</v>
      </c>
      <c r="EC7" s="48">
        <v>27.37</v>
      </c>
      <c r="ED7" s="48">
        <v>21.77</v>
      </c>
      <c r="EE7" s="48">
        <v>23.04</v>
      </c>
      <c r="EF7" s="49">
        <v>66.64</v>
      </c>
      <c r="EG7" s="49">
        <v>67.150000000000006</v>
      </c>
      <c r="EH7" s="49">
        <v>63.03</v>
      </c>
      <c r="EI7" s="49">
        <v>64.97</v>
      </c>
      <c r="EJ7" s="48">
        <v>5.5220000000000002</v>
      </c>
      <c r="EK7" s="48">
        <v>58.598999999999997</v>
      </c>
      <c r="EL7" s="49">
        <v>0.8</v>
      </c>
      <c r="EM7" s="48">
        <v>0.35</v>
      </c>
      <c r="EN7" s="48">
        <v>1.28</v>
      </c>
      <c r="EO7" s="48">
        <v>1.1599999999999999</v>
      </c>
      <c r="EP7" s="48">
        <v>-97.754000000000005</v>
      </c>
      <c r="EQ7" s="48">
        <v>-1.0169999999999999</v>
      </c>
      <c r="ER7" s="48">
        <v>78.614000000000004</v>
      </c>
      <c r="ES7" s="48">
        <v>0.89100000000000001</v>
      </c>
      <c r="ET7" s="48">
        <v>0.97399999999999998</v>
      </c>
      <c r="EU7" s="48">
        <v>0.86399999999999999</v>
      </c>
      <c r="EV7" s="48">
        <v>7.94</v>
      </c>
      <c r="EW7" s="48">
        <v>4.2510000000000003</v>
      </c>
      <c r="EX7" s="48">
        <v>-711.16</v>
      </c>
      <c r="EY7" s="49">
        <v>3.7410000000000001</v>
      </c>
      <c r="EZ7" s="49">
        <v>77.850999999999999</v>
      </c>
      <c r="FA7" s="49">
        <v>0</v>
      </c>
      <c r="FB7" s="48">
        <v>6.4580000000000002</v>
      </c>
      <c r="FC7" s="49">
        <v>75.915999999999997</v>
      </c>
      <c r="FD7" s="49">
        <v>74.825999999999993</v>
      </c>
      <c r="FE7" s="49">
        <v>76.539000000000001</v>
      </c>
      <c r="FF7" s="48">
        <v>46.216999999999999</v>
      </c>
      <c r="FG7" s="49">
        <v>1.167</v>
      </c>
      <c r="FH7" s="49">
        <v>1.0369999999999999</v>
      </c>
      <c r="FI7" s="48">
        <v>1</v>
      </c>
      <c r="FJ7" s="48">
        <v>0.998</v>
      </c>
      <c r="FK7" s="49">
        <v>0.19900000000000001</v>
      </c>
      <c r="FL7" s="48">
        <v>82</v>
      </c>
      <c r="FM7" s="49">
        <v>2.52</v>
      </c>
      <c r="FN7" s="48">
        <v>0.65</v>
      </c>
      <c r="FO7" s="49">
        <v>0.48</v>
      </c>
      <c r="FP7" s="49">
        <v>0.8</v>
      </c>
      <c r="FQ7" s="49">
        <v>2.85</v>
      </c>
      <c r="FR7" s="48">
        <v>5.25</v>
      </c>
      <c r="FS7" s="49">
        <v>6.9630000000000001</v>
      </c>
      <c r="FT7" s="48">
        <v>1063.0999999999999</v>
      </c>
      <c r="FU7" s="48">
        <v>3.51</v>
      </c>
      <c r="FV7" s="48">
        <v>5.86</v>
      </c>
      <c r="FW7" s="49">
        <v>16383.5</v>
      </c>
      <c r="FX7" s="48">
        <v>161300</v>
      </c>
      <c r="FY7" s="48">
        <v>161300</v>
      </c>
      <c r="FZ7" s="48">
        <v>45.805</v>
      </c>
      <c r="GA7" s="48">
        <v>44.658999999999999</v>
      </c>
      <c r="GB7" s="49">
        <v>2131.5</v>
      </c>
      <c r="GC7" s="49">
        <v>2141.3000000000002</v>
      </c>
      <c r="GD7" s="49">
        <v>2144.6999999999998</v>
      </c>
      <c r="GE7" s="49">
        <v>2231.1</v>
      </c>
      <c r="GF7" s="48">
        <v>1546.0625</v>
      </c>
      <c r="GG7" s="49">
        <v>35</v>
      </c>
      <c r="GH7" s="49">
        <v>35.1</v>
      </c>
      <c r="GI7" s="49">
        <v>70.599999999999994</v>
      </c>
      <c r="GJ7" s="49">
        <v>71.8</v>
      </c>
      <c r="GK7" s="49">
        <v>86</v>
      </c>
      <c r="GL7" s="48">
        <v>112</v>
      </c>
      <c r="GM7" s="49">
        <v>0</v>
      </c>
      <c r="GN7" s="48">
        <v>22.387</v>
      </c>
      <c r="GO7" s="48">
        <v>97.754000000000005</v>
      </c>
      <c r="GP7" s="49">
        <v>0</v>
      </c>
      <c r="GQ7" s="49">
        <v>5.782</v>
      </c>
      <c r="GR7" s="49">
        <v>0</v>
      </c>
      <c r="GS7" s="48">
        <v>5.4870000000000001</v>
      </c>
      <c r="GT7" s="49">
        <v>0</v>
      </c>
      <c r="GU7" s="48">
        <v>4.7789999999999999</v>
      </c>
      <c r="GV7" s="49">
        <v>0</v>
      </c>
      <c r="GW7" s="48">
        <v>8.9809999999999999</v>
      </c>
      <c r="GX7" s="48">
        <v>24.01</v>
      </c>
      <c r="GY7" s="49">
        <v>0</v>
      </c>
      <c r="GZ7" s="49">
        <v>0</v>
      </c>
      <c r="HA7" s="49">
        <v>0</v>
      </c>
      <c r="HB7" s="49">
        <v>1</v>
      </c>
      <c r="HC7" s="48">
        <v>36.072000000000003</v>
      </c>
      <c r="HD7" s="48">
        <v>86</v>
      </c>
      <c r="HE7" s="49">
        <v>0</v>
      </c>
      <c r="HF7" s="49">
        <v>0</v>
      </c>
      <c r="HG7" s="49">
        <v>88.67</v>
      </c>
      <c r="HH7" s="48">
        <v>76.69</v>
      </c>
      <c r="HI7" s="49">
        <v>0</v>
      </c>
      <c r="HJ7" s="49">
        <v>0</v>
      </c>
      <c r="HK7" s="49">
        <v>0</v>
      </c>
      <c r="HL7" s="48">
        <v>45</v>
      </c>
      <c r="HM7" s="49">
        <v>54</v>
      </c>
      <c r="HN7" s="48">
        <v>57</v>
      </c>
      <c r="HO7" s="48">
        <v>51</v>
      </c>
      <c r="HP7" s="48">
        <v>54</v>
      </c>
      <c r="HQ7" s="48">
        <v>53</v>
      </c>
      <c r="HR7" s="48">
        <v>48</v>
      </c>
      <c r="HS7" s="48">
        <v>56</v>
      </c>
      <c r="HT7" s="48">
        <v>-9.2999999999999999E-2</v>
      </c>
      <c r="HU7" s="49">
        <v>0</v>
      </c>
      <c r="HV7" s="48">
        <v>0.73599999999999999</v>
      </c>
      <c r="HW7" s="49">
        <v>34.96</v>
      </c>
      <c r="HX7" s="48">
        <v>34.909999999999997</v>
      </c>
      <c r="HY7" s="3"/>
      <c r="HZ7" s="3"/>
      <c r="IA7" s="48">
        <v>2.331</v>
      </c>
      <c r="IB7" s="48">
        <v>84</v>
      </c>
      <c r="IC7" s="48">
        <v>10.038</v>
      </c>
      <c r="ID7" s="48">
        <v>-5.1999999999999998E-2</v>
      </c>
      <c r="IE7" s="48">
        <v>-3.6999999999999998E-2</v>
      </c>
      <c r="IF7" s="48">
        <v>783.6</v>
      </c>
      <c r="IG7" s="48">
        <v>443.9</v>
      </c>
      <c r="IH7" s="48">
        <v>817.9</v>
      </c>
      <c r="II7" s="48">
        <v>465.4</v>
      </c>
      <c r="IJ7" s="48">
        <v>-3.5000000000000003E-2</v>
      </c>
      <c r="IK7" s="48">
        <v>-0.02</v>
      </c>
      <c r="IL7" s="48">
        <v>236.303</v>
      </c>
      <c r="IM7" s="48">
        <v>236.78299999999999</v>
      </c>
      <c r="IN7" s="48">
        <v>21.507000000000001</v>
      </c>
      <c r="IO7" s="48">
        <v>0.25600000000000001</v>
      </c>
      <c r="IP7" s="48">
        <v>12.13</v>
      </c>
      <c r="IQ7" s="49">
        <v>2.5000000000000001E-2</v>
      </c>
      <c r="IR7" s="48">
        <v>1.4999999999999999E-2</v>
      </c>
    </row>
    <row r="8" spans="2:252" x14ac:dyDescent="0.25">
      <c r="B8" s="2" t="s">
        <v>407</v>
      </c>
      <c r="C8" s="58" t="s">
        <v>42</v>
      </c>
      <c r="D8" s="59">
        <v>2.416782407407407E-3</v>
      </c>
      <c r="E8" s="48">
        <v>208.85</v>
      </c>
      <c r="F8" s="49">
        <v>330.51</v>
      </c>
      <c r="G8" s="49">
        <v>6.05</v>
      </c>
      <c r="H8" s="48">
        <v>24.7</v>
      </c>
      <c r="I8" s="48">
        <v>0</v>
      </c>
      <c r="J8" s="48">
        <v>9.5</v>
      </c>
      <c r="K8" s="49">
        <v>6</v>
      </c>
      <c r="L8" s="49">
        <v>4</v>
      </c>
      <c r="M8" s="49">
        <v>4</v>
      </c>
      <c r="N8" s="49">
        <v>3</v>
      </c>
      <c r="O8" s="49">
        <v>3</v>
      </c>
      <c r="P8" s="49">
        <v>0.92400000000000004</v>
      </c>
      <c r="Q8" s="49">
        <v>1.9450000000000001</v>
      </c>
      <c r="R8" s="49">
        <v>1.0369999999999999</v>
      </c>
      <c r="S8" s="48">
        <v>0.434</v>
      </c>
      <c r="T8" s="49">
        <v>85.38</v>
      </c>
      <c r="U8" s="48">
        <v>60.723999999999997</v>
      </c>
      <c r="V8" s="48">
        <v>298.33999999999997</v>
      </c>
      <c r="W8" s="48">
        <v>281.66000000000003</v>
      </c>
      <c r="X8" s="48">
        <v>283.33999999999997</v>
      </c>
      <c r="Y8" s="48">
        <v>268.33999999999997</v>
      </c>
      <c r="Z8" s="49">
        <v>427.76</v>
      </c>
      <c r="AA8" s="49">
        <v>410.81</v>
      </c>
      <c r="AB8" s="49">
        <v>422.23</v>
      </c>
      <c r="AC8" s="49">
        <v>409.56</v>
      </c>
      <c r="AD8" s="48">
        <v>1.7210000000000001</v>
      </c>
      <c r="AE8" s="48">
        <v>1.7729999999999999</v>
      </c>
      <c r="AF8" s="48">
        <v>1.6910000000000001</v>
      </c>
      <c r="AG8" s="48">
        <v>1.7310000000000001</v>
      </c>
      <c r="AH8" s="49">
        <v>74.89</v>
      </c>
      <c r="AI8" s="49">
        <v>70.790000000000006</v>
      </c>
      <c r="AJ8" s="49">
        <v>99.96</v>
      </c>
      <c r="AK8" s="49">
        <v>99.91</v>
      </c>
      <c r="AL8" s="49">
        <v>684.15599999999995</v>
      </c>
      <c r="AM8" s="49">
        <v>666.17100000000005</v>
      </c>
      <c r="AN8" s="49">
        <v>756.01800000000003</v>
      </c>
      <c r="AO8" s="49">
        <v>760.37199999999996</v>
      </c>
      <c r="AP8" s="48">
        <v>2.62</v>
      </c>
      <c r="AQ8" s="48">
        <v>1.9359999999999999</v>
      </c>
      <c r="AR8" s="48">
        <v>39.018000000000001</v>
      </c>
      <c r="AS8" s="49">
        <v>34.033999999999999</v>
      </c>
      <c r="AT8" s="49">
        <v>82</v>
      </c>
      <c r="AU8" s="48">
        <v>98</v>
      </c>
      <c r="AV8" s="49">
        <v>2.9580000000000002</v>
      </c>
      <c r="AW8" s="49">
        <v>5.5726000000000004</v>
      </c>
      <c r="AX8" s="48">
        <v>995.2</v>
      </c>
      <c r="AY8" s="48">
        <v>1.04</v>
      </c>
      <c r="AZ8" s="48">
        <v>5.2</v>
      </c>
      <c r="BA8" s="48">
        <v>128.77600000000001</v>
      </c>
      <c r="BB8" s="48">
        <v>128.57599999999999</v>
      </c>
      <c r="BC8" s="49">
        <v>7786</v>
      </c>
      <c r="BD8" s="49">
        <v>89.5</v>
      </c>
      <c r="BE8" s="49">
        <v>24.79</v>
      </c>
      <c r="BF8" s="49">
        <v>15.49</v>
      </c>
      <c r="BG8" s="49">
        <v>28.35</v>
      </c>
      <c r="BH8" s="49">
        <v>27.08</v>
      </c>
      <c r="BI8" s="3"/>
      <c r="BJ8" s="3"/>
      <c r="BK8" s="3"/>
      <c r="BL8" s="3"/>
      <c r="BM8" s="3"/>
      <c r="BN8" s="49">
        <v>847.27200000000005</v>
      </c>
      <c r="BO8" s="49">
        <v>847.27200000000005</v>
      </c>
      <c r="BP8" s="48">
        <v>135.048</v>
      </c>
      <c r="BQ8" s="48">
        <v>127.4</v>
      </c>
      <c r="BR8" s="3"/>
      <c r="BS8" s="48">
        <v>24.4</v>
      </c>
      <c r="BT8" s="49">
        <v>7297.5519999999997</v>
      </c>
      <c r="BU8" s="48">
        <v>79.707999999999998</v>
      </c>
      <c r="BV8" s="48">
        <v>61.947000000000003</v>
      </c>
      <c r="BW8" s="48">
        <v>59.911999999999999</v>
      </c>
      <c r="BX8" s="48">
        <v>66.075999999999993</v>
      </c>
      <c r="BY8" s="48">
        <v>1.448</v>
      </c>
      <c r="BZ8" s="49">
        <v>3.028</v>
      </c>
      <c r="CA8" s="49">
        <v>3.7069999999999999</v>
      </c>
      <c r="CB8" s="49">
        <v>4.1769999999999996</v>
      </c>
      <c r="CC8" s="48">
        <v>6.1829999999999998</v>
      </c>
      <c r="CD8" s="49">
        <v>2.6920000000000002</v>
      </c>
      <c r="CE8" s="48">
        <v>3.9969999999999999</v>
      </c>
      <c r="CF8" s="48">
        <v>2.234</v>
      </c>
      <c r="CG8" s="48">
        <v>13.648</v>
      </c>
      <c r="CH8" s="48">
        <v>13.324</v>
      </c>
      <c r="CI8" s="48">
        <v>2.5979999999999999</v>
      </c>
      <c r="CJ8" s="48">
        <v>2.577</v>
      </c>
      <c r="CK8" s="48">
        <v>1.2569999999999999</v>
      </c>
      <c r="CL8" s="49">
        <v>0</v>
      </c>
      <c r="CM8" s="49">
        <v>0.5</v>
      </c>
      <c r="CN8" s="49">
        <v>0</v>
      </c>
      <c r="CO8" s="49">
        <v>0</v>
      </c>
      <c r="CP8" s="49">
        <v>121.523</v>
      </c>
      <c r="CQ8" s="49">
        <v>340.48700000000002</v>
      </c>
      <c r="CR8" s="49">
        <v>120.974</v>
      </c>
      <c r="CS8" s="49">
        <v>113.298</v>
      </c>
      <c r="CT8" s="48">
        <v>0.35</v>
      </c>
      <c r="CU8" s="48">
        <v>0.79900000000000004</v>
      </c>
      <c r="CV8" s="48">
        <v>0.90100000000000002</v>
      </c>
      <c r="CW8" s="49">
        <v>1.397</v>
      </c>
      <c r="CX8" s="48">
        <v>1.4</v>
      </c>
      <c r="CY8" s="48">
        <v>0.30099999999999999</v>
      </c>
      <c r="CZ8" s="48">
        <v>0.89800000000000002</v>
      </c>
      <c r="DA8" s="48">
        <v>0.79900000000000004</v>
      </c>
      <c r="DB8" s="49">
        <v>2.2999999999999998</v>
      </c>
      <c r="DC8" s="49">
        <v>0</v>
      </c>
      <c r="DD8" s="49">
        <v>0</v>
      </c>
      <c r="DE8" s="49">
        <v>0.38700000000000001</v>
      </c>
      <c r="DF8" s="49">
        <v>0.16500000000000001</v>
      </c>
      <c r="DG8" s="49">
        <v>1.194</v>
      </c>
      <c r="DH8" s="49">
        <v>3.355</v>
      </c>
      <c r="DI8" s="49">
        <v>1.7809999999999999</v>
      </c>
      <c r="DJ8" s="49">
        <v>0.435</v>
      </c>
      <c r="DK8" s="49">
        <v>1.085</v>
      </c>
      <c r="DL8" s="48">
        <v>0.60599999999999998</v>
      </c>
      <c r="DM8" s="48">
        <v>0.76100000000000001</v>
      </c>
      <c r="DN8" s="48">
        <v>0.76500000000000001</v>
      </c>
      <c r="DO8" s="48">
        <v>0.72899999999999998</v>
      </c>
      <c r="DP8" s="48">
        <v>64.337000000000003</v>
      </c>
      <c r="DQ8" s="48">
        <v>61.451999999999998</v>
      </c>
      <c r="DR8" s="49">
        <v>54.13</v>
      </c>
      <c r="DS8" s="48">
        <v>52.331000000000003</v>
      </c>
      <c r="DT8" s="49">
        <v>6.34</v>
      </c>
      <c r="DU8" s="49">
        <v>6.54</v>
      </c>
      <c r="DV8" s="49">
        <v>18.11</v>
      </c>
      <c r="DW8" s="49">
        <v>14.53</v>
      </c>
      <c r="DX8" s="49">
        <v>6.76</v>
      </c>
      <c r="DY8" s="49">
        <v>6.77</v>
      </c>
      <c r="DZ8" s="49">
        <v>17.38</v>
      </c>
      <c r="EA8" s="49">
        <v>14.4</v>
      </c>
      <c r="EB8" s="49">
        <v>42.55</v>
      </c>
      <c r="EC8" s="49">
        <v>40.270000000000003</v>
      </c>
      <c r="ED8" s="48">
        <v>30.73</v>
      </c>
      <c r="EE8" s="48">
        <v>33.92</v>
      </c>
      <c r="EF8" s="48">
        <v>44.35</v>
      </c>
      <c r="EG8" s="48">
        <v>46.42</v>
      </c>
      <c r="EH8" s="48">
        <v>33.770000000000003</v>
      </c>
      <c r="EI8" s="48">
        <v>37.15</v>
      </c>
      <c r="EJ8" s="48">
        <v>5.7939999999999996</v>
      </c>
      <c r="EK8" s="49">
        <v>62.518999999999998</v>
      </c>
      <c r="EL8" s="48">
        <v>0.7</v>
      </c>
      <c r="EM8" s="48">
        <v>0.35</v>
      </c>
      <c r="EN8" s="48">
        <v>1.1599999999999999</v>
      </c>
      <c r="EO8" s="48">
        <v>1.1499999999999999</v>
      </c>
      <c r="EP8" s="49">
        <v>-117.61</v>
      </c>
      <c r="EQ8" s="48">
        <v>-2.7429999999999999</v>
      </c>
      <c r="ER8" s="49">
        <v>101.682</v>
      </c>
      <c r="ES8" s="48">
        <v>1.294</v>
      </c>
      <c r="ET8" s="48">
        <v>1.4330000000000001</v>
      </c>
      <c r="EU8" s="48">
        <v>1.2509999999999999</v>
      </c>
      <c r="EV8" s="49">
        <v>8.0229999999999997</v>
      </c>
      <c r="EW8" s="49">
        <v>4.5970000000000004</v>
      </c>
      <c r="EX8" s="49">
        <v>76.16</v>
      </c>
      <c r="EY8" s="48">
        <v>0</v>
      </c>
      <c r="EZ8" s="48">
        <v>4.6689999999999996</v>
      </c>
      <c r="FA8" s="49">
        <v>0</v>
      </c>
      <c r="FB8" s="48">
        <v>8.8840000000000003</v>
      </c>
      <c r="FC8" s="48">
        <v>68.872</v>
      </c>
      <c r="FD8" s="48">
        <v>66.161000000000001</v>
      </c>
      <c r="FE8" s="48">
        <v>76.260000000000005</v>
      </c>
      <c r="FF8" s="49">
        <v>72.694999999999993</v>
      </c>
      <c r="FG8" s="48">
        <v>0.91100000000000003</v>
      </c>
      <c r="FH8" s="48">
        <v>0.91</v>
      </c>
      <c r="FI8" s="48">
        <v>0.98599999999999999</v>
      </c>
      <c r="FJ8" s="48">
        <v>0.98299999999999998</v>
      </c>
      <c r="FK8" s="48">
        <v>0</v>
      </c>
      <c r="FL8" s="49">
        <v>83</v>
      </c>
      <c r="FM8" s="48">
        <v>2.48</v>
      </c>
      <c r="FN8" s="48">
        <v>1.1200000000000001</v>
      </c>
      <c r="FO8" s="48">
        <v>5.14</v>
      </c>
      <c r="FP8" s="3"/>
      <c r="FQ8" s="48">
        <v>4.6500000000000004</v>
      </c>
      <c r="FR8" s="49">
        <v>5.15</v>
      </c>
      <c r="FS8" s="48">
        <v>6.9284999999999997</v>
      </c>
      <c r="FT8" s="49">
        <v>1066.2</v>
      </c>
      <c r="FU8" s="49">
        <v>6.08</v>
      </c>
      <c r="FV8" s="48">
        <v>11.9</v>
      </c>
      <c r="FW8" s="48">
        <v>3082.5</v>
      </c>
      <c r="FX8" s="49">
        <v>166300</v>
      </c>
      <c r="FY8" s="49">
        <v>165900</v>
      </c>
      <c r="FZ8" s="48">
        <v>44.546999999999997</v>
      </c>
      <c r="GA8" s="48">
        <v>43.082999999999998</v>
      </c>
      <c r="GB8" s="48">
        <v>2115.1999999999998</v>
      </c>
      <c r="GC8" s="48">
        <v>2113.6</v>
      </c>
      <c r="GD8" s="48">
        <v>2132.9</v>
      </c>
      <c r="GE8" s="48">
        <v>2139.6999999999998</v>
      </c>
      <c r="GF8" s="49">
        <v>1574.4530999999999</v>
      </c>
      <c r="GG8" s="48">
        <v>30</v>
      </c>
      <c r="GH8" s="48">
        <v>30</v>
      </c>
      <c r="GI8" s="48">
        <v>48.6</v>
      </c>
      <c r="GJ8" s="48">
        <v>53</v>
      </c>
      <c r="GK8" s="48">
        <v>99</v>
      </c>
      <c r="GL8" s="49">
        <v>112.1</v>
      </c>
      <c r="GM8" s="49">
        <v>0</v>
      </c>
      <c r="GN8" s="48">
        <v>21.94</v>
      </c>
      <c r="GO8" s="49">
        <v>117.61</v>
      </c>
      <c r="GP8" s="48">
        <v>0.29499999999999998</v>
      </c>
      <c r="GQ8" s="48">
        <v>1.829</v>
      </c>
      <c r="GR8" s="48">
        <v>0.53100000000000003</v>
      </c>
      <c r="GS8" s="48">
        <v>1.8879999999999999</v>
      </c>
      <c r="GT8" s="48">
        <v>0.47199999999999998</v>
      </c>
      <c r="GU8" s="48">
        <v>1.829</v>
      </c>
      <c r="GV8" s="48">
        <v>12.641999999999999</v>
      </c>
      <c r="GW8" s="48">
        <v>13.965</v>
      </c>
      <c r="GX8" s="48">
        <v>16.366</v>
      </c>
      <c r="GY8" s="49">
        <v>0</v>
      </c>
      <c r="GZ8" s="49">
        <v>0</v>
      </c>
      <c r="HA8" s="49">
        <v>0</v>
      </c>
      <c r="HB8" s="48">
        <v>0</v>
      </c>
      <c r="HC8" s="49">
        <v>37.801000000000002</v>
      </c>
      <c r="HD8" s="48">
        <v>90</v>
      </c>
      <c r="HE8" s="49">
        <v>0</v>
      </c>
      <c r="HF8" s="49">
        <v>0</v>
      </c>
      <c r="HG8" s="48">
        <v>84.93</v>
      </c>
      <c r="HH8" s="48">
        <v>77.39</v>
      </c>
      <c r="HI8" s="49">
        <v>0</v>
      </c>
      <c r="HJ8" s="49">
        <v>0</v>
      </c>
      <c r="HK8" s="49">
        <v>0</v>
      </c>
      <c r="HL8" s="48">
        <v>47</v>
      </c>
      <c r="HM8" s="48">
        <v>52</v>
      </c>
      <c r="HN8" s="48">
        <v>58</v>
      </c>
      <c r="HO8" s="48">
        <v>53</v>
      </c>
      <c r="HP8" s="49">
        <v>57</v>
      </c>
      <c r="HQ8" s="48">
        <v>54</v>
      </c>
      <c r="HR8" s="48">
        <v>48</v>
      </c>
      <c r="HS8" s="49">
        <v>70</v>
      </c>
      <c r="HT8" s="48">
        <v>-0.11799999999999999</v>
      </c>
      <c r="HU8" s="49">
        <v>0</v>
      </c>
      <c r="HV8" s="49">
        <v>1.492</v>
      </c>
      <c r="HW8" s="49">
        <v>34.96</v>
      </c>
      <c r="HX8" s="49">
        <v>34.1</v>
      </c>
      <c r="HY8" s="49">
        <v>47.87</v>
      </c>
      <c r="HZ8" s="49">
        <v>47.87</v>
      </c>
      <c r="IA8" s="49">
        <v>3.1339999999999999</v>
      </c>
      <c r="IB8" s="49">
        <v>102</v>
      </c>
      <c r="IC8" s="49">
        <v>21.309000000000001</v>
      </c>
      <c r="ID8" s="48">
        <v>-0.13100000000000001</v>
      </c>
      <c r="IE8" s="48">
        <v>-5.5E-2</v>
      </c>
      <c r="IF8" s="48">
        <v>787.3</v>
      </c>
      <c r="IG8" s="49">
        <v>744.3</v>
      </c>
      <c r="IH8" s="48">
        <v>819.7</v>
      </c>
      <c r="II8" s="49">
        <v>771.8</v>
      </c>
      <c r="IJ8" s="48">
        <v>-0.215</v>
      </c>
      <c r="IK8" s="48">
        <v>-0.13600000000000001</v>
      </c>
      <c r="IL8" s="48">
        <v>62.457000000000001</v>
      </c>
      <c r="IM8" s="48">
        <v>62.457000000000001</v>
      </c>
      <c r="IN8" s="49">
        <v>27.47</v>
      </c>
      <c r="IO8" s="49">
        <v>0.42499999999999999</v>
      </c>
      <c r="IP8" s="48">
        <v>12.54</v>
      </c>
      <c r="IQ8" s="49">
        <v>2.5000000000000001E-2</v>
      </c>
      <c r="IR8" s="49">
        <v>3.5999999999999997E-2</v>
      </c>
    </row>
    <row r="9" spans="2:252" x14ac:dyDescent="0.25">
      <c r="B9" s="2" t="s">
        <v>407</v>
      </c>
      <c r="C9" s="2" t="s">
        <v>43</v>
      </c>
      <c r="D9" s="57">
        <v>6.2622685185185186E-3</v>
      </c>
      <c r="E9" s="49">
        <v>541.05700000000002</v>
      </c>
      <c r="F9" s="48">
        <v>288.77</v>
      </c>
      <c r="G9" s="48">
        <v>2.82</v>
      </c>
      <c r="H9" s="48">
        <v>24.5</v>
      </c>
      <c r="I9" s="48">
        <v>0</v>
      </c>
      <c r="J9" s="48">
        <v>20.7</v>
      </c>
      <c r="K9" s="49">
        <v>6</v>
      </c>
      <c r="L9" s="49">
        <v>4</v>
      </c>
      <c r="M9" s="49">
        <v>4</v>
      </c>
      <c r="N9" s="49">
        <v>3</v>
      </c>
      <c r="O9" s="49">
        <v>3</v>
      </c>
      <c r="P9" s="48">
        <v>0.56000000000000005</v>
      </c>
      <c r="Q9" s="48">
        <v>0.79400000000000004</v>
      </c>
      <c r="R9" s="48">
        <v>0.53900000000000003</v>
      </c>
      <c r="S9" s="3"/>
      <c r="T9" s="48">
        <v>68.239999999999995</v>
      </c>
      <c r="U9" s="48">
        <v>61.323</v>
      </c>
      <c r="V9" s="48">
        <v>80</v>
      </c>
      <c r="W9" s="49">
        <v>40</v>
      </c>
      <c r="X9" s="49">
        <v>40</v>
      </c>
      <c r="Y9" s="48">
        <v>40</v>
      </c>
      <c r="Z9" s="48">
        <v>166.46</v>
      </c>
      <c r="AA9" s="48">
        <v>153.88</v>
      </c>
      <c r="AB9" s="48">
        <v>164.19</v>
      </c>
      <c r="AC9" s="48">
        <v>160.49</v>
      </c>
      <c r="AD9" s="48">
        <v>1.5780000000000001</v>
      </c>
      <c r="AE9" s="48">
        <v>1.6419999999999999</v>
      </c>
      <c r="AF9" s="48">
        <v>1.5429999999999999</v>
      </c>
      <c r="AG9" s="48">
        <v>1.591</v>
      </c>
      <c r="AH9" s="48">
        <v>52.22</v>
      </c>
      <c r="AI9" s="48">
        <v>51.34</v>
      </c>
      <c r="AJ9" s="48">
        <v>70.41</v>
      </c>
      <c r="AK9" s="48">
        <v>71.25</v>
      </c>
      <c r="AL9" s="48">
        <v>597.84500000000003</v>
      </c>
      <c r="AM9" s="48">
        <v>585.05100000000004</v>
      </c>
      <c r="AN9" s="48">
        <v>711.822</v>
      </c>
      <c r="AO9" s="48">
        <v>668.96799999999996</v>
      </c>
      <c r="AP9" s="3"/>
      <c r="AQ9" s="3"/>
      <c r="AR9" s="3"/>
      <c r="AS9" s="3"/>
      <c r="AT9" s="49">
        <v>82</v>
      </c>
      <c r="AU9" s="49">
        <v>100</v>
      </c>
      <c r="AV9" s="48">
        <v>3.754</v>
      </c>
      <c r="AW9" s="48">
        <v>5.0823</v>
      </c>
      <c r="AX9" s="48">
        <v>983.3</v>
      </c>
      <c r="AY9" s="49">
        <v>1.1000000000000001</v>
      </c>
      <c r="AZ9" s="48">
        <v>5.75</v>
      </c>
      <c r="BA9" s="48">
        <v>138.40700000000001</v>
      </c>
      <c r="BB9" s="48">
        <v>143.50399999999999</v>
      </c>
      <c r="BC9" s="48">
        <v>7502</v>
      </c>
      <c r="BD9" s="48">
        <v>87.25</v>
      </c>
      <c r="BE9" s="48">
        <v>24.22</v>
      </c>
      <c r="BF9" s="48">
        <v>9.42</v>
      </c>
      <c r="BG9" s="48">
        <v>26.53</v>
      </c>
      <c r="BH9" s="48">
        <v>20.77</v>
      </c>
      <c r="BI9" s="49">
        <v>66.001999999999995</v>
      </c>
      <c r="BJ9" s="49">
        <v>81.510000000000005</v>
      </c>
      <c r="BK9" s="49">
        <v>64.363</v>
      </c>
      <c r="BL9" s="49">
        <v>79.337000000000003</v>
      </c>
      <c r="BM9" s="49">
        <v>78.724999999999994</v>
      </c>
      <c r="BN9" s="49">
        <v>847.27200000000005</v>
      </c>
      <c r="BO9" s="49">
        <v>847.27200000000005</v>
      </c>
      <c r="BP9" s="49">
        <v>150.584</v>
      </c>
      <c r="BQ9" s="49">
        <v>141.06399999999999</v>
      </c>
      <c r="BR9" s="49">
        <v>59.149000000000001</v>
      </c>
      <c r="BS9" s="48">
        <v>23.6</v>
      </c>
      <c r="BT9" s="48">
        <v>6296.3860000000004</v>
      </c>
      <c r="BU9" s="48">
        <v>83.525999999999996</v>
      </c>
      <c r="BV9" s="48">
        <v>68.091999999999999</v>
      </c>
      <c r="BW9" s="49">
        <v>71.960999999999999</v>
      </c>
      <c r="BX9" s="49">
        <v>75.597999999999999</v>
      </c>
      <c r="BY9" s="48">
        <v>1.2569999999999999</v>
      </c>
      <c r="BZ9" s="48">
        <v>2.4860000000000002</v>
      </c>
      <c r="CA9" s="48">
        <v>3.4180000000000001</v>
      </c>
      <c r="CB9" s="48">
        <v>3.3889999999999998</v>
      </c>
      <c r="CC9" s="49">
        <v>6.3639999999999999</v>
      </c>
      <c r="CD9" s="48">
        <v>2.282</v>
      </c>
      <c r="CE9" s="49">
        <v>4.0999999999999996</v>
      </c>
      <c r="CF9" s="48">
        <v>2.2189999999999999</v>
      </c>
      <c r="CG9" s="49">
        <v>13.76</v>
      </c>
      <c r="CH9" s="48">
        <v>10.577999999999999</v>
      </c>
      <c r="CI9" s="3"/>
      <c r="CJ9" s="3"/>
      <c r="CK9" s="3"/>
      <c r="CL9" s="49">
        <v>0</v>
      </c>
      <c r="CM9" s="48">
        <v>0</v>
      </c>
      <c r="CN9" s="49">
        <v>0</v>
      </c>
      <c r="CO9" s="49">
        <v>0</v>
      </c>
      <c r="CP9" s="48">
        <v>81.491</v>
      </c>
      <c r="CQ9" s="48">
        <v>182.82900000000001</v>
      </c>
      <c r="CR9" s="48">
        <v>109.858</v>
      </c>
      <c r="CS9" s="48">
        <v>103.532</v>
      </c>
      <c r="CT9" s="48">
        <v>0.15</v>
      </c>
      <c r="CU9" s="48">
        <v>0.5</v>
      </c>
      <c r="CV9" s="48">
        <v>0.2</v>
      </c>
      <c r="CW9" s="48">
        <v>0.3</v>
      </c>
      <c r="CX9" s="48">
        <v>1.3979999999999999</v>
      </c>
      <c r="CY9" s="48">
        <v>0.4</v>
      </c>
      <c r="CZ9" s="48">
        <v>0.8</v>
      </c>
      <c r="DA9" s="48">
        <v>0.497</v>
      </c>
      <c r="DB9" s="48">
        <v>0.39700000000000002</v>
      </c>
      <c r="DC9" s="49">
        <v>0</v>
      </c>
      <c r="DD9" s="49">
        <v>0</v>
      </c>
      <c r="DE9" s="48">
        <v>8.5000000000000006E-2</v>
      </c>
      <c r="DF9" s="48">
        <v>0.14199999999999999</v>
      </c>
      <c r="DG9" s="48">
        <v>0.187</v>
      </c>
      <c r="DH9" s="48">
        <v>0.754</v>
      </c>
      <c r="DI9" s="48">
        <v>0.66100000000000003</v>
      </c>
      <c r="DJ9" s="48">
        <v>8.1000000000000003E-2</v>
      </c>
      <c r="DK9" s="48">
        <v>0.69299999999999995</v>
      </c>
      <c r="DL9" s="49">
        <v>0.64100000000000001</v>
      </c>
      <c r="DM9" s="49">
        <v>0.79</v>
      </c>
      <c r="DN9" s="49">
        <v>0.78900000000000003</v>
      </c>
      <c r="DO9" s="49">
        <v>0.76400000000000001</v>
      </c>
      <c r="DP9" s="48">
        <v>58.139000000000003</v>
      </c>
      <c r="DQ9" s="49">
        <v>64.385000000000005</v>
      </c>
      <c r="DR9" s="48">
        <v>50.250999999999998</v>
      </c>
      <c r="DS9" s="49">
        <v>54.216000000000001</v>
      </c>
      <c r="DT9" s="48">
        <v>0.87</v>
      </c>
      <c r="DU9" s="48">
        <v>0.92</v>
      </c>
      <c r="DV9" s="48">
        <v>2.33</v>
      </c>
      <c r="DW9" s="48">
        <v>1.77</v>
      </c>
      <c r="DX9" s="48">
        <v>1.1000000000000001</v>
      </c>
      <c r="DY9" s="48">
        <v>1.01</v>
      </c>
      <c r="DZ9" s="48">
        <v>2.29</v>
      </c>
      <c r="EA9" s="48">
        <v>1.79</v>
      </c>
      <c r="EB9" s="48">
        <v>33.28</v>
      </c>
      <c r="EC9" s="48">
        <v>32.03</v>
      </c>
      <c r="ED9" s="49">
        <v>36.619999999999997</v>
      </c>
      <c r="EE9" s="49">
        <v>34.380000000000003</v>
      </c>
      <c r="EF9" s="48">
        <v>64.75</v>
      </c>
      <c r="EG9" s="48">
        <v>66.040000000000006</v>
      </c>
      <c r="EH9" s="48">
        <v>58.76</v>
      </c>
      <c r="EI9" s="48">
        <v>62.06</v>
      </c>
      <c r="EJ9" s="49">
        <v>6.67</v>
      </c>
      <c r="EK9" s="48">
        <v>61.453000000000003</v>
      </c>
      <c r="EL9" s="49">
        <v>0.8</v>
      </c>
      <c r="EM9" s="49">
        <v>0.25</v>
      </c>
      <c r="EN9" s="49">
        <v>1.56</v>
      </c>
      <c r="EO9" s="49">
        <v>1.55</v>
      </c>
      <c r="EP9" s="48">
        <v>-108.85</v>
      </c>
      <c r="EQ9" s="49">
        <v>-0.311</v>
      </c>
      <c r="ER9" s="48">
        <v>59.05</v>
      </c>
      <c r="ES9" s="49">
        <v>1.538</v>
      </c>
      <c r="ET9" s="49">
        <v>1.61</v>
      </c>
      <c r="EU9" s="49">
        <v>1.5169999999999999</v>
      </c>
      <c r="EV9" s="3"/>
      <c r="EW9" s="3"/>
      <c r="EX9" s="48">
        <v>19.62</v>
      </c>
      <c r="EY9" s="48">
        <v>0.45900000000000002</v>
      </c>
      <c r="EZ9" s="48">
        <v>1.0429999999999999</v>
      </c>
      <c r="FA9" s="49">
        <v>0</v>
      </c>
      <c r="FB9" s="49">
        <v>9.1980000000000004</v>
      </c>
      <c r="FC9" s="48">
        <v>62.872999999999998</v>
      </c>
      <c r="FD9" s="48">
        <v>59.869</v>
      </c>
      <c r="FE9" s="48">
        <v>72.331000000000003</v>
      </c>
      <c r="FF9" s="48">
        <v>69.683999999999997</v>
      </c>
      <c r="FG9" s="48">
        <v>0.98499999999999999</v>
      </c>
      <c r="FH9" s="48">
        <v>0.93799999999999994</v>
      </c>
      <c r="FI9" s="49">
        <v>1.01</v>
      </c>
      <c r="FJ9" s="49">
        <v>1.008</v>
      </c>
      <c r="FK9" s="48">
        <v>0</v>
      </c>
      <c r="FL9" s="48">
        <v>82</v>
      </c>
      <c r="FM9" s="48">
        <v>2.4</v>
      </c>
      <c r="FN9" s="49">
        <v>0.55000000000000004</v>
      </c>
      <c r="FO9" s="48">
        <v>5.47</v>
      </c>
      <c r="FP9" s="48">
        <v>4.1500000000000004</v>
      </c>
      <c r="FQ9" s="48">
        <v>4.6500000000000004</v>
      </c>
      <c r="FR9" s="49">
        <v>5.15</v>
      </c>
      <c r="FS9" s="48">
        <v>6.4960000000000004</v>
      </c>
      <c r="FT9" s="48">
        <v>1045.5999999999999</v>
      </c>
      <c r="FU9" s="48">
        <v>5.28</v>
      </c>
      <c r="FV9" s="49">
        <v>14.73</v>
      </c>
      <c r="FW9" s="48">
        <v>3075</v>
      </c>
      <c r="FX9" s="48">
        <v>161200</v>
      </c>
      <c r="FY9" s="48">
        <v>162100</v>
      </c>
      <c r="FZ9" s="49">
        <v>49.575000000000003</v>
      </c>
      <c r="GA9" s="49">
        <v>47.993000000000002</v>
      </c>
      <c r="GB9" s="48">
        <v>2076.6</v>
      </c>
      <c r="GC9" s="48">
        <v>2071.9</v>
      </c>
      <c r="GD9" s="48">
        <v>2122.5</v>
      </c>
      <c r="GE9" s="48">
        <v>2119.3000000000002</v>
      </c>
      <c r="GF9" s="48">
        <v>1188.2030999999999</v>
      </c>
      <c r="GG9" s="48">
        <v>33</v>
      </c>
      <c r="GH9" s="48">
        <v>32.5</v>
      </c>
      <c r="GI9" s="48">
        <v>48.6</v>
      </c>
      <c r="GJ9" s="48">
        <v>56.3</v>
      </c>
      <c r="GK9" s="48">
        <v>99.5</v>
      </c>
      <c r="GL9" s="48">
        <v>103.8</v>
      </c>
      <c r="GM9" s="49">
        <v>0</v>
      </c>
      <c r="GN9" s="49">
        <v>23.579000000000001</v>
      </c>
      <c r="GO9" s="48">
        <v>108.85</v>
      </c>
      <c r="GP9" s="49">
        <v>0</v>
      </c>
      <c r="GQ9" s="48">
        <v>4.9560000000000004</v>
      </c>
      <c r="GR9" s="49">
        <v>0</v>
      </c>
      <c r="GS9" s="49">
        <v>5.9</v>
      </c>
      <c r="GT9" s="49">
        <v>0</v>
      </c>
      <c r="GU9" s="49">
        <v>5.6639999999999997</v>
      </c>
      <c r="GV9" s="49">
        <v>0</v>
      </c>
      <c r="GW9" s="49">
        <v>14.186</v>
      </c>
      <c r="GX9" s="49">
        <v>24.99</v>
      </c>
      <c r="GY9" s="49">
        <v>0</v>
      </c>
      <c r="GZ9" s="49">
        <v>0</v>
      </c>
      <c r="HA9" s="49">
        <v>0</v>
      </c>
      <c r="HB9" s="48">
        <v>0</v>
      </c>
      <c r="HC9" s="48">
        <v>35.356999999999999</v>
      </c>
      <c r="HD9" s="49">
        <v>94</v>
      </c>
      <c r="HE9" s="49">
        <v>0</v>
      </c>
      <c r="HF9" s="49">
        <v>0</v>
      </c>
      <c r="HG9" s="48">
        <v>85.3</v>
      </c>
      <c r="HH9" s="49">
        <v>77.540000000000006</v>
      </c>
      <c r="HI9" s="49">
        <v>0</v>
      </c>
      <c r="HJ9" s="49">
        <v>0</v>
      </c>
      <c r="HK9" s="49">
        <v>0</v>
      </c>
      <c r="HL9" s="49">
        <v>50</v>
      </c>
      <c r="HM9" s="48">
        <v>51</v>
      </c>
      <c r="HN9" s="49">
        <v>61</v>
      </c>
      <c r="HO9" s="49">
        <v>54</v>
      </c>
      <c r="HP9" s="49">
        <v>57</v>
      </c>
      <c r="HQ9" s="49">
        <v>55</v>
      </c>
      <c r="HR9" s="49">
        <v>51</v>
      </c>
      <c r="HS9" s="48">
        <v>60</v>
      </c>
      <c r="HT9" s="49">
        <v>-0.1195</v>
      </c>
      <c r="HU9" s="49">
        <v>0</v>
      </c>
      <c r="HV9" s="48">
        <v>0.66800000000000004</v>
      </c>
      <c r="HW9" s="48">
        <v>42.27</v>
      </c>
      <c r="HX9" s="49">
        <v>34.1</v>
      </c>
      <c r="HY9" s="3"/>
      <c r="HZ9" s="3"/>
      <c r="IA9" s="48">
        <v>3.1269999999999998</v>
      </c>
      <c r="IB9" s="48">
        <v>93</v>
      </c>
      <c r="IC9" s="48">
        <v>14.51</v>
      </c>
      <c r="ID9" s="49">
        <v>-6.0000000000000001E-3</v>
      </c>
      <c r="IE9" s="49">
        <v>-3.0000000000000001E-3</v>
      </c>
      <c r="IF9" s="49">
        <v>827.4</v>
      </c>
      <c r="IG9" s="48">
        <v>589.5</v>
      </c>
      <c r="IH9" s="49">
        <v>886.3</v>
      </c>
      <c r="II9" s="48">
        <v>613.29999999999995</v>
      </c>
      <c r="IJ9" s="49">
        <v>-8.9999999999999993E-3</v>
      </c>
      <c r="IK9" s="49">
        <v>-6.0000000000000001E-3</v>
      </c>
      <c r="IL9" s="49">
        <v>460.303</v>
      </c>
      <c r="IM9" s="49">
        <v>460.303</v>
      </c>
      <c r="IN9" s="48">
        <v>23.798999999999999</v>
      </c>
      <c r="IO9" s="48">
        <v>2.3E-2</v>
      </c>
      <c r="IP9" s="49">
        <v>13.29</v>
      </c>
      <c r="IQ9" s="48">
        <v>0</v>
      </c>
      <c r="IR9" s="48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8D683-C8A6-413F-B04E-40D6A16A5174}">
  <sheetPr codeName="Sheet10"/>
  <dimension ref="B1:IR12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420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5.1444444444444445E-3</v>
      </c>
      <c r="E7" s="49">
        <v>444.47500000000002</v>
      </c>
      <c r="F7" s="48">
        <v>326.83</v>
      </c>
      <c r="G7" s="48">
        <v>5.8</v>
      </c>
      <c r="H7" s="49">
        <v>24.4</v>
      </c>
      <c r="I7" s="49">
        <v>0</v>
      </c>
      <c r="J7" s="49">
        <v>226.7</v>
      </c>
      <c r="K7" s="49">
        <v>6</v>
      </c>
      <c r="L7" s="49">
        <v>4</v>
      </c>
      <c r="M7" s="49">
        <v>4</v>
      </c>
      <c r="N7" s="49">
        <v>3</v>
      </c>
      <c r="O7" s="49">
        <v>3</v>
      </c>
      <c r="P7" s="48">
        <v>1.0069999999999999</v>
      </c>
      <c r="Q7" s="48">
        <v>1.3340000000000001</v>
      </c>
      <c r="R7" s="48">
        <v>1.167</v>
      </c>
      <c r="S7" s="49">
        <v>0.94499999999999995</v>
      </c>
      <c r="T7" s="48">
        <v>67.66</v>
      </c>
      <c r="U7" s="48">
        <v>60.75</v>
      </c>
      <c r="V7" s="49">
        <v>107.5</v>
      </c>
      <c r="W7" s="49">
        <v>90</v>
      </c>
      <c r="X7" s="49">
        <v>90</v>
      </c>
      <c r="Y7" s="49">
        <v>90</v>
      </c>
      <c r="Z7" s="48">
        <v>213.22</v>
      </c>
      <c r="AA7" s="48">
        <v>201.52</v>
      </c>
      <c r="AB7" s="48">
        <v>191.85</v>
      </c>
      <c r="AC7" s="48">
        <v>185.62</v>
      </c>
      <c r="AD7" s="48">
        <v>1.62</v>
      </c>
      <c r="AE7" s="48">
        <v>1.673</v>
      </c>
      <c r="AF7" s="48">
        <v>1.51</v>
      </c>
      <c r="AG7" s="48">
        <v>1.5329999999999999</v>
      </c>
      <c r="AH7" s="48">
        <v>56.31</v>
      </c>
      <c r="AI7" s="48">
        <v>52.56</v>
      </c>
      <c r="AJ7" s="48">
        <v>63.69</v>
      </c>
      <c r="AK7" s="48">
        <v>60.52</v>
      </c>
      <c r="AL7" s="48">
        <v>597.49199999999996</v>
      </c>
      <c r="AM7" s="48">
        <v>626.774</v>
      </c>
      <c r="AN7" s="48">
        <v>686.87599999999998</v>
      </c>
      <c r="AO7" s="48">
        <v>684.74900000000002</v>
      </c>
      <c r="AP7" s="48">
        <v>2.698</v>
      </c>
      <c r="AQ7" s="48">
        <v>2.0070000000000001</v>
      </c>
      <c r="AR7" s="49">
        <v>39.908000000000001</v>
      </c>
      <c r="AS7" s="48">
        <v>35.892000000000003</v>
      </c>
      <c r="AT7" s="49">
        <v>82</v>
      </c>
      <c r="AU7" s="48">
        <v>94</v>
      </c>
      <c r="AV7" s="48">
        <v>3.0750000000000002</v>
      </c>
      <c r="AW7" s="48">
        <v>5.2070999999999996</v>
      </c>
      <c r="AX7" s="49">
        <v>1010.8</v>
      </c>
      <c r="AY7" s="48">
        <v>1.07</v>
      </c>
      <c r="AZ7" s="48">
        <v>5.67</v>
      </c>
      <c r="BA7" s="49">
        <v>68.8</v>
      </c>
      <c r="BB7" s="49">
        <v>69.2</v>
      </c>
      <c r="BC7" s="48">
        <v>7691</v>
      </c>
      <c r="BD7" s="48">
        <v>89</v>
      </c>
      <c r="BE7" s="48">
        <v>23.184999999999999</v>
      </c>
      <c r="BF7" s="48">
        <v>11.84</v>
      </c>
      <c r="BG7" s="48">
        <v>27.12</v>
      </c>
      <c r="BH7" s="48">
        <v>26.95</v>
      </c>
      <c r="BI7" s="48">
        <v>66.256</v>
      </c>
      <c r="BJ7" s="48">
        <v>81.739000000000004</v>
      </c>
      <c r="BK7" s="48">
        <v>64.619</v>
      </c>
      <c r="BL7" s="48">
        <v>79.331999999999994</v>
      </c>
      <c r="BM7" s="48">
        <v>79.194999999999993</v>
      </c>
      <c r="BN7" s="49">
        <v>847.27200000000005</v>
      </c>
      <c r="BO7" s="48">
        <v>294.26400000000001</v>
      </c>
      <c r="BP7" s="48">
        <v>102.392</v>
      </c>
      <c r="BQ7" s="48">
        <v>98.12</v>
      </c>
      <c r="BR7" s="48">
        <v>57.65</v>
      </c>
      <c r="BS7" s="49">
        <v>23.8</v>
      </c>
      <c r="BT7" s="48">
        <v>7314.3140000000003</v>
      </c>
      <c r="BU7" s="49">
        <v>89.046999999999997</v>
      </c>
      <c r="BV7" s="48">
        <v>65.816999999999993</v>
      </c>
      <c r="BW7" s="48">
        <v>65.049000000000007</v>
      </c>
      <c r="BX7" s="48">
        <v>67.338999999999999</v>
      </c>
      <c r="BY7" s="48">
        <v>1.5129999999999999</v>
      </c>
      <c r="BZ7" s="48">
        <v>2.673</v>
      </c>
      <c r="CA7" s="48">
        <v>2.9590000000000001</v>
      </c>
      <c r="CB7" s="48">
        <v>3.3090000000000002</v>
      </c>
      <c r="CC7" s="48">
        <v>5.8620000000000001</v>
      </c>
      <c r="CD7" s="49">
        <v>2.6150000000000002</v>
      </c>
      <c r="CE7" s="48">
        <v>4.0780000000000003</v>
      </c>
      <c r="CF7" s="49">
        <v>2.3530000000000002</v>
      </c>
      <c r="CG7" s="48">
        <v>13.138999999999999</v>
      </c>
      <c r="CH7" s="49">
        <v>9.798</v>
      </c>
      <c r="CI7" s="48">
        <v>4.0330000000000004</v>
      </c>
      <c r="CJ7" s="48">
        <v>2.524</v>
      </c>
      <c r="CK7" s="48">
        <v>1.3080000000000001</v>
      </c>
      <c r="CL7" s="49">
        <v>0</v>
      </c>
      <c r="CM7" s="48">
        <v>0</v>
      </c>
      <c r="CN7" s="49">
        <v>0</v>
      </c>
      <c r="CO7" s="49">
        <v>0</v>
      </c>
      <c r="CP7" s="48">
        <v>85.668000000000006</v>
      </c>
      <c r="CQ7" s="48">
        <v>58.615000000000002</v>
      </c>
      <c r="CR7" s="48">
        <v>68.906999999999996</v>
      </c>
      <c r="CS7" s="48">
        <v>69.031999999999996</v>
      </c>
      <c r="CT7" s="48">
        <v>0.41899999999999998</v>
      </c>
      <c r="CU7" s="48">
        <v>1.601</v>
      </c>
      <c r="CV7" s="48">
        <v>1.099</v>
      </c>
      <c r="CW7" s="48">
        <v>1.099</v>
      </c>
      <c r="CX7" s="48">
        <v>1.4990000000000001</v>
      </c>
      <c r="CY7" s="48">
        <v>0.40100000000000002</v>
      </c>
      <c r="CZ7" s="48">
        <v>1.1970000000000001</v>
      </c>
      <c r="DA7" s="48">
        <v>0.7</v>
      </c>
      <c r="DB7" s="48">
        <v>2.2970000000000002</v>
      </c>
      <c r="DC7" s="49">
        <v>2E-3</v>
      </c>
      <c r="DD7" s="49">
        <v>0</v>
      </c>
      <c r="DE7" s="48">
        <v>0.184</v>
      </c>
      <c r="DF7" s="48">
        <v>0.13</v>
      </c>
      <c r="DG7" s="48">
        <v>0.44700000000000001</v>
      </c>
      <c r="DH7" s="48">
        <v>1.712</v>
      </c>
      <c r="DI7" s="48">
        <v>1.454</v>
      </c>
      <c r="DJ7" s="48">
        <v>0.314</v>
      </c>
      <c r="DK7" s="48">
        <v>1.0449999999999999</v>
      </c>
      <c r="DL7" s="48">
        <v>0.60799999999999998</v>
      </c>
      <c r="DM7" s="48">
        <v>0.77</v>
      </c>
      <c r="DN7" s="48">
        <v>0.76100000000000001</v>
      </c>
      <c r="DO7" s="48">
        <v>0.70099999999999996</v>
      </c>
      <c r="DP7" s="48">
        <v>64.495999999999995</v>
      </c>
      <c r="DQ7" s="48">
        <v>60.353999999999999</v>
      </c>
      <c r="DR7" s="48">
        <v>50.249000000000002</v>
      </c>
      <c r="DS7" s="48">
        <v>52.027999999999999</v>
      </c>
      <c r="DT7" s="48">
        <v>2.2799999999999998</v>
      </c>
      <c r="DU7" s="48">
        <v>2.63</v>
      </c>
      <c r="DV7" s="48">
        <v>7.42</v>
      </c>
      <c r="DW7" s="48">
        <v>6.28</v>
      </c>
      <c r="DX7" s="48">
        <v>2.5</v>
      </c>
      <c r="DY7" s="48">
        <v>2.66</v>
      </c>
      <c r="DZ7" s="48">
        <v>7.14</v>
      </c>
      <c r="EA7" s="48">
        <v>6.04</v>
      </c>
      <c r="EB7" s="48">
        <v>23.28</v>
      </c>
      <c r="EC7" s="48">
        <v>21.71</v>
      </c>
      <c r="ED7" s="48">
        <v>17.73</v>
      </c>
      <c r="EE7" s="48">
        <v>19.649999999999999</v>
      </c>
      <c r="EF7" s="49">
        <v>71.94</v>
      </c>
      <c r="EG7" s="49">
        <v>73</v>
      </c>
      <c r="EH7" s="49">
        <v>67.709999999999994</v>
      </c>
      <c r="EI7" s="49">
        <v>68.03</v>
      </c>
      <c r="EJ7" s="48">
        <v>4.766</v>
      </c>
      <c r="EK7" s="48">
        <v>59.145000000000003</v>
      </c>
      <c r="EL7" s="48">
        <v>0.85</v>
      </c>
      <c r="EM7" s="48">
        <v>0.4</v>
      </c>
      <c r="EN7" s="48">
        <v>1.1100000000000001</v>
      </c>
      <c r="EO7" s="48">
        <v>1.1000000000000001</v>
      </c>
      <c r="EP7" s="48">
        <v>-84.322000000000003</v>
      </c>
      <c r="EQ7" s="49">
        <v>-0.874</v>
      </c>
      <c r="ER7" s="48">
        <v>77.445999999999998</v>
      </c>
      <c r="ES7" s="48">
        <v>0.67900000000000005</v>
      </c>
      <c r="ET7" s="48">
        <v>0.76200000000000001</v>
      </c>
      <c r="EU7" s="48">
        <v>0.67100000000000004</v>
      </c>
      <c r="EV7" s="48">
        <v>8.0960000000000001</v>
      </c>
      <c r="EW7" s="48">
        <v>4.6689999999999996</v>
      </c>
      <c r="EX7" s="48">
        <v>-95.26</v>
      </c>
      <c r="EY7" s="49">
        <v>0.10100000000000001</v>
      </c>
      <c r="EZ7" s="48">
        <v>0</v>
      </c>
      <c r="FA7" s="49">
        <v>0</v>
      </c>
      <c r="FB7" s="48">
        <v>4.3949999999999996</v>
      </c>
      <c r="FC7" s="48">
        <v>60.786000000000001</v>
      </c>
      <c r="FD7" s="48">
        <v>57.826000000000001</v>
      </c>
      <c r="FE7" s="48">
        <v>62.981999999999999</v>
      </c>
      <c r="FF7" s="48">
        <v>60.695999999999998</v>
      </c>
      <c r="FG7" s="49">
        <v>0.97499999999999998</v>
      </c>
      <c r="FH7" s="49">
        <v>0.97399999999999998</v>
      </c>
      <c r="FI7" s="48">
        <v>0.998</v>
      </c>
      <c r="FJ7" s="48">
        <v>0.996</v>
      </c>
      <c r="FK7" s="49">
        <v>0.2</v>
      </c>
      <c r="FL7" s="49">
        <v>83</v>
      </c>
      <c r="FM7" s="48">
        <v>2.5099999999999998</v>
      </c>
      <c r="FN7" s="49">
        <v>0.56000000000000005</v>
      </c>
      <c r="FO7" s="48">
        <v>5.4</v>
      </c>
      <c r="FP7" s="49">
        <v>2.75</v>
      </c>
      <c r="FQ7" s="48">
        <v>4.5999999999999996</v>
      </c>
      <c r="FR7" s="48">
        <v>5.2</v>
      </c>
      <c r="FS7" s="49">
        <v>6.859</v>
      </c>
      <c r="FT7" s="49">
        <v>1070.7</v>
      </c>
      <c r="FU7" s="48">
        <v>6.68</v>
      </c>
      <c r="FV7" s="48">
        <v>5.79</v>
      </c>
      <c r="FW7" s="48">
        <v>3117</v>
      </c>
      <c r="FX7" s="48">
        <v>160500</v>
      </c>
      <c r="FY7" s="48">
        <v>161200</v>
      </c>
      <c r="FZ7" s="48">
        <v>45.578000000000003</v>
      </c>
      <c r="GA7" s="48">
        <v>43.91</v>
      </c>
      <c r="GB7" s="48">
        <v>2127.1</v>
      </c>
      <c r="GC7" s="48">
        <v>2189.1</v>
      </c>
      <c r="GD7" s="48">
        <v>2218.1999999999998</v>
      </c>
      <c r="GE7" s="48">
        <v>2189.1</v>
      </c>
      <c r="GF7" s="49">
        <v>1457.3594000000001</v>
      </c>
      <c r="GG7" s="48">
        <v>33</v>
      </c>
      <c r="GH7" s="48">
        <v>32.799999999999997</v>
      </c>
      <c r="GI7" s="49">
        <v>57.9</v>
      </c>
      <c r="GJ7" s="49">
        <v>63.7</v>
      </c>
      <c r="GK7" s="49">
        <v>88</v>
      </c>
      <c r="GL7" s="48">
        <v>111.2</v>
      </c>
      <c r="GM7" s="49">
        <v>0</v>
      </c>
      <c r="GN7" s="48">
        <v>23.573</v>
      </c>
      <c r="GO7" s="48">
        <v>84.322000000000003</v>
      </c>
      <c r="GP7" s="49">
        <v>0</v>
      </c>
      <c r="GQ7" s="48">
        <v>3.9529999999999998</v>
      </c>
      <c r="GR7" s="49">
        <v>0</v>
      </c>
      <c r="GS7" s="48">
        <v>4.0709999999999997</v>
      </c>
      <c r="GT7" s="49">
        <v>0</v>
      </c>
      <c r="GU7" s="48">
        <v>4.13</v>
      </c>
      <c r="GV7" s="49">
        <v>0</v>
      </c>
      <c r="GW7" s="48">
        <v>7.0149999999999997</v>
      </c>
      <c r="GX7" s="48">
        <v>20.776</v>
      </c>
      <c r="GY7" s="49">
        <v>0</v>
      </c>
      <c r="GZ7" s="49">
        <v>0</v>
      </c>
      <c r="HA7" s="49">
        <v>0</v>
      </c>
      <c r="HB7" s="49">
        <v>1</v>
      </c>
      <c r="HC7" s="48">
        <v>33.908999999999999</v>
      </c>
      <c r="HD7" s="48">
        <v>86</v>
      </c>
      <c r="HE7" s="49">
        <v>0</v>
      </c>
      <c r="HF7" s="49">
        <v>0</v>
      </c>
      <c r="HG7" s="48">
        <v>83.44</v>
      </c>
      <c r="HH7" s="49">
        <v>100</v>
      </c>
      <c r="HI7" s="49">
        <v>0</v>
      </c>
      <c r="HJ7" s="49">
        <v>0</v>
      </c>
      <c r="HK7" s="49">
        <v>0</v>
      </c>
      <c r="HL7" s="49">
        <v>53</v>
      </c>
      <c r="HM7" s="49">
        <v>51</v>
      </c>
      <c r="HN7" s="49">
        <v>61</v>
      </c>
      <c r="HO7" s="48">
        <v>55</v>
      </c>
      <c r="HP7" s="48">
        <v>58</v>
      </c>
      <c r="HQ7" s="48">
        <v>56</v>
      </c>
      <c r="HR7" s="49">
        <v>52</v>
      </c>
      <c r="HS7" s="48">
        <v>62</v>
      </c>
      <c r="HT7" s="48">
        <v>-0.161</v>
      </c>
      <c r="HU7" s="49">
        <v>0</v>
      </c>
      <c r="HV7" s="48">
        <v>0.69099999999999995</v>
      </c>
      <c r="HW7" s="48">
        <v>41.59</v>
      </c>
      <c r="HX7" s="48">
        <v>35.25</v>
      </c>
      <c r="HY7" s="3"/>
      <c r="HZ7" s="3"/>
      <c r="IA7" s="48">
        <v>2.5499999999999998</v>
      </c>
      <c r="IB7" s="48">
        <v>92</v>
      </c>
      <c r="IC7" s="48">
        <v>13.87</v>
      </c>
      <c r="ID7" s="48">
        <v>-5.1999999999999998E-2</v>
      </c>
      <c r="IE7" s="48">
        <v>-3.4000000000000002E-2</v>
      </c>
      <c r="IF7" s="48">
        <v>784.5</v>
      </c>
      <c r="IG7" s="48">
        <v>550.4</v>
      </c>
      <c r="IH7" s="48">
        <v>829.1</v>
      </c>
      <c r="II7" s="48">
        <v>575.20000000000005</v>
      </c>
      <c r="IJ7" s="48">
        <v>-4.5999999999999999E-2</v>
      </c>
      <c r="IK7" s="48">
        <v>-3.5999999999999997E-2</v>
      </c>
      <c r="IL7" s="49">
        <v>295.28100000000001</v>
      </c>
      <c r="IM7" s="49">
        <v>295.50200000000001</v>
      </c>
      <c r="IN7" s="48">
        <v>24.826000000000001</v>
      </c>
      <c r="IO7" s="48">
        <v>0.14799999999999999</v>
      </c>
      <c r="IP7" s="49">
        <v>13.24</v>
      </c>
      <c r="IQ7" s="48">
        <v>-6.0999999999999999E-2</v>
      </c>
      <c r="IR7" s="49">
        <v>0.03</v>
      </c>
    </row>
    <row r="8" spans="2:252" x14ac:dyDescent="0.25">
      <c r="B8" s="2" t="s">
        <v>407</v>
      </c>
      <c r="C8" s="2" t="s">
        <v>42</v>
      </c>
      <c r="D8" s="57">
        <v>2.4078703703703705E-3</v>
      </c>
      <c r="E8" s="48">
        <v>208.08</v>
      </c>
      <c r="F8" s="48">
        <v>328.76</v>
      </c>
      <c r="G8" s="48">
        <v>6.09</v>
      </c>
      <c r="H8" s="48">
        <v>24</v>
      </c>
      <c r="I8" s="49">
        <v>0</v>
      </c>
      <c r="J8" s="48">
        <v>9.5</v>
      </c>
      <c r="K8" s="49">
        <v>6</v>
      </c>
      <c r="L8" s="49">
        <v>4</v>
      </c>
      <c r="M8" s="49">
        <v>4</v>
      </c>
      <c r="N8" s="49">
        <v>3</v>
      </c>
      <c r="O8" s="49">
        <v>3</v>
      </c>
      <c r="P8" s="49">
        <v>1.085</v>
      </c>
      <c r="Q8" s="49">
        <v>2.0830000000000002</v>
      </c>
      <c r="R8" s="49">
        <v>1.274</v>
      </c>
      <c r="S8" s="48">
        <v>0.77600000000000002</v>
      </c>
      <c r="T8" s="49">
        <v>87.99</v>
      </c>
      <c r="U8" s="48">
        <v>60.762999999999998</v>
      </c>
      <c r="V8" s="48">
        <v>261.66000000000003</v>
      </c>
      <c r="W8" s="48">
        <v>248.34</v>
      </c>
      <c r="X8" s="48">
        <v>256.66000000000003</v>
      </c>
      <c r="Y8" s="48">
        <v>263.33999999999997</v>
      </c>
      <c r="Z8" s="48">
        <v>397.19</v>
      </c>
      <c r="AA8" s="48">
        <v>379.49</v>
      </c>
      <c r="AB8" s="48">
        <v>398.13</v>
      </c>
      <c r="AC8" s="48">
        <v>397.77</v>
      </c>
      <c r="AD8" s="48">
        <v>1.7410000000000001</v>
      </c>
      <c r="AE8" s="48">
        <v>1.79</v>
      </c>
      <c r="AF8" s="48">
        <v>1.7629999999999999</v>
      </c>
      <c r="AG8" s="48">
        <v>1.756</v>
      </c>
      <c r="AH8" s="48">
        <v>76</v>
      </c>
      <c r="AI8" s="48">
        <v>71.349999999999994</v>
      </c>
      <c r="AJ8" s="48">
        <v>104.73</v>
      </c>
      <c r="AK8" s="48">
        <v>95.18</v>
      </c>
      <c r="AL8" s="49">
        <v>720.16600000000005</v>
      </c>
      <c r="AM8" s="48">
        <v>695.38</v>
      </c>
      <c r="AN8" s="48">
        <v>806.45</v>
      </c>
      <c r="AO8" s="48">
        <v>775.54899999999998</v>
      </c>
      <c r="AP8" s="48">
        <v>2.68</v>
      </c>
      <c r="AQ8" s="48">
        <v>1.9810000000000001</v>
      </c>
      <c r="AR8" s="48">
        <v>39.085999999999999</v>
      </c>
      <c r="AS8" s="48">
        <v>35.061</v>
      </c>
      <c r="AT8" s="49">
        <v>82</v>
      </c>
      <c r="AU8" s="48">
        <v>103</v>
      </c>
      <c r="AV8" s="48">
        <v>2.8075000000000001</v>
      </c>
      <c r="AW8" s="48">
        <v>5.5023</v>
      </c>
      <c r="AX8" s="48">
        <v>994.8</v>
      </c>
      <c r="AY8" s="48">
        <v>1.05</v>
      </c>
      <c r="AZ8" s="48">
        <v>4.96</v>
      </c>
      <c r="BA8" s="48">
        <v>91.763000000000005</v>
      </c>
      <c r="BB8" s="48">
        <v>91.150999999999996</v>
      </c>
      <c r="BC8" s="48">
        <v>8173</v>
      </c>
      <c r="BD8" s="48">
        <v>88.5</v>
      </c>
      <c r="BE8" s="48">
        <v>25.42</v>
      </c>
      <c r="BF8" s="48">
        <v>15.63</v>
      </c>
      <c r="BG8" s="48">
        <v>30.49</v>
      </c>
      <c r="BH8" s="49">
        <v>31.25</v>
      </c>
      <c r="BI8" s="3"/>
      <c r="BJ8" s="3"/>
      <c r="BK8" s="3"/>
      <c r="BL8" s="3"/>
      <c r="BM8" s="3"/>
      <c r="BN8" s="49">
        <v>847.27200000000005</v>
      </c>
      <c r="BO8" s="49">
        <v>847.27200000000005</v>
      </c>
      <c r="BP8" s="48">
        <v>127.256</v>
      </c>
      <c r="BQ8" s="48">
        <v>124.2</v>
      </c>
      <c r="BR8" s="3"/>
      <c r="BS8" s="48">
        <v>23.7</v>
      </c>
      <c r="BT8" s="48">
        <v>7328.2960000000003</v>
      </c>
      <c r="BU8" s="48">
        <v>78.989000000000004</v>
      </c>
      <c r="BV8" s="48">
        <v>62.603000000000002</v>
      </c>
      <c r="BW8" s="48">
        <v>56.594000000000001</v>
      </c>
      <c r="BX8" s="48">
        <v>66.063999999999993</v>
      </c>
      <c r="BY8" s="48">
        <v>1.458</v>
      </c>
      <c r="BZ8" s="48">
        <v>3.246</v>
      </c>
      <c r="CA8" s="48">
        <v>3.7269999999999999</v>
      </c>
      <c r="CB8" s="48">
        <v>3.9950000000000001</v>
      </c>
      <c r="CC8" s="48">
        <v>6.0259999999999998</v>
      </c>
      <c r="CD8" s="48">
        <v>2.6139999999999999</v>
      </c>
      <c r="CE8" s="48">
        <v>4.0090000000000003</v>
      </c>
      <c r="CF8" s="48">
        <v>2.2930000000000001</v>
      </c>
      <c r="CG8" s="48">
        <v>13.643000000000001</v>
      </c>
      <c r="CH8" s="48">
        <v>13.391999999999999</v>
      </c>
      <c r="CI8" s="49">
        <v>5.0439999999999996</v>
      </c>
      <c r="CJ8" s="48">
        <v>3.51</v>
      </c>
      <c r="CK8" s="49">
        <v>1.7829999999999999</v>
      </c>
      <c r="CL8" s="49">
        <v>0</v>
      </c>
      <c r="CM8" s="48">
        <v>0.2</v>
      </c>
      <c r="CN8" s="49">
        <v>0</v>
      </c>
      <c r="CO8" s="49">
        <v>0</v>
      </c>
      <c r="CP8" s="48">
        <v>178.71600000000001</v>
      </c>
      <c r="CQ8" s="48">
        <v>220.51900000000001</v>
      </c>
      <c r="CR8" s="48">
        <v>115.557</v>
      </c>
      <c r="CS8" s="48">
        <v>113.68</v>
      </c>
      <c r="CT8" s="48">
        <v>0.42599999999999999</v>
      </c>
      <c r="CU8" s="48">
        <v>0.9</v>
      </c>
      <c r="CV8" s="48">
        <v>1.2969999999999999</v>
      </c>
      <c r="CW8" s="48">
        <v>1.8</v>
      </c>
      <c r="CX8" s="48">
        <v>1.3</v>
      </c>
      <c r="CY8" s="48">
        <v>1.1000000000000001</v>
      </c>
      <c r="CZ8" s="48">
        <v>1.8</v>
      </c>
      <c r="DA8" s="48">
        <v>1.3979999999999999</v>
      </c>
      <c r="DB8" s="48">
        <v>2.198</v>
      </c>
      <c r="DC8" s="48">
        <v>0</v>
      </c>
      <c r="DD8" s="49">
        <v>0</v>
      </c>
      <c r="DE8" s="49">
        <v>0.39700000000000002</v>
      </c>
      <c r="DF8" s="49">
        <v>0.13600000000000001</v>
      </c>
      <c r="DG8" s="49">
        <v>1.607</v>
      </c>
      <c r="DH8" s="49">
        <v>3.4529999999999998</v>
      </c>
      <c r="DI8" s="49">
        <v>1.978</v>
      </c>
      <c r="DJ8" s="49">
        <v>0.52900000000000003</v>
      </c>
      <c r="DK8" s="49">
        <v>1.204</v>
      </c>
      <c r="DL8" s="48">
        <v>0.60499999999999998</v>
      </c>
      <c r="DM8" s="48">
        <v>0.76300000000000001</v>
      </c>
      <c r="DN8" s="49">
        <v>0.80500000000000005</v>
      </c>
      <c r="DO8" s="48">
        <v>0.73599999999999999</v>
      </c>
      <c r="DP8" s="48">
        <v>65.254999999999995</v>
      </c>
      <c r="DQ8" s="48">
        <v>61.295000000000002</v>
      </c>
      <c r="DR8" s="49">
        <v>53.73</v>
      </c>
      <c r="DS8" s="48">
        <v>52.273000000000003</v>
      </c>
      <c r="DT8" s="48">
        <v>6.46</v>
      </c>
      <c r="DU8" s="48">
        <v>6.65</v>
      </c>
      <c r="DV8" s="48">
        <v>18.87</v>
      </c>
      <c r="DW8" s="48">
        <v>15.03</v>
      </c>
      <c r="DX8" s="48">
        <v>6.74</v>
      </c>
      <c r="DY8" s="48">
        <v>7.23</v>
      </c>
      <c r="DZ8" s="48">
        <v>18.420000000000002</v>
      </c>
      <c r="EA8" s="48">
        <v>14.95</v>
      </c>
      <c r="EB8" s="48">
        <v>41.73</v>
      </c>
      <c r="EC8" s="48">
        <v>40.5</v>
      </c>
      <c r="ED8" s="48">
        <v>30.08</v>
      </c>
      <c r="EE8" s="48">
        <v>33.64</v>
      </c>
      <c r="EF8" s="48">
        <v>45.07</v>
      </c>
      <c r="EG8" s="48">
        <v>45.63</v>
      </c>
      <c r="EH8" s="48">
        <v>32.630000000000003</v>
      </c>
      <c r="EI8" s="48">
        <v>36.380000000000003</v>
      </c>
      <c r="EJ8" s="49">
        <v>6.0670000000000002</v>
      </c>
      <c r="EK8" s="49">
        <v>63.481999999999999</v>
      </c>
      <c r="EL8" s="48">
        <v>0.8</v>
      </c>
      <c r="EM8" s="48">
        <v>0.4</v>
      </c>
      <c r="EN8" s="48">
        <v>1.1399999999999999</v>
      </c>
      <c r="EO8" s="48">
        <v>1.1399999999999999</v>
      </c>
      <c r="EP8" s="48">
        <v>-112.354</v>
      </c>
      <c r="EQ8" s="48">
        <v>-2.4470000000000001</v>
      </c>
      <c r="ER8" s="48">
        <v>101.098</v>
      </c>
      <c r="ES8" s="49">
        <v>1.3069999999999999</v>
      </c>
      <c r="ET8" s="49">
        <v>1.462</v>
      </c>
      <c r="EU8" s="49">
        <v>1.274</v>
      </c>
      <c r="EV8" s="49">
        <v>8.1780000000000008</v>
      </c>
      <c r="EW8" s="49">
        <v>4.7690000000000001</v>
      </c>
      <c r="EX8" s="48">
        <v>76.52</v>
      </c>
      <c r="EY8" s="48">
        <v>0</v>
      </c>
      <c r="EZ8" s="48">
        <v>0</v>
      </c>
      <c r="FA8" s="49">
        <v>0</v>
      </c>
      <c r="FB8" s="48">
        <v>8.9719999999999995</v>
      </c>
      <c r="FC8" s="48">
        <v>68.721000000000004</v>
      </c>
      <c r="FD8" s="48">
        <v>66.105000000000004</v>
      </c>
      <c r="FE8" s="48">
        <v>76.835999999999999</v>
      </c>
      <c r="FF8" s="48">
        <v>72.915000000000006</v>
      </c>
      <c r="FG8" s="48">
        <v>0.91300000000000003</v>
      </c>
      <c r="FH8" s="48">
        <v>0.91200000000000003</v>
      </c>
      <c r="FI8" s="48">
        <v>0.98599999999999999</v>
      </c>
      <c r="FJ8" s="48">
        <v>0.98099999999999998</v>
      </c>
      <c r="FK8" s="48">
        <v>0</v>
      </c>
      <c r="FL8" s="49">
        <v>83</v>
      </c>
      <c r="FM8" s="48">
        <v>2.4900000000000002</v>
      </c>
      <c r="FN8" s="48">
        <v>1.1499999999999999</v>
      </c>
      <c r="FO8" s="48">
        <v>4.91</v>
      </c>
      <c r="FP8" s="3"/>
      <c r="FQ8" s="48">
        <v>4.7</v>
      </c>
      <c r="FR8" s="48">
        <v>5.2</v>
      </c>
      <c r="FS8" s="48">
        <v>6.7359999999999998</v>
      </c>
      <c r="FT8" s="48">
        <v>1064.7</v>
      </c>
      <c r="FU8" s="49">
        <v>7.62</v>
      </c>
      <c r="FV8" s="48">
        <v>11.89</v>
      </c>
      <c r="FW8" s="48">
        <v>3140.5</v>
      </c>
      <c r="FX8" s="48">
        <v>169600</v>
      </c>
      <c r="FY8" s="48">
        <v>169200</v>
      </c>
      <c r="FZ8" s="48">
        <v>44.390999999999998</v>
      </c>
      <c r="GA8" s="48">
        <v>42.945</v>
      </c>
      <c r="GB8" s="48">
        <v>2138.1</v>
      </c>
      <c r="GC8" s="48">
        <v>2131.1999999999998</v>
      </c>
      <c r="GD8" s="48">
        <v>2202.8000000000002</v>
      </c>
      <c r="GE8" s="49">
        <v>2526.8000000000002</v>
      </c>
      <c r="GF8" s="48">
        <v>1452.5938000000001</v>
      </c>
      <c r="GG8" s="48">
        <v>31</v>
      </c>
      <c r="GH8" s="48">
        <v>31.2</v>
      </c>
      <c r="GI8" s="48">
        <v>46.5</v>
      </c>
      <c r="GJ8" s="48">
        <v>52.2</v>
      </c>
      <c r="GK8" s="48">
        <v>99.5</v>
      </c>
      <c r="GL8" s="48">
        <v>112.2</v>
      </c>
      <c r="GM8" s="49">
        <v>0</v>
      </c>
      <c r="GN8" s="48">
        <v>22.957000000000001</v>
      </c>
      <c r="GO8" s="48">
        <v>112.354</v>
      </c>
      <c r="GP8" s="48">
        <v>0.29499999999999998</v>
      </c>
      <c r="GQ8" s="48">
        <v>1.829</v>
      </c>
      <c r="GR8" s="48">
        <v>0.53100000000000003</v>
      </c>
      <c r="GS8" s="48">
        <v>1.8879999999999999</v>
      </c>
      <c r="GT8" s="48">
        <v>0.47199999999999998</v>
      </c>
      <c r="GU8" s="48">
        <v>1.829</v>
      </c>
      <c r="GV8" s="48">
        <v>12.446</v>
      </c>
      <c r="GW8" s="49">
        <v>14.054</v>
      </c>
      <c r="GX8" s="48">
        <v>16.071999999999999</v>
      </c>
      <c r="GY8" s="49">
        <v>0</v>
      </c>
      <c r="GZ8" s="49">
        <v>0</v>
      </c>
      <c r="HA8" s="49">
        <v>0</v>
      </c>
      <c r="HB8" s="48">
        <v>0</v>
      </c>
      <c r="HC8" s="49">
        <v>38.314</v>
      </c>
      <c r="HD8" s="49">
        <v>90</v>
      </c>
      <c r="HE8" s="49">
        <v>0</v>
      </c>
      <c r="HF8" s="49">
        <v>0</v>
      </c>
      <c r="HG8" s="49">
        <v>85.34</v>
      </c>
      <c r="HH8" s="48">
        <v>79.61</v>
      </c>
      <c r="HI8" s="49">
        <v>0</v>
      </c>
      <c r="HJ8" s="49">
        <v>0</v>
      </c>
      <c r="HK8" s="49">
        <v>0</v>
      </c>
      <c r="HL8" s="48">
        <v>51</v>
      </c>
      <c r="HM8" s="48">
        <v>50</v>
      </c>
      <c r="HN8" s="49">
        <v>61</v>
      </c>
      <c r="HO8" s="49">
        <v>56</v>
      </c>
      <c r="HP8" s="48">
        <v>59</v>
      </c>
      <c r="HQ8" s="49">
        <v>57</v>
      </c>
      <c r="HR8" s="49">
        <v>52</v>
      </c>
      <c r="HS8" s="49">
        <v>70</v>
      </c>
      <c r="HT8" s="49">
        <v>-0.189</v>
      </c>
      <c r="HU8" s="49">
        <v>0</v>
      </c>
      <c r="HV8" s="48">
        <v>1.4970000000000001</v>
      </c>
      <c r="HW8" s="48">
        <v>38.950000000000003</v>
      </c>
      <c r="HX8" s="49">
        <v>35.200000000000003</v>
      </c>
      <c r="HY8" s="48">
        <v>47.69</v>
      </c>
      <c r="HZ8" s="48">
        <v>47.69</v>
      </c>
      <c r="IA8" s="48">
        <v>3.14</v>
      </c>
      <c r="IB8" s="49">
        <v>103</v>
      </c>
      <c r="IC8" s="48">
        <v>21.541</v>
      </c>
      <c r="ID8" s="48">
        <v>-9.1999999999999998E-2</v>
      </c>
      <c r="IE8" s="48">
        <v>-1.7999999999999999E-2</v>
      </c>
      <c r="IF8" s="48">
        <v>778.8</v>
      </c>
      <c r="IG8" s="48">
        <v>748.1</v>
      </c>
      <c r="IH8" s="48">
        <v>810.9</v>
      </c>
      <c r="II8" s="48">
        <v>776.5</v>
      </c>
      <c r="IJ8" s="48">
        <v>-0.187</v>
      </c>
      <c r="IK8" s="48">
        <v>-0.14499999999999999</v>
      </c>
      <c r="IL8" s="48">
        <v>60.244</v>
      </c>
      <c r="IM8" s="48">
        <v>60.244</v>
      </c>
      <c r="IN8" s="48">
        <v>28.335000000000001</v>
      </c>
      <c r="IO8" s="49">
        <v>0.49099999999999999</v>
      </c>
      <c r="IP8" s="48">
        <v>12.8</v>
      </c>
      <c r="IQ8" s="48">
        <v>-0.84099999999999997</v>
      </c>
      <c r="IR8" s="48">
        <v>1.7999999999999999E-2</v>
      </c>
    </row>
    <row r="9" spans="2:252" x14ac:dyDescent="0.25">
      <c r="B9" s="2" t="s">
        <v>407</v>
      </c>
      <c r="C9" s="2" t="s">
        <v>43</v>
      </c>
      <c r="D9" s="57">
        <v>2.4030092592592592E-3</v>
      </c>
      <c r="E9" s="48">
        <v>207.65</v>
      </c>
      <c r="F9" s="48">
        <v>328.85</v>
      </c>
      <c r="G9" s="48">
        <v>6.09</v>
      </c>
      <c r="H9" s="48">
        <v>23.8</v>
      </c>
      <c r="I9" s="49">
        <v>0</v>
      </c>
      <c r="J9" s="48">
        <v>10.7</v>
      </c>
      <c r="K9" s="49">
        <v>6</v>
      </c>
      <c r="L9" s="49">
        <v>4</v>
      </c>
      <c r="M9" s="49">
        <v>4</v>
      </c>
      <c r="N9" s="49">
        <v>3</v>
      </c>
      <c r="O9" s="49">
        <v>3</v>
      </c>
      <c r="P9" s="48">
        <v>0.97</v>
      </c>
      <c r="Q9" s="48">
        <v>1.8839999999999999</v>
      </c>
      <c r="R9" s="48">
        <v>1.0209999999999999</v>
      </c>
      <c r="S9" s="48">
        <v>0.77800000000000002</v>
      </c>
      <c r="T9" s="48">
        <v>79.709999999999994</v>
      </c>
      <c r="U9" s="48">
        <v>60.552</v>
      </c>
      <c r="V9" s="48">
        <v>266.66000000000003</v>
      </c>
      <c r="W9" s="48">
        <v>251.66</v>
      </c>
      <c r="X9" s="48">
        <v>286.66000000000003</v>
      </c>
      <c r="Y9" s="48">
        <v>283.33999999999997</v>
      </c>
      <c r="Z9" s="49">
        <v>401.34</v>
      </c>
      <c r="AA9" s="49">
        <v>383.5</v>
      </c>
      <c r="AB9" s="48">
        <v>422.32</v>
      </c>
      <c r="AC9" s="48">
        <v>415.17</v>
      </c>
      <c r="AD9" s="48">
        <v>1.7729999999999999</v>
      </c>
      <c r="AE9" s="48">
        <v>1.8140000000000001</v>
      </c>
      <c r="AF9" s="48">
        <v>1.841</v>
      </c>
      <c r="AG9" s="48">
        <v>1.8280000000000001</v>
      </c>
      <c r="AH9" s="48">
        <v>81.78</v>
      </c>
      <c r="AI9" s="48">
        <v>76.12</v>
      </c>
      <c r="AJ9" s="48">
        <v>117.55</v>
      </c>
      <c r="AK9" s="48">
        <v>106.55</v>
      </c>
      <c r="AL9" s="48">
        <v>674.55200000000002</v>
      </c>
      <c r="AM9" s="48">
        <v>669.49400000000003</v>
      </c>
      <c r="AN9" s="48">
        <v>793.24300000000005</v>
      </c>
      <c r="AO9" s="48">
        <v>760.11199999999997</v>
      </c>
      <c r="AP9" s="48">
        <v>2.7149999999999999</v>
      </c>
      <c r="AQ9" s="49">
        <v>2.008</v>
      </c>
      <c r="AR9" s="48">
        <v>38.569000000000003</v>
      </c>
      <c r="AS9" s="48">
        <v>35.295000000000002</v>
      </c>
      <c r="AT9" s="49">
        <v>82</v>
      </c>
      <c r="AU9" s="48">
        <v>108</v>
      </c>
      <c r="AV9" s="49">
        <v>2.7389999999999999</v>
      </c>
      <c r="AW9" s="48">
        <v>5.4999000000000002</v>
      </c>
      <c r="AX9" s="48">
        <v>996.2</v>
      </c>
      <c r="AY9" s="48">
        <v>0.99</v>
      </c>
      <c r="AZ9" s="48">
        <v>5.53</v>
      </c>
      <c r="BA9" s="48">
        <v>111.55</v>
      </c>
      <c r="BB9" s="48">
        <v>117.467</v>
      </c>
      <c r="BC9" s="48">
        <v>7797</v>
      </c>
      <c r="BD9" s="48">
        <v>87.25</v>
      </c>
      <c r="BE9" s="49">
        <v>25.96</v>
      </c>
      <c r="BF9" s="48">
        <v>15.225</v>
      </c>
      <c r="BG9" s="49">
        <v>31.02</v>
      </c>
      <c r="BH9" s="48">
        <v>27.1</v>
      </c>
      <c r="BI9" s="3"/>
      <c r="BJ9" s="3"/>
      <c r="BK9" s="3"/>
      <c r="BL9" s="3"/>
      <c r="BM9" s="3"/>
      <c r="BN9" s="49">
        <v>847.27200000000005</v>
      </c>
      <c r="BO9" s="49">
        <v>847.27200000000005</v>
      </c>
      <c r="BP9" s="48">
        <v>138.376</v>
      </c>
      <c r="BQ9" s="48">
        <v>134.136</v>
      </c>
      <c r="BR9" s="3"/>
      <c r="BS9" s="48">
        <v>23.4</v>
      </c>
      <c r="BT9" s="48">
        <v>7321.43</v>
      </c>
      <c r="BU9" s="48">
        <v>79.269000000000005</v>
      </c>
      <c r="BV9" s="48">
        <v>62.134</v>
      </c>
      <c r="BW9" s="48">
        <v>57.927999999999997</v>
      </c>
      <c r="BX9" s="48">
        <v>65.941999999999993</v>
      </c>
      <c r="BY9" s="49">
        <v>1.573</v>
      </c>
      <c r="BZ9" s="48">
        <v>3.1259999999999999</v>
      </c>
      <c r="CA9" s="49">
        <v>4.117</v>
      </c>
      <c r="CB9" s="49">
        <v>4.1769999999999996</v>
      </c>
      <c r="CC9" s="49">
        <v>6.2510000000000003</v>
      </c>
      <c r="CD9" s="48">
        <v>2.4860000000000002</v>
      </c>
      <c r="CE9" s="48">
        <v>3.9990000000000001</v>
      </c>
      <c r="CF9" s="48">
        <v>2.2250000000000001</v>
      </c>
      <c r="CG9" s="48">
        <v>13.646000000000001</v>
      </c>
      <c r="CH9" s="48">
        <v>13.425000000000001</v>
      </c>
      <c r="CI9" s="48">
        <v>5.01</v>
      </c>
      <c r="CJ9" s="48">
        <v>3.5739999999999998</v>
      </c>
      <c r="CK9" s="48">
        <v>1.6719999999999999</v>
      </c>
      <c r="CL9" s="49">
        <v>0</v>
      </c>
      <c r="CM9" s="49">
        <v>0.7</v>
      </c>
      <c r="CN9" s="49">
        <v>0</v>
      </c>
      <c r="CO9" s="49">
        <v>0</v>
      </c>
      <c r="CP9" s="49">
        <v>222.697</v>
      </c>
      <c r="CQ9" s="48">
        <v>294.495</v>
      </c>
      <c r="CR9" s="48">
        <v>131.04400000000001</v>
      </c>
      <c r="CS9" s="48">
        <v>128.32599999999999</v>
      </c>
      <c r="CT9" s="48">
        <v>0.49399999999999999</v>
      </c>
      <c r="CU9" s="48">
        <v>1.498</v>
      </c>
      <c r="CV9" s="48">
        <v>1.395</v>
      </c>
      <c r="CW9" s="48">
        <v>1.099</v>
      </c>
      <c r="CX9" s="48">
        <v>0.89700000000000002</v>
      </c>
      <c r="CY9" s="48">
        <v>0.89600000000000002</v>
      </c>
      <c r="CZ9" s="48">
        <v>1.9970000000000001</v>
      </c>
      <c r="DA9" s="48">
        <v>1.5009999999999999</v>
      </c>
      <c r="DB9" s="48">
        <v>2.4990000000000001</v>
      </c>
      <c r="DC9" s="48">
        <v>0</v>
      </c>
      <c r="DD9" s="49">
        <v>0</v>
      </c>
      <c r="DE9" s="48">
        <v>0.33800000000000002</v>
      </c>
      <c r="DF9" s="48">
        <v>0.11899999999999999</v>
      </c>
      <c r="DG9" s="48">
        <v>1.4330000000000001</v>
      </c>
      <c r="DH9" s="48">
        <v>2.7250000000000001</v>
      </c>
      <c r="DI9" s="48">
        <v>1.625</v>
      </c>
      <c r="DJ9" s="48">
        <v>0.374</v>
      </c>
      <c r="DK9" s="48">
        <v>0.97899999999999998</v>
      </c>
      <c r="DL9" s="48">
        <v>0.60699999999999998</v>
      </c>
      <c r="DM9" s="48">
        <v>0.75900000000000001</v>
      </c>
      <c r="DN9" s="48">
        <v>0.754</v>
      </c>
      <c r="DO9" s="48">
        <v>0.70399999999999996</v>
      </c>
      <c r="DP9" s="49">
        <v>66.448999999999998</v>
      </c>
      <c r="DQ9" s="48">
        <v>62.872999999999998</v>
      </c>
      <c r="DR9" s="48">
        <v>53.511000000000003</v>
      </c>
      <c r="DS9" s="48">
        <v>52.752000000000002</v>
      </c>
      <c r="DT9" s="48">
        <v>6.24</v>
      </c>
      <c r="DU9" s="48">
        <v>6.42</v>
      </c>
      <c r="DV9" s="48">
        <v>18.920000000000002</v>
      </c>
      <c r="DW9" s="48">
        <v>15.2</v>
      </c>
      <c r="DX9" s="48">
        <v>6.79</v>
      </c>
      <c r="DY9" s="48">
        <v>6.97</v>
      </c>
      <c r="DZ9" s="48">
        <v>18.38</v>
      </c>
      <c r="EA9" s="48">
        <v>15.09</v>
      </c>
      <c r="EB9" s="48">
        <v>42.81</v>
      </c>
      <c r="EC9" s="48">
        <v>40.5</v>
      </c>
      <c r="ED9" s="48">
        <v>30.07</v>
      </c>
      <c r="EE9" s="48">
        <v>33.950000000000003</v>
      </c>
      <c r="EF9" s="48">
        <v>44.16</v>
      </c>
      <c r="EG9" s="48">
        <v>46.11</v>
      </c>
      <c r="EH9" s="48">
        <v>32.630000000000003</v>
      </c>
      <c r="EI9" s="48">
        <v>35.76</v>
      </c>
      <c r="EJ9" s="48">
        <v>5.31</v>
      </c>
      <c r="EK9" s="48">
        <v>63.116</v>
      </c>
      <c r="EL9" s="48">
        <v>0.75</v>
      </c>
      <c r="EM9" s="48">
        <v>0.4</v>
      </c>
      <c r="EN9" s="48">
        <v>1.1499999999999999</v>
      </c>
      <c r="EO9" s="48">
        <v>1.1399999999999999</v>
      </c>
      <c r="EP9" s="48">
        <v>-117.026</v>
      </c>
      <c r="EQ9" s="48">
        <v>-2.355</v>
      </c>
      <c r="ER9" s="48">
        <v>104.018</v>
      </c>
      <c r="ES9" s="48">
        <v>1.2829999999999999</v>
      </c>
      <c r="ET9" s="48">
        <v>1.385</v>
      </c>
      <c r="EU9" s="48">
        <v>1.198</v>
      </c>
      <c r="EV9" s="48">
        <v>7.9160000000000004</v>
      </c>
      <c r="EW9" s="48">
        <v>4.6139999999999999</v>
      </c>
      <c r="EX9" s="48">
        <v>76.5</v>
      </c>
      <c r="EY9" s="48">
        <v>0.04</v>
      </c>
      <c r="EZ9" s="48">
        <v>0</v>
      </c>
      <c r="FA9" s="49">
        <v>0</v>
      </c>
      <c r="FB9" s="48">
        <v>9.1620000000000008</v>
      </c>
      <c r="FC9" s="48">
        <v>71.825999999999993</v>
      </c>
      <c r="FD9" s="48">
        <v>67.662999999999997</v>
      </c>
      <c r="FE9" s="48">
        <v>84.820999999999998</v>
      </c>
      <c r="FF9" s="48">
        <v>80.221000000000004</v>
      </c>
      <c r="FG9" s="48">
        <v>0.91200000000000003</v>
      </c>
      <c r="FH9" s="48">
        <v>0.91</v>
      </c>
      <c r="FI9" s="48">
        <v>0.98699999999999999</v>
      </c>
      <c r="FJ9" s="48">
        <v>0.98399999999999999</v>
      </c>
      <c r="FK9" s="48">
        <v>0</v>
      </c>
      <c r="FL9" s="49">
        <v>83</v>
      </c>
      <c r="FM9" s="48">
        <v>2.4900000000000002</v>
      </c>
      <c r="FN9" s="48">
        <v>1.1299999999999999</v>
      </c>
      <c r="FO9" s="48">
        <v>5.37</v>
      </c>
      <c r="FP9" s="3"/>
      <c r="FQ9" s="48">
        <v>4.55</v>
      </c>
      <c r="FR9" s="49">
        <v>5.05</v>
      </c>
      <c r="FS9" s="48">
        <v>6.8280000000000003</v>
      </c>
      <c r="FT9" s="48">
        <v>1067.8</v>
      </c>
      <c r="FU9" s="48">
        <v>7.33</v>
      </c>
      <c r="FV9" s="48">
        <v>17.98</v>
      </c>
      <c r="FW9" s="48">
        <v>3038.5</v>
      </c>
      <c r="FX9" s="49">
        <v>173500</v>
      </c>
      <c r="FY9" s="49">
        <v>173400</v>
      </c>
      <c r="FZ9" s="48">
        <v>44.637</v>
      </c>
      <c r="GA9" s="48">
        <v>42.862000000000002</v>
      </c>
      <c r="GB9" s="49">
        <v>2319.6999999999998</v>
      </c>
      <c r="GC9" s="48">
        <v>2185.6</v>
      </c>
      <c r="GD9" s="49">
        <v>2324.9</v>
      </c>
      <c r="GE9" s="48">
        <v>2185.6</v>
      </c>
      <c r="GF9" s="48">
        <v>1366.8280999999999</v>
      </c>
      <c r="GG9" s="48">
        <v>32</v>
      </c>
      <c r="GH9" s="48">
        <v>32.200000000000003</v>
      </c>
      <c r="GI9" s="48">
        <v>45.6</v>
      </c>
      <c r="GJ9" s="48">
        <v>50.7</v>
      </c>
      <c r="GK9" s="48">
        <v>99.5</v>
      </c>
      <c r="GL9" s="48">
        <v>112.7</v>
      </c>
      <c r="GM9" s="49">
        <v>0</v>
      </c>
      <c r="GN9" s="49">
        <v>24.183</v>
      </c>
      <c r="GO9" s="48">
        <v>117.026</v>
      </c>
      <c r="GP9" s="48">
        <v>0.29499999999999998</v>
      </c>
      <c r="GQ9" s="48">
        <v>1.829</v>
      </c>
      <c r="GR9" s="48">
        <v>0.53100000000000003</v>
      </c>
      <c r="GS9" s="48">
        <v>1.8879999999999999</v>
      </c>
      <c r="GT9" s="48">
        <v>0.41299999999999998</v>
      </c>
      <c r="GU9" s="48">
        <v>1.829</v>
      </c>
      <c r="GV9" s="48">
        <v>12.74</v>
      </c>
      <c r="GW9" s="48">
        <v>13.971</v>
      </c>
      <c r="GX9" s="48">
        <v>16.268000000000001</v>
      </c>
      <c r="GY9" s="49">
        <v>0</v>
      </c>
      <c r="GZ9" s="49">
        <v>0</v>
      </c>
      <c r="HA9" s="49">
        <v>0</v>
      </c>
      <c r="HB9" s="48">
        <v>0</v>
      </c>
      <c r="HC9" s="48">
        <v>37.896999999999998</v>
      </c>
      <c r="HD9" s="49">
        <v>90</v>
      </c>
      <c r="HE9" s="49">
        <v>0</v>
      </c>
      <c r="HF9" s="49">
        <v>0</v>
      </c>
      <c r="HG9" s="48">
        <v>70.88</v>
      </c>
      <c r="HH9" s="48">
        <v>79.17</v>
      </c>
      <c r="HI9" s="49">
        <v>0</v>
      </c>
      <c r="HJ9" s="49">
        <v>0</v>
      </c>
      <c r="HK9" s="49">
        <v>0</v>
      </c>
      <c r="HL9" s="48">
        <v>52</v>
      </c>
      <c r="HM9" s="48">
        <v>49</v>
      </c>
      <c r="HN9" s="49">
        <v>61</v>
      </c>
      <c r="HO9" s="48">
        <v>55</v>
      </c>
      <c r="HP9" s="49">
        <v>60</v>
      </c>
      <c r="HQ9" s="49">
        <v>57</v>
      </c>
      <c r="HR9" s="48">
        <v>51</v>
      </c>
      <c r="HS9" s="49">
        <v>70</v>
      </c>
      <c r="HT9" s="49">
        <v>-0.189</v>
      </c>
      <c r="HU9" s="49">
        <v>0</v>
      </c>
      <c r="HV9" s="48">
        <v>1.504</v>
      </c>
      <c r="HW9" s="49">
        <v>35.270000000000003</v>
      </c>
      <c r="HX9" s="49">
        <v>35.200000000000003</v>
      </c>
      <c r="HY9" s="49">
        <v>50.02</v>
      </c>
      <c r="HZ9" s="49">
        <v>50.02</v>
      </c>
      <c r="IA9" s="48">
        <v>3.1539999999999999</v>
      </c>
      <c r="IB9" s="49">
        <v>103</v>
      </c>
      <c r="IC9" s="49">
        <v>21.962</v>
      </c>
      <c r="ID9" s="48">
        <v>-0.13300000000000001</v>
      </c>
      <c r="IE9" s="48">
        <v>-0.03</v>
      </c>
      <c r="IF9" s="48">
        <v>789</v>
      </c>
      <c r="IG9" s="48">
        <v>747.9</v>
      </c>
      <c r="IH9" s="48">
        <v>809.8</v>
      </c>
      <c r="II9" s="48">
        <v>776.7</v>
      </c>
      <c r="IJ9" s="48">
        <v>-0.23699999999999999</v>
      </c>
      <c r="IK9" s="48">
        <v>-0.20499999999999999</v>
      </c>
      <c r="IL9" s="48">
        <v>61.209000000000003</v>
      </c>
      <c r="IM9" s="48">
        <v>61.209000000000003</v>
      </c>
      <c r="IN9" s="48">
        <v>28.788</v>
      </c>
      <c r="IO9" s="48">
        <v>0.41</v>
      </c>
      <c r="IP9" s="48">
        <v>13.06</v>
      </c>
      <c r="IQ9" s="48">
        <v>-1.0999999999999999E-2</v>
      </c>
      <c r="IR9" s="48">
        <v>1.9E-2</v>
      </c>
    </row>
    <row r="10" spans="2:252" x14ac:dyDescent="0.25">
      <c r="B10" s="2" t="s">
        <v>407</v>
      </c>
      <c r="C10" s="2" t="s">
        <v>421</v>
      </c>
      <c r="D10" s="57">
        <v>2.4826388888888888E-3</v>
      </c>
      <c r="E10" s="48">
        <v>214.54</v>
      </c>
      <c r="F10" s="49">
        <v>331.72</v>
      </c>
      <c r="G10" s="48">
        <v>5.88</v>
      </c>
      <c r="H10" s="48">
        <v>23.4</v>
      </c>
      <c r="I10" s="49">
        <v>0</v>
      </c>
      <c r="J10" s="48">
        <v>11</v>
      </c>
      <c r="K10" s="49">
        <v>6</v>
      </c>
      <c r="L10" s="49">
        <v>4</v>
      </c>
      <c r="M10" s="49">
        <v>4</v>
      </c>
      <c r="N10" s="49">
        <v>3</v>
      </c>
      <c r="O10" s="49">
        <v>3</v>
      </c>
      <c r="P10" s="48">
        <v>0.752</v>
      </c>
      <c r="Q10" s="48">
        <v>1.528</v>
      </c>
      <c r="R10" s="48">
        <v>0.69599999999999995</v>
      </c>
      <c r="S10" s="48">
        <v>0.68799999999999994</v>
      </c>
      <c r="T10" s="48">
        <v>84.33</v>
      </c>
      <c r="U10" s="48">
        <v>60.908000000000001</v>
      </c>
      <c r="V10" s="48">
        <v>270</v>
      </c>
      <c r="W10" s="48">
        <v>253.34</v>
      </c>
      <c r="X10" s="48">
        <v>307</v>
      </c>
      <c r="Y10" s="48">
        <v>296.66000000000003</v>
      </c>
      <c r="Z10" s="48">
        <v>397.94</v>
      </c>
      <c r="AA10" s="48">
        <v>377.62</v>
      </c>
      <c r="AB10" s="49">
        <v>430.48</v>
      </c>
      <c r="AC10" s="49">
        <v>421.11</v>
      </c>
      <c r="AD10" s="49">
        <v>1.776</v>
      </c>
      <c r="AE10" s="49">
        <v>1.8169999999999999</v>
      </c>
      <c r="AF10" s="49">
        <v>1.881</v>
      </c>
      <c r="AG10" s="49">
        <v>1.8660000000000001</v>
      </c>
      <c r="AH10" s="49">
        <v>82.15</v>
      </c>
      <c r="AI10" s="49">
        <v>76.319999999999993</v>
      </c>
      <c r="AJ10" s="49">
        <v>121.66</v>
      </c>
      <c r="AK10" s="49">
        <v>109.74</v>
      </c>
      <c r="AL10" s="48">
        <v>657.08600000000001</v>
      </c>
      <c r="AM10" s="48">
        <v>648.98400000000004</v>
      </c>
      <c r="AN10" s="48">
        <v>758.971</v>
      </c>
      <c r="AO10" s="48">
        <v>749.10599999999999</v>
      </c>
      <c r="AP10" s="49">
        <v>2.74</v>
      </c>
      <c r="AQ10" s="48">
        <v>1.9890000000000001</v>
      </c>
      <c r="AR10" s="48">
        <v>39.536000000000001</v>
      </c>
      <c r="AS10" s="49">
        <v>38.402999999999999</v>
      </c>
      <c r="AT10" s="49">
        <v>82</v>
      </c>
      <c r="AU10" s="48">
        <v>109</v>
      </c>
      <c r="AV10" s="48">
        <v>3.1280000000000001</v>
      </c>
      <c r="AW10" s="49">
        <v>5.5631000000000004</v>
      </c>
      <c r="AX10" s="48">
        <v>994.8</v>
      </c>
      <c r="AY10" s="48">
        <v>1.08</v>
      </c>
      <c r="AZ10" s="48">
        <v>5.68</v>
      </c>
      <c r="BA10" s="48">
        <v>137.94</v>
      </c>
      <c r="BB10" s="48">
        <v>138.1</v>
      </c>
      <c r="BC10" s="49">
        <v>8610</v>
      </c>
      <c r="BD10" s="49">
        <v>89.25</v>
      </c>
      <c r="BE10" s="48">
        <v>25.37</v>
      </c>
      <c r="BF10" s="48">
        <v>12.795</v>
      </c>
      <c r="BG10" s="48">
        <v>29.96</v>
      </c>
      <c r="BH10" s="48">
        <v>27.19</v>
      </c>
      <c r="BI10" s="3"/>
      <c r="BJ10" s="3"/>
      <c r="BK10" s="3"/>
      <c r="BL10" s="3"/>
      <c r="BM10" s="3"/>
      <c r="BN10" s="49">
        <v>847.27200000000005</v>
      </c>
      <c r="BO10" s="49">
        <v>847.27200000000005</v>
      </c>
      <c r="BP10" s="49">
        <v>147.03200000000001</v>
      </c>
      <c r="BQ10" s="49">
        <v>140.55199999999999</v>
      </c>
      <c r="BR10" s="3"/>
      <c r="BS10" s="48">
        <v>23</v>
      </c>
      <c r="BT10" s="49">
        <v>7393.4780000000001</v>
      </c>
      <c r="BU10" s="48">
        <v>79.954999999999998</v>
      </c>
      <c r="BV10" s="48">
        <v>64.775999999999996</v>
      </c>
      <c r="BW10" s="48">
        <v>60.460999999999999</v>
      </c>
      <c r="BX10" s="48">
        <v>72.811999999999998</v>
      </c>
      <c r="BY10" s="48">
        <v>1.494</v>
      </c>
      <c r="BZ10" s="49">
        <v>3.8809999999999998</v>
      </c>
      <c r="CA10" s="48">
        <v>3.1520000000000001</v>
      </c>
      <c r="CB10" s="48">
        <v>3.7559999999999998</v>
      </c>
      <c r="CC10" s="48">
        <v>6.1180000000000003</v>
      </c>
      <c r="CD10" s="48">
        <v>2.4500000000000002</v>
      </c>
      <c r="CE10" s="48">
        <v>4.05</v>
      </c>
      <c r="CF10" s="48">
        <v>2.2250000000000001</v>
      </c>
      <c r="CG10" s="48">
        <v>13.66</v>
      </c>
      <c r="CH10" s="48">
        <v>13.452</v>
      </c>
      <c r="CI10" s="48">
        <v>4.6589999999999998</v>
      </c>
      <c r="CJ10" s="49">
        <v>3.6190000000000002</v>
      </c>
      <c r="CK10" s="48">
        <v>1.6379999999999999</v>
      </c>
      <c r="CL10" s="49">
        <v>0</v>
      </c>
      <c r="CM10" s="48">
        <v>0.3</v>
      </c>
      <c r="CN10" s="49">
        <v>0</v>
      </c>
      <c r="CO10" s="49">
        <v>0</v>
      </c>
      <c r="CP10" s="48">
        <v>190.655</v>
      </c>
      <c r="CQ10" s="49">
        <v>302.55</v>
      </c>
      <c r="CR10" s="49">
        <v>140.21100000000001</v>
      </c>
      <c r="CS10" s="49">
        <v>134.90199999999999</v>
      </c>
      <c r="CT10" s="48">
        <v>0.47199999999999998</v>
      </c>
      <c r="CU10" s="48">
        <v>1</v>
      </c>
      <c r="CV10" s="48">
        <v>1.399</v>
      </c>
      <c r="CW10" s="48">
        <v>1.2</v>
      </c>
      <c r="CX10" s="48">
        <v>2.194</v>
      </c>
      <c r="CY10" s="48">
        <v>0.89500000000000002</v>
      </c>
      <c r="CZ10" s="48">
        <v>1.399</v>
      </c>
      <c r="DA10" s="48">
        <v>1.1020000000000001</v>
      </c>
      <c r="DB10" s="48">
        <v>1.3939999999999999</v>
      </c>
      <c r="DC10" s="48">
        <v>0</v>
      </c>
      <c r="DD10" s="49">
        <v>0</v>
      </c>
      <c r="DE10" s="48">
        <v>0.26300000000000001</v>
      </c>
      <c r="DF10" s="48">
        <v>5.0999999999999997E-2</v>
      </c>
      <c r="DG10" s="48">
        <v>0.69699999999999995</v>
      </c>
      <c r="DH10" s="48">
        <v>2.6549999999999998</v>
      </c>
      <c r="DI10" s="48">
        <v>1.206</v>
      </c>
      <c r="DJ10" s="48">
        <v>0.23400000000000001</v>
      </c>
      <c r="DK10" s="48">
        <v>0.76600000000000001</v>
      </c>
      <c r="DL10" s="48">
        <v>0.61299999999999999</v>
      </c>
      <c r="DM10" s="48">
        <v>0.76200000000000001</v>
      </c>
      <c r="DN10" s="48">
        <v>0.77800000000000002</v>
      </c>
      <c r="DO10" s="48">
        <v>0.71499999999999997</v>
      </c>
      <c r="DP10" s="48">
        <v>66.415999999999997</v>
      </c>
      <c r="DQ10" s="48">
        <v>63.72</v>
      </c>
      <c r="DR10" s="48">
        <v>52.978000000000002</v>
      </c>
      <c r="DS10" s="48">
        <v>53.768000000000001</v>
      </c>
      <c r="DT10" s="48">
        <v>5.7</v>
      </c>
      <c r="DU10" s="48">
        <v>5.73</v>
      </c>
      <c r="DV10" s="48">
        <v>17.91</v>
      </c>
      <c r="DW10" s="48">
        <v>14.65</v>
      </c>
      <c r="DX10" s="48">
        <v>6.35</v>
      </c>
      <c r="DY10" s="48">
        <v>6.25</v>
      </c>
      <c r="DZ10" s="48">
        <v>17.04</v>
      </c>
      <c r="EA10" s="48">
        <v>14.51</v>
      </c>
      <c r="EB10" s="48">
        <v>42.78</v>
      </c>
      <c r="EC10" s="48">
        <v>41.16</v>
      </c>
      <c r="ED10" s="48">
        <v>30.44</v>
      </c>
      <c r="EE10" s="48">
        <v>33.950000000000003</v>
      </c>
      <c r="EF10" s="48">
        <v>45.17</v>
      </c>
      <c r="EG10" s="48">
        <v>46.86</v>
      </c>
      <c r="EH10" s="48">
        <v>34.61</v>
      </c>
      <c r="EI10" s="48">
        <v>36.9</v>
      </c>
      <c r="EJ10" s="48">
        <v>4.827</v>
      </c>
      <c r="EK10" s="48">
        <v>62.837000000000003</v>
      </c>
      <c r="EL10" s="48">
        <v>0.85</v>
      </c>
      <c r="EM10" s="48">
        <v>0.45</v>
      </c>
      <c r="EN10" s="49">
        <v>1.1599999999999999</v>
      </c>
      <c r="EO10" s="49">
        <v>1.1499999999999999</v>
      </c>
      <c r="EP10" s="48">
        <v>-110.31</v>
      </c>
      <c r="EQ10" s="48">
        <v>-2.012</v>
      </c>
      <c r="ER10" s="48">
        <v>106.354</v>
      </c>
      <c r="ES10" s="48">
        <v>1.238</v>
      </c>
      <c r="ET10" s="48">
        <v>1.2909999999999999</v>
      </c>
      <c r="EU10" s="48">
        <v>1.0920000000000001</v>
      </c>
      <c r="EV10" s="48">
        <v>7.702</v>
      </c>
      <c r="EW10" s="48">
        <v>4.2779999999999996</v>
      </c>
      <c r="EX10" s="48">
        <v>73.040000000000006</v>
      </c>
      <c r="EY10" s="48">
        <v>0</v>
      </c>
      <c r="EZ10" s="49">
        <v>8.6999999999999994E-2</v>
      </c>
      <c r="FA10" s="49">
        <v>0</v>
      </c>
      <c r="FB10" s="48">
        <v>9.2050000000000001</v>
      </c>
      <c r="FC10" s="49">
        <v>73.322999999999993</v>
      </c>
      <c r="FD10" s="49">
        <v>68.566000000000003</v>
      </c>
      <c r="FE10" s="49">
        <v>89.769000000000005</v>
      </c>
      <c r="FF10" s="49">
        <v>84.353999999999999</v>
      </c>
      <c r="FG10" s="48">
        <v>0.91</v>
      </c>
      <c r="FH10" s="48">
        <v>0.90900000000000003</v>
      </c>
      <c r="FI10" s="48">
        <v>0.98899999999999999</v>
      </c>
      <c r="FJ10" s="48">
        <v>0.98599999999999999</v>
      </c>
      <c r="FK10" s="48">
        <v>0</v>
      </c>
      <c r="FL10" s="49">
        <v>83</v>
      </c>
      <c r="FM10" s="48">
        <v>2.5299999999999998</v>
      </c>
      <c r="FN10" s="48">
        <v>1.1299999999999999</v>
      </c>
      <c r="FO10" s="48">
        <v>5.4</v>
      </c>
      <c r="FP10" s="3"/>
      <c r="FQ10" s="48">
        <v>4.5</v>
      </c>
      <c r="FR10" s="49">
        <v>5.05</v>
      </c>
      <c r="FS10" s="48">
        <v>6.8449999999999998</v>
      </c>
      <c r="FT10" s="48">
        <v>1062.7</v>
      </c>
      <c r="FU10" s="48">
        <v>7.02</v>
      </c>
      <c r="FV10" s="48">
        <v>23.86</v>
      </c>
      <c r="FW10" s="48">
        <v>3095.5</v>
      </c>
      <c r="FX10" s="48">
        <v>168700</v>
      </c>
      <c r="FY10" s="48">
        <v>166900</v>
      </c>
      <c r="FZ10" s="48">
        <v>44.716000000000001</v>
      </c>
      <c r="GA10" s="48">
        <v>43.066000000000003</v>
      </c>
      <c r="GB10" s="48">
        <v>2217</v>
      </c>
      <c r="GC10" s="48">
        <v>2103.6</v>
      </c>
      <c r="GD10" s="48">
        <v>2237.4</v>
      </c>
      <c r="GE10" s="48">
        <v>2138.3000000000002</v>
      </c>
      <c r="GF10" s="48">
        <v>1432.25</v>
      </c>
      <c r="GG10" s="48">
        <v>33</v>
      </c>
      <c r="GH10" s="48">
        <v>33.200000000000003</v>
      </c>
      <c r="GI10" s="48">
        <v>46.1</v>
      </c>
      <c r="GJ10" s="48">
        <v>51.3</v>
      </c>
      <c r="GK10" s="48">
        <v>99.5</v>
      </c>
      <c r="GL10" s="49">
        <v>115.8</v>
      </c>
      <c r="GM10" s="49">
        <v>0</v>
      </c>
      <c r="GN10" s="48">
        <v>24.013000000000002</v>
      </c>
      <c r="GO10" s="48">
        <v>110.31</v>
      </c>
      <c r="GP10" s="48">
        <v>0.29499999999999998</v>
      </c>
      <c r="GQ10" s="48">
        <v>1.829</v>
      </c>
      <c r="GR10" s="48">
        <v>0.53100000000000003</v>
      </c>
      <c r="GS10" s="48">
        <v>1.8879999999999999</v>
      </c>
      <c r="GT10" s="48">
        <v>0.35399999999999998</v>
      </c>
      <c r="GU10" s="48">
        <v>1.829</v>
      </c>
      <c r="GV10" s="48">
        <v>12.936</v>
      </c>
      <c r="GW10" s="48">
        <v>14.042</v>
      </c>
      <c r="GX10" s="48">
        <v>15.875999999999999</v>
      </c>
      <c r="GY10" s="49">
        <v>0</v>
      </c>
      <c r="GZ10" s="49">
        <v>0</v>
      </c>
      <c r="HA10" s="49">
        <v>0</v>
      </c>
      <c r="HB10" s="48">
        <v>0</v>
      </c>
      <c r="HC10" s="48">
        <v>37.262</v>
      </c>
      <c r="HD10" s="49">
        <v>90</v>
      </c>
      <c r="HE10" s="49">
        <v>0</v>
      </c>
      <c r="HF10" s="49">
        <v>0</v>
      </c>
      <c r="HG10" s="48">
        <v>70.08</v>
      </c>
      <c r="HH10" s="48">
        <v>78.489999999999995</v>
      </c>
      <c r="HI10" s="49">
        <v>0</v>
      </c>
      <c r="HJ10" s="49">
        <v>0</v>
      </c>
      <c r="HK10" s="49">
        <v>0</v>
      </c>
      <c r="HL10" s="48">
        <v>52</v>
      </c>
      <c r="HM10" s="48">
        <v>45</v>
      </c>
      <c r="HN10" s="48">
        <v>59</v>
      </c>
      <c r="HO10" s="48">
        <v>54</v>
      </c>
      <c r="HP10" s="48">
        <v>59</v>
      </c>
      <c r="HQ10" s="48">
        <v>56</v>
      </c>
      <c r="HR10" s="48">
        <v>51</v>
      </c>
      <c r="HS10" s="48">
        <v>62</v>
      </c>
      <c r="HT10" s="48">
        <v>-0.17949999999999999</v>
      </c>
      <c r="HU10" s="49">
        <v>0</v>
      </c>
      <c r="HV10" s="48">
        <v>1.45</v>
      </c>
      <c r="HW10" s="49">
        <v>35.270000000000003</v>
      </c>
      <c r="HX10" s="48">
        <v>35.880000000000003</v>
      </c>
      <c r="HY10" s="48">
        <v>49.71</v>
      </c>
      <c r="HZ10" s="48">
        <v>49.71</v>
      </c>
      <c r="IA10" s="48">
        <v>3.0960000000000001</v>
      </c>
      <c r="IB10" s="49">
        <v>103</v>
      </c>
      <c r="IC10" s="48">
        <v>21.887</v>
      </c>
      <c r="ID10" s="48">
        <v>-0.151</v>
      </c>
      <c r="IE10" s="48">
        <v>-3.9E-2</v>
      </c>
      <c r="IF10" s="48">
        <v>827.7</v>
      </c>
      <c r="IG10" s="49">
        <v>752.8</v>
      </c>
      <c r="IH10" s="48">
        <v>874</v>
      </c>
      <c r="II10" s="49">
        <v>779.6</v>
      </c>
      <c r="IJ10" s="48">
        <v>-0.28999999999999998</v>
      </c>
      <c r="IK10" s="48">
        <v>-0.24299999999999999</v>
      </c>
      <c r="IL10" s="48">
        <v>67.212000000000003</v>
      </c>
      <c r="IM10" s="48">
        <v>67.212000000000003</v>
      </c>
      <c r="IN10" s="48">
        <v>26.783000000000001</v>
      </c>
      <c r="IO10" s="48">
        <v>0.39300000000000002</v>
      </c>
      <c r="IP10" s="48">
        <v>13.17</v>
      </c>
      <c r="IQ10" s="48">
        <v>-1E-3</v>
      </c>
      <c r="IR10" s="48">
        <v>7.0000000000000001E-3</v>
      </c>
    </row>
    <row r="11" spans="2:252" x14ac:dyDescent="0.25">
      <c r="B11" s="2" t="s">
        <v>407</v>
      </c>
      <c r="C11" s="58" t="s">
        <v>422</v>
      </c>
      <c r="D11" s="59">
        <v>2.3944444444444443E-3</v>
      </c>
      <c r="E11" s="48">
        <v>206.91</v>
      </c>
      <c r="F11" s="48">
        <v>328.69</v>
      </c>
      <c r="G11" s="49">
        <v>6.13</v>
      </c>
      <c r="H11" s="48">
        <v>23</v>
      </c>
      <c r="I11" s="49">
        <v>0</v>
      </c>
      <c r="J11" s="48">
        <v>7.9</v>
      </c>
      <c r="K11" s="49">
        <v>6</v>
      </c>
      <c r="L11" s="49">
        <v>4</v>
      </c>
      <c r="M11" s="49">
        <v>4</v>
      </c>
      <c r="N11" s="49">
        <v>3</v>
      </c>
      <c r="O11" s="49">
        <v>3</v>
      </c>
      <c r="P11" s="48">
        <v>0.80700000000000005</v>
      </c>
      <c r="Q11" s="48">
        <v>1.669</v>
      </c>
      <c r="R11" s="48">
        <v>0.82599999999999996</v>
      </c>
      <c r="S11" s="48">
        <v>0.64800000000000002</v>
      </c>
      <c r="T11" s="48">
        <v>78.41</v>
      </c>
      <c r="U11" s="48">
        <v>60.668999999999997</v>
      </c>
      <c r="V11" s="48">
        <v>263.33999999999997</v>
      </c>
      <c r="W11" s="48">
        <v>245</v>
      </c>
      <c r="X11" s="48">
        <v>288.33999999999997</v>
      </c>
      <c r="Y11" s="48">
        <v>275</v>
      </c>
      <c r="Z11" s="48">
        <v>393.68</v>
      </c>
      <c r="AA11" s="48">
        <v>369.77</v>
      </c>
      <c r="AB11" s="48">
        <v>410.71</v>
      </c>
      <c r="AC11" s="48">
        <v>402.91</v>
      </c>
      <c r="AD11" s="48">
        <v>1.7490000000000001</v>
      </c>
      <c r="AE11" s="48">
        <v>1.788</v>
      </c>
      <c r="AF11" s="48">
        <v>1.8640000000000001</v>
      </c>
      <c r="AG11" s="48">
        <v>1.843</v>
      </c>
      <c r="AH11" s="48">
        <v>77.319999999999993</v>
      </c>
      <c r="AI11" s="48">
        <v>71.760000000000005</v>
      </c>
      <c r="AJ11" s="48">
        <v>115.25</v>
      </c>
      <c r="AK11" s="48">
        <v>103.9</v>
      </c>
      <c r="AL11" s="48">
        <v>714.91</v>
      </c>
      <c r="AM11" s="49">
        <v>715</v>
      </c>
      <c r="AN11" s="49">
        <v>815.43399999999997</v>
      </c>
      <c r="AO11" s="49">
        <v>795.87199999999996</v>
      </c>
      <c r="AP11" s="48">
        <v>2.71</v>
      </c>
      <c r="AQ11" s="48">
        <v>1.98</v>
      </c>
      <c r="AR11" s="48">
        <v>38.313000000000002</v>
      </c>
      <c r="AS11" s="48">
        <v>37.218000000000004</v>
      </c>
      <c r="AT11" s="49">
        <v>82</v>
      </c>
      <c r="AU11" s="49">
        <v>110</v>
      </c>
      <c r="AV11" s="48">
        <v>2.762</v>
      </c>
      <c r="AW11" s="48">
        <v>5.4680999999999997</v>
      </c>
      <c r="AX11" s="48">
        <v>996.4</v>
      </c>
      <c r="AY11" s="48">
        <v>1.1000000000000001</v>
      </c>
      <c r="AZ11" s="48">
        <v>1</v>
      </c>
      <c r="BA11" s="48">
        <v>103.919</v>
      </c>
      <c r="BB11" s="48">
        <v>107.523</v>
      </c>
      <c r="BC11" s="48">
        <v>7881</v>
      </c>
      <c r="BD11" s="48">
        <v>88.25</v>
      </c>
      <c r="BE11" s="48">
        <v>25.33</v>
      </c>
      <c r="BF11" s="49">
        <v>16.074999999999999</v>
      </c>
      <c r="BG11" s="48">
        <v>30.66</v>
      </c>
      <c r="BH11" s="48">
        <v>30.91</v>
      </c>
      <c r="BI11" s="3"/>
      <c r="BJ11" s="3"/>
      <c r="BK11" s="3"/>
      <c r="BL11" s="3"/>
      <c r="BM11" s="3"/>
      <c r="BN11" s="49">
        <v>847.27200000000005</v>
      </c>
      <c r="BO11" s="49">
        <v>847.27200000000005</v>
      </c>
      <c r="BP11" s="48">
        <v>146.072</v>
      </c>
      <c r="BQ11" s="48">
        <v>138.55199999999999</v>
      </c>
      <c r="BR11" s="3"/>
      <c r="BS11" s="48">
        <v>22.7</v>
      </c>
      <c r="BT11" s="48">
        <v>7337.7209999999995</v>
      </c>
      <c r="BU11" s="48">
        <v>78.884</v>
      </c>
      <c r="BV11" s="48">
        <v>63.244999999999997</v>
      </c>
      <c r="BW11" s="48">
        <v>56.424999999999997</v>
      </c>
      <c r="BX11" s="48">
        <v>65.861000000000004</v>
      </c>
      <c r="BY11" s="48">
        <v>1.5149999999999999</v>
      </c>
      <c r="BZ11" s="48">
        <v>3.1989999999999998</v>
      </c>
      <c r="CA11" s="48">
        <v>3.9009999999999998</v>
      </c>
      <c r="CB11" s="49">
        <v>4.1769999999999996</v>
      </c>
      <c r="CC11" s="48">
        <v>6.1669999999999998</v>
      </c>
      <c r="CD11" s="48">
        <v>2.4420000000000002</v>
      </c>
      <c r="CE11" s="48">
        <v>4.0650000000000004</v>
      </c>
      <c r="CF11" s="48">
        <v>2.2240000000000002</v>
      </c>
      <c r="CG11" s="48">
        <v>13.654999999999999</v>
      </c>
      <c r="CH11" s="48">
        <v>13.416</v>
      </c>
      <c r="CI11" s="48">
        <v>2.7829999999999999</v>
      </c>
      <c r="CJ11" s="48">
        <v>2.9990000000000001</v>
      </c>
      <c r="CK11" s="48">
        <v>1.232</v>
      </c>
      <c r="CL11" s="49">
        <v>0</v>
      </c>
      <c r="CM11" s="49">
        <v>0.7</v>
      </c>
      <c r="CN11" s="49">
        <v>0</v>
      </c>
      <c r="CO11" s="49">
        <v>0</v>
      </c>
      <c r="CP11" s="48">
        <v>201.054</v>
      </c>
      <c r="CQ11" s="48">
        <v>188.654</v>
      </c>
      <c r="CR11" s="48">
        <v>136.62</v>
      </c>
      <c r="CS11" s="48">
        <v>131.49799999999999</v>
      </c>
      <c r="CT11" s="48">
        <v>0.47699999999999998</v>
      </c>
      <c r="CU11" s="48">
        <v>1.2030000000000001</v>
      </c>
      <c r="CV11" s="48">
        <v>0.9</v>
      </c>
      <c r="CW11" s="48">
        <v>1.5</v>
      </c>
      <c r="CX11" s="48">
        <v>2.6</v>
      </c>
      <c r="CY11" s="48">
        <v>1.0009999999999999</v>
      </c>
      <c r="CZ11" s="48">
        <v>1.3</v>
      </c>
      <c r="DA11" s="48">
        <v>2.1019999999999999</v>
      </c>
      <c r="DB11" s="48">
        <v>2.601</v>
      </c>
      <c r="DC11" s="48">
        <v>0</v>
      </c>
      <c r="DD11" s="49">
        <v>0</v>
      </c>
      <c r="DE11" s="48">
        <v>0.28199999999999997</v>
      </c>
      <c r="DF11" s="48">
        <v>0.104</v>
      </c>
      <c r="DG11" s="48">
        <v>1.2789999999999999</v>
      </c>
      <c r="DH11" s="48">
        <v>2.6760000000000002</v>
      </c>
      <c r="DI11" s="48">
        <v>1.4019999999999999</v>
      </c>
      <c r="DJ11" s="48">
        <v>0.33900000000000002</v>
      </c>
      <c r="DK11" s="48">
        <v>0.86499999999999999</v>
      </c>
      <c r="DL11" s="48">
        <v>0.60799999999999998</v>
      </c>
      <c r="DM11" s="48">
        <v>0.76700000000000002</v>
      </c>
      <c r="DN11" s="48">
        <v>0.79</v>
      </c>
      <c r="DO11" s="48">
        <v>0.73499999999999999</v>
      </c>
      <c r="DP11" s="48">
        <v>64.694000000000003</v>
      </c>
      <c r="DQ11" s="48">
        <v>62.789000000000001</v>
      </c>
      <c r="DR11" s="48">
        <v>52.084000000000003</v>
      </c>
      <c r="DS11" s="48">
        <v>53.893999999999998</v>
      </c>
      <c r="DT11" s="49">
        <v>6.49</v>
      </c>
      <c r="DU11" s="49">
        <v>6.86</v>
      </c>
      <c r="DV11" s="49">
        <v>19.14</v>
      </c>
      <c r="DW11" s="49">
        <v>16.11</v>
      </c>
      <c r="DX11" s="49">
        <v>7.23</v>
      </c>
      <c r="DY11" s="49">
        <v>7.24</v>
      </c>
      <c r="DZ11" s="49">
        <v>18.62</v>
      </c>
      <c r="EA11" s="49">
        <v>15.84</v>
      </c>
      <c r="EB11" s="48">
        <v>42.43</v>
      </c>
      <c r="EC11" s="48">
        <v>40.01</v>
      </c>
      <c r="ED11" s="48">
        <v>29.25</v>
      </c>
      <c r="EE11" s="48">
        <v>32.76</v>
      </c>
      <c r="EF11" s="48">
        <v>43.85</v>
      </c>
      <c r="EG11" s="48">
        <v>45.89</v>
      </c>
      <c r="EH11" s="48">
        <v>32.99</v>
      </c>
      <c r="EI11" s="48">
        <v>35.29</v>
      </c>
      <c r="EJ11" s="48">
        <v>4.7969999999999997</v>
      </c>
      <c r="EK11" s="48">
        <v>63.241999999999997</v>
      </c>
      <c r="EL11" s="48">
        <v>0.75</v>
      </c>
      <c r="EM11" s="48">
        <v>0.45</v>
      </c>
      <c r="EN11" s="48">
        <v>1.1499999999999999</v>
      </c>
      <c r="EO11" s="48">
        <v>1.1399999999999999</v>
      </c>
      <c r="EP11" s="49">
        <v>-119.07</v>
      </c>
      <c r="EQ11" s="48">
        <v>-2.5640000000000001</v>
      </c>
      <c r="ER11" s="49">
        <v>110.15</v>
      </c>
      <c r="ES11" s="48">
        <v>0.999</v>
      </c>
      <c r="ET11" s="48">
        <v>0.94899999999999995</v>
      </c>
      <c r="EU11" s="48">
        <v>0.76400000000000001</v>
      </c>
      <c r="EV11" s="48">
        <v>7.89</v>
      </c>
      <c r="EW11" s="48">
        <v>4.4039999999999999</v>
      </c>
      <c r="EX11" s="49">
        <v>76.78</v>
      </c>
      <c r="EY11" s="48">
        <v>0</v>
      </c>
      <c r="EZ11" s="48">
        <v>0</v>
      </c>
      <c r="FA11" s="49">
        <v>0</v>
      </c>
      <c r="FB11" s="48">
        <v>9.2070000000000007</v>
      </c>
      <c r="FC11" s="48">
        <v>71.367000000000004</v>
      </c>
      <c r="FD11" s="48">
        <v>66.769000000000005</v>
      </c>
      <c r="FE11" s="48">
        <v>88.697000000000003</v>
      </c>
      <c r="FF11" s="48">
        <v>83.141999999999996</v>
      </c>
      <c r="FG11" s="48">
        <v>0.91400000000000003</v>
      </c>
      <c r="FH11" s="48">
        <v>0.91200000000000003</v>
      </c>
      <c r="FI11" s="48">
        <v>0.99</v>
      </c>
      <c r="FJ11" s="48">
        <v>0.98699999999999999</v>
      </c>
      <c r="FK11" s="48">
        <v>0</v>
      </c>
      <c r="FL11" s="49">
        <v>83</v>
      </c>
      <c r="FM11" s="48">
        <v>2.54</v>
      </c>
      <c r="FN11" s="48">
        <v>1.19</v>
      </c>
      <c r="FO11" s="48">
        <v>0.98</v>
      </c>
      <c r="FP11" s="3"/>
      <c r="FQ11" s="48">
        <v>4.6500000000000004</v>
      </c>
      <c r="FR11" s="48">
        <v>5.0999999999999996</v>
      </c>
      <c r="FS11" s="48">
        <v>6.8155000000000001</v>
      </c>
      <c r="FT11" s="48">
        <v>1059.0999999999999</v>
      </c>
      <c r="FU11" s="48">
        <v>7.34</v>
      </c>
      <c r="FV11" s="48">
        <v>29.98</v>
      </c>
      <c r="FW11" s="49">
        <v>3349.5</v>
      </c>
      <c r="FX11" s="48">
        <v>164900</v>
      </c>
      <c r="FY11" s="48">
        <v>164600</v>
      </c>
      <c r="FZ11" s="48">
        <v>44.658000000000001</v>
      </c>
      <c r="GA11" s="48">
        <v>43.110999999999997</v>
      </c>
      <c r="GB11" s="48">
        <v>2156.1</v>
      </c>
      <c r="GC11" s="49">
        <v>2193.6</v>
      </c>
      <c r="GD11" s="48">
        <v>2193.1</v>
      </c>
      <c r="GE11" s="48">
        <v>2247.8000000000002</v>
      </c>
      <c r="GF11" s="48">
        <v>1427.9063000000001</v>
      </c>
      <c r="GG11" s="48">
        <v>35</v>
      </c>
      <c r="GH11" s="48">
        <v>34.6</v>
      </c>
      <c r="GI11" s="48">
        <v>46.2</v>
      </c>
      <c r="GJ11" s="48">
        <v>51.5</v>
      </c>
      <c r="GK11" s="48">
        <v>99.5</v>
      </c>
      <c r="GL11" s="48">
        <v>109.8</v>
      </c>
      <c r="GM11" s="49">
        <v>0</v>
      </c>
      <c r="GN11" s="48">
        <v>22.939</v>
      </c>
      <c r="GO11" s="49">
        <v>119.07</v>
      </c>
      <c r="GP11" s="48">
        <v>0.23599999999999999</v>
      </c>
      <c r="GQ11" s="48">
        <v>1.829</v>
      </c>
      <c r="GR11" s="48">
        <v>0.29499999999999998</v>
      </c>
      <c r="GS11" s="48">
        <v>1.8879999999999999</v>
      </c>
      <c r="GT11" s="48">
        <v>0.23599999999999999</v>
      </c>
      <c r="GU11" s="48">
        <v>1.7110000000000001</v>
      </c>
      <c r="GV11" s="48">
        <v>8.2319999999999993</v>
      </c>
      <c r="GW11" s="48">
        <v>13.968999999999999</v>
      </c>
      <c r="GX11" s="48">
        <v>16.071999999999999</v>
      </c>
      <c r="GY11" s="49">
        <v>0</v>
      </c>
      <c r="GZ11" s="49">
        <v>0</v>
      </c>
      <c r="HA11" s="49">
        <v>0</v>
      </c>
      <c r="HB11" s="48">
        <v>0</v>
      </c>
      <c r="HC11" s="48">
        <v>37.338000000000001</v>
      </c>
      <c r="HD11" s="49">
        <v>90</v>
      </c>
      <c r="HE11" s="49">
        <v>0</v>
      </c>
      <c r="HF11" s="49">
        <v>0</v>
      </c>
      <c r="HG11" s="48">
        <v>69.22</v>
      </c>
      <c r="HH11" s="48">
        <v>78.7</v>
      </c>
      <c r="HI11" s="49">
        <v>0</v>
      </c>
      <c r="HJ11" s="49">
        <v>0</v>
      </c>
      <c r="HK11" s="49">
        <v>0</v>
      </c>
      <c r="HL11" s="49">
        <v>53</v>
      </c>
      <c r="HM11" s="48">
        <v>41</v>
      </c>
      <c r="HN11" s="48">
        <v>58</v>
      </c>
      <c r="HO11" s="48">
        <v>53</v>
      </c>
      <c r="HP11" s="48">
        <v>57</v>
      </c>
      <c r="HQ11" s="48">
        <v>55</v>
      </c>
      <c r="HR11" s="48">
        <v>51</v>
      </c>
      <c r="HS11" s="48">
        <v>64</v>
      </c>
      <c r="HT11" s="48">
        <v>-0.18099999999999999</v>
      </c>
      <c r="HU11" s="49">
        <v>0</v>
      </c>
      <c r="HV11" s="49">
        <v>1.52</v>
      </c>
      <c r="HW11" s="48">
        <v>39.4</v>
      </c>
      <c r="HX11" s="48">
        <v>36.33</v>
      </c>
      <c r="HY11" s="48">
        <v>46.9</v>
      </c>
      <c r="HZ11" s="48">
        <v>46.9</v>
      </c>
      <c r="IA11" s="49">
        <v>3.3119999999999998</v>
      </c>
      <c r="IB11" s="49">
        <v>103</v>
      </c>
      <c r="IC11" s="48">
        <v>21.483000000000001</v>
      </c>
      <c r="ID11" s="48">
        <v>-0.13300000000000001</v>
      </c>
      <c r="IE11" s="48">
        <v>-4.3999999999999997E-2</v>
      </c>
      <c r="IF11" s="48">
        <v>788.9</v>
      </c>
      <c r="IG11" s="48">
        <v>748.8</v>
      </c>
      <c r="IH11" s="48">
        <v>814.7</v>
      </c>
      <c r="II11" s="48">
        <v>776.5</v>
      </c>
      <c r="IJ11" s="48">
        <v>-0.21099999999999999</v>
      </c>
      <c r="IK11" s="48">
        <v>-0.16</v>
      </c>
      <c r="IL11" s="48">
        <v>60.75</v>
      </c>
      <c r="IM11" s="48">
        <v>60.75</v>
      </c>
      <c r="IN11" s="48">
        <v>27.696999999999999</v>
      </c>
      <c r="IO11" s="48">
        <v>0.45200000000000001</v>
      </c>
      <c r="IP11" s="48">
        <v>12.94</v>
      </c>
      <c r="IQ11" s="48">
        <v>-1E-3</v>
      </c>
      <c r="IR11" s="48">
        <v>1.7999999999999999E-2</v>
      </c>
    </row>
    <row r="12" spans="2:252" x14ac:dyDescent="0.25">
      <c r="B12" s="2" t="s">
        <v>407</v>
      </c>
      <c r="C12" s="2" t="s">
        <v>423</v>
      </c>
      <c r="D12" s="57">
        <v>3.754629629629629E-3</v>
      </c>
      <c r="E12" s="48">
        <v>324.39600000000002</v>
      </c>
      <c r="F12" s="48">
        <v>288.31</v>
      </c>
      <c r="G12" s="48">
        <v>3.65</v>
      </c>
      <c r="H12" s="48">
        <v>22.8</v>
      </c>
      <c r="I12" s="49">
        <v>0</v>
      </c>
      <c r="J12" s="48">
        <v>40.200000000000003</v>
      </c>
      <c r="K12" s="49">
        <v>6</v>
      </c>
      <c r="L12" s="49">
        <v>4</v>
      </c>
      <c r="M12" s="49">
        <v>4</v>
      </c>
      <c r="N12" s="49">
        <v>3</v>
      </c>
      <c r="O12" s="49">
        <v>3</v>
      </c>
      <c r="P12" s="48">
        <v>0.76200000000000001</v>
      </c>
      <c r="Q12" s="48">
        <v>0.94299999999999995</v>
      </c>
      <c r="R12" s="48">
        <v>0.77</v>
      </c>
      <c r="S12" s="3"/>
      <c r="T12" s="48">
        <v>68.67</v>
      </c>
      <c r="U12" s="49">
        <v>61.29</v>
      </c>
      <c r="V12" s="48">
        <v>110</v>
      </c>
      <c r="W12" s="49">
        <v>90</v>
      </c>
      <c r="X12" s="48">
        <v>110</v>
      </c>
      <c r="Y12" s="48">
        <v>110</v>
      </c>
      <c r="Z12" s="48">
        <v>210.43</v>
      </c>
      <c r="AA12" s="48">
        <v>203.16</v>
      </c>
      <c r="AB12" s="48">
        <v>209.92</v>
      </c>
      <c r="AC12" s="48">
        <v>210.16</v>
      </c>
      <c r="AD12" s="48">
        <v>1.6639999999999999</v>
      </c>
      <c r="AE12" s="48">
        <v>1.7150000000000001</v>
      </c>
      <c r="AF12" s="48">
        <v>1.7490000000000001</v>
      </c>
      <c r="AG12" s="48">
        <v>1.742</v>
      </c>
      <c r="AH12" s="48">
        <v>65.47</v>
      </c>
      <c r="AI12" s="48">
        <v>61.71</v>
      </c>
      <c r="AJ12" s="48">
        <v>94.38</v>
      </c>
      <c r="AK12" s="48">
        <v>86.45</v>
      </c>
      <c r="AL12" s="48">
        <v>606.92999999999995</v>
      </c>
      <c r="AM12" s="48">
        <v>626.63800000000003</v>
      </c>
      <c r="AN12" s="48">
        <v>759.11400000000003</v>
      </c>
      <c r="AO12" s="48">
        <v>686.42</v>
      </c>
      <c r="AP12" s="3"/>
      <c r="AQ12" s="3"/>
      <c r="AR12" s="3"/>
      <c r="AS12" s="3"/>
      <c r="AT12" s="49">
        <v>82</v>
      </c>
      <c r="AU12" s="49">
        <v>110</v>
      </c>
      <c r="AV12" s="48">
        <v>3.2685</v>
      </c>
      <c r="AW12" s="48">
        <v>5.2576999999999998</v>
      </c>
      <c r="AX12" s="48">
        <v>985.6</v>
      </c>
      <c r="AY12" s="49">
        <v>1.23</v>
      </c>
      <c r="AZ12" s="49">
        <v>0.83</v>
      </c>
      <c r="BA12" s="48">
        <v>137.1</v>
      </c>
      <c r="BB12" s="48">
        <v>140.25299999999999</v>
      </c>
      <c r="BC12" s="48">
        <v>7648</v>
      </c>
      <c r="BD12" s="49">
        <v>89.25</v>
      </c>
      <c r="BE12" s="48">
        <v>23.44</v>
      </c>
      <c r="BF12" s="48">
        <v>12.845000000000001</v>
      </c>
      <c r="BG12" s="48">
        <v>26.51</v>
      </c>
      <c r="BH12" s="48">
        <v>20.83</v>
      </c>
      <c r="BI12" s="49">
        <v>66.616</v>
      </c>
      <c r="BJ12" s="49">
        <v>82.965999999999994</v>
      </c>
      <c r="BK12" s="49">
        <v>64.887</v>
      </c>
      <c r="BL12" s="49">
        <v>80.724999999999994</v>
      </c>
      <c r="BM12" s="49">
        <v>79.977999999999994</v>
      </c>
      <c r="BN12" s="49">
        <v>847.27200000000005</v>
      </c>
      <c r="BO12" s="48">
        <v>676.84</v>
      </c>
      <c r="BP12" s="48">
        <v>139.01599999999999</v>
      </c>
      <c r="BQ12" s="48">
        <v>136.6</v>
      </c>
      <c r="BR12" s="49">
        <v>59.564999999999998</v>
      </c>
      <c r="BS12" s="48">
        <v>22</v>
      </c>
      <c r="BT12" s="48">
        <v>5798.6369999999997</v>
      </c>
      <c r="BU12" s="48">
        <v>81.233000000000004</v>
      </c>
      <c r="BV12" s="49">
        <v>68.647000000000006</v>
      </c>
      <c r="BW12" s="49">
        <v>68.644000000000005</v>
      </c>
      <c r="BX12" s="49">
        <v>79.477999999999994</v>
      </c>
      <c r="BY12" s="48">
        <v>1.395</v>
      </c>
      <c r="BZ12" s="48">
        <v>2.6659999999999999</v>
      </c>
      <c r="CA12" s="48">
        <v>2.5840000000000001</v>
      </c>
      <c r="CB12" s="48">
        <v>3.5830000000000002</v>
      </c>
      <c r="CC12" s="48">
        <v>6.1879999999999997</v>
      </c>
      <c r="CD12" s="48">
        <v>2.1469999999999998</v>
      </c>
      <c r="CE12" s="49">
        <v>4.1260000000000003</v>
      </c>
      <c r="CF12" s="48">
        <v>2.0249999999999999</v>
      </c>
      <c r="CG12" s="49">
        <v>13.742000000000001</v>
      </c>
      <c r="CH12" s="48">
        <v>10.614000000000001</v>
      </c>
      <c r="CI12" s="3"/>
      <c r="CJ12" s="3"/>
      <c r="CK12" s="3"/>
      <c r="CL12" s="49">
        <v>0</v>
      </c>
      <c r="CM12" s="48">
        <v>0</v>
      </c>
      <c r="CN12" s="49">
        <v>0</v>
      </c>
      <c r="CO12" s="49">
        <v>0</v>
      </c>
      <c r="CP12" s="48">
        <v>96.656000000000006</v>
      </c>
      <c r="CQ12" s="48">
        <v>116.098</v>
      </c>
      <c r="CR12" s="48">
        <v>110.55800000000001</v>
      </c>
      <c r="CS12" s="48">
        <v>107.127</v>
      </c>
      <c r="CT12" s="49">
        <v>0.54100000000000004</v>
      </c>
      <c r="CU12" s="49">
        <v>4.6379999999999999</v>
      </c>
      <c r="CV12" s="49">
        <v>4.04</v>
      </c>
      <c r="CW12" s="49">
        <v>4.242</v>
      </c>
      <c r="CX12" s="49">
        <v>4.1390000000000002</v>
      </c>
      <c r="CY12" s="49">
        <v>3.54</v>
      </c>
      <c r="CZ12" s="49">
        <v>4.242</v>
      </c>
      <c r="DA12" s="49">
        <v>4.4370000000000003</v>
      </c>
      <c r="DB12" s="49">
        <v>4.4420000000000002</v>
      </c>
      <c r="DC12" s="48">
        <v>0</v>
      </c>
      <c r="DD12" s="49">
        <v>0</v>
      </c>
      <c r="DE12" s="48">
        <v>0.191</v>
      </c>
      <c r="DF12" s="48">
        <v>3.1E-2</v>
      </c>
      <c r="DG12" s="48">
        <v>0.3</v>
      </c>
      <c r="DH12" s="48">
        <v>0.90400000000000003</v>
      </c>
      <c r="DI12" s="48">
        <v>0.83699999999999997</v>
      </c>
      <c r="DJ12" s="48">
        <v>0.23899999999999999</v>
      </c>
      <c r="DK12" s="48">
        <v>0.73799999999999999</v>
      </c>
      <c r="DL12" s="49">
        <v>0.66800000000000004</v>
      </c>
      <c r="DM12" s="49">
        <v>0.80800000000000005</v>
      </c>
      <c r="DN12" s="48">
        <v>0.78400000000000003</v>
      </c>
      <c r="DO12" s="49">
        <v>0.77700000000000002</v>
      </c>
      <c r="DP12" s="48">
        <v>58.28</v>
      </c>
      <c r="DQ12" s="49">
        <v>68.813999999999993</v>
      </c>
      <c r="DR12" s="48">
        <v>51.91</v>
      </c>
      <c r="DS12" s="49">
        <v>58.405000000000001</v>
      </c>
      <c r="DT12" s="48">
        <v>2.5299999999999998</v>
      </c>
      <c r="DU12" s="48">
        <v>2.6</v>
      </c>
      <c r="DV12" s="48">
        <v>7.87</v>
      </c>
      <c r="DW12" s="48">
        <v>6.06</v>
      </c>
      <c r="DX12" s="48">
        <v>3.06</v>
      </c>
      <c r="DY12" s="48">
        <v>2.92</v>
      </c>
      <c r="DZ12" s="48">
        <v>7.39</v>
      </c>
      <c r="EA12" s="48">
        <v>6.04</v>
      </c>
      <c r="EB12" s="49">
        <v>43.31</v>
      </c>
      <c r="EC12" s="49">
        <v>41.78</v>
      </c>
      <c r="ED12" s="49">
        <v>38.11</v>
      </c>
      <c r="EE12" s="49">
        <v>40.21</v>
      </c>
      <c r="EF12" s="48">
        <v>51.09</v>
      </c>
      <c r="EG12" s="48">
        <v>52.69</v>
      </c>
      <c r="EH12" s="48">
        <v>46.62</v>
      </c>
      <c r="EI12" s="48">
        <v>47.68</v>
      </c>
      <c r="EJ12" s="48">
        <v>4.9000000000000004</v>
      </c>
      <c r="EK12" s="48">
        <v>62.405000000000001</v>
      </c>
      <c r="EL12" s="49">
        <v>1.05</v>
      </c>
      <c r="EM12" s="49">
        <v>0.3</v>
      </c>
      <c r="EN12" s="48">
        <v>1.1299999999999999</v>
      </c>
      <c r="EO12" s="48">
        <v>1.1100000000000001</v>
      </c>
      <c r="EP12" s="48">
        <v>-99.213999999999999</v>
      </c>
      <c r="EQ12" s="48">
        <v>-0.91600000000000004</v>
      </c>
      <c r="ER12" s="48">
        <v>66.933999999999997</v>
      </c>
      <c r="ES12" s="48">
        <v>0.624</v>
      </c>
      <c r="ET12" s="48">
        <v>0.49399999999999999</v>
      </c>
      <c r="EU12" s="48">
        <v>0.48299999999999998</v>
      </c>
      <c r="EV12" s="3"/>
      <c r="EW12" s="3"/>
      <c r="EX12" s="48">
        <v>37.58</v>
      </c>
      <c r="EY12" s="48">
        <v>0</v>
      </c>
      <c r="EZ12" s="48">
        <v>0</v>
      </c>
      <c r="FA12" s="49">
        <v>0</v>
      </c>
      <c r="FB12" s="49">
        <v>9.39</v>
      </c>
      <c r="FC12" s="48">
        <v>65.674000000000007</v>
      </c>
      <c r="FD12" s="48">
        <v>61.746000000000002</v>
      </c>
      <c r="FE12" s="48">
        <v>80.501000000000005</v>
      </c>
      <c r="FF12" s="48">
        <v>76.212000000000003</v>
      </c>
      <c r="FG12" s="48">
        <v>0.93600000000000005</v>
      </c>
      <c r="FH12" s="48">
        <v>0.92200000000000004</v>
      </c>
      <c r="FI12" s="49">
        <v>1.0169999999999999</v>
      </c>
      <c r="FJ12" s="49">
        <v>1.014</v>
      </c>
      <c r="FK12" s="48">
        <v>0</v>
      </c>
      <c r="FL12" s="48">
        <v>82</v>
      </c>
      <c r="FM12" s="49">
        <v>2.5499999999999998</v>
      </c>
      <c r="FN12" s="48">
        <v>0.64</v>
      </c>
      <c r="FO12" s="49">
        <v>0.86</v>
      </c>
      <c r="FP12" s="48">
        <v>4.1500000000000004</v>
      </c>
      <c r="FQ12" s="49">
        <v>4.45</v>
      </c>
      <c r="FR12" s="48">
        <v>5.25</v>
      </c>
      <c r="FS12" s="48">
        <v>6.5185000000000004</v>
      </c>
      <c r="FT12" s="48">
        <v>1037.7</v>
      </c>
      <c r="FU12" s="48">
        <v>6.35</v>
      </c>
      <c r="FV12" s="49">
        <v>33.64</v>
      </c>
      <c r="FW12" s="48">
        <v>2987</v>
      </c>
      <c r="FX12" s="48">
        <v>171400</v>
      </c>
      <c r="FY12" s="48">
        <v>172700</v>
      </c>
      <c r="FZ12" s="49">
        <v>52.524000000000001</v>
      </c>
      <c r="GA12" s="49">
        <v>51.033999999999999</v>
      </c>
      <c r="GB12" s="48">
        <v>2097</v>
      </c>
      <c r="GC12" s="48">
        <v>2089.3000000000002</v>
      </c>
      <c r="GD12" s="48">
        <v>2163</v>
      </c>
      <c r="GE12" s="48">
        <v>2310.1999999999998</v>
      </c>
      <c r="GF12" s="48">
        <v>966.76559999999995</v>
      </c>
      <c r="GG12" s="49">
        <v>38</v>
      </c>
      <c r="GH12" s="49">
        <v>38.5</v>
      </c>
      <c r="GI12" s="48">
        <v>46.3</v>
      </c>
      <c r="GJ12" s="48">
        <v>52.7</v>
      </c>
      <c r="GK12" s="48">
        <v>99.5</v>
      </c>
      <c r="GL12" s="48">
        <v>106</v>
      </c>
      <c r="GM12" s="49">
        <v>0</v>
      </c>
      <c r="GN12" s="48">
        <v>23.536000000000001</v>
      </c>
      <c r="GO12" s="48">
        <v>99.213999999999999</v>
      </c>
      <c r="GP12" s="49">
        <v>0</v>
      </c>
      <c r="GQ12" s="49">
        <v>4.6020000000000003</v>
      </c>
      <c r="GR12" s="49">
        <v>0</v>
      </c>
      <c r="GS12" s="49">
        <v>5.1920000000000002</v>
      </c>
      <c r="GT12" s="49">
        <v>0</v>
      </c>
      <c r="GU12" s="49">
        <v>5.3689999999999998</v>
      </c>
      <c r="GV12" s="49">
        <v>0</v>
      </c>
      <c r="GW12" s="48">
        <v>13.959</v>
      </c>
      <c r="GX12" s="49">
        <v>24.99</v>
      </c>
      <c r="GY12" s="49">
        <v>0</v>
      </c>
      <c r="GZ12" s="49">
        <v>0</v>
      </c>
      <c r="HA12" s="49">
        <v>0</v>
      </c>
      <c r="HB12" s="48">
        <v>0</v>
      </c>
      <c r="HC12" s="48">
        <v>35.252000000000002</v>
      </c>
      <c r="HD12" s="49">
        <v>90</v>
      </c>
      <c r="HE12" s="49">
        <v>0</v>
      </c>
      <c r="HF12" s="49">
        <v>0</v>
      </c>
      <c r="HG12" s="48">
        <v>69.58</v>
      </c>
      <c r="HH12" s="48">
        <v>78.34</v>
      </c>
      <c r="HI12" s="49">
        <v>0</v>
      </c>
      <c r="HJ12" s="49">
        <v>0</v>
      </c>
      <c r="HK12" s="49">
        <v>0</v>
      </c>
      <c r="HL12" s="49">
        <v>53</v>
      </c>
      <c r="HM12" s="48">
        <v>39</v>
      </c>
      <c r="HN12" s="48">
        <v>58</v>
      </c>
      <c r="HO12" s="48">
        <v>52</v>
      </c>
      <c r="HP12" s="48">
        <v>57</v>
      </c>
      <c r="HQ12" s="48">
        <v>54</v>
      </c>
      <c r="HR12" s="48">
        <v>51</v>
      </c>
      <c r="HS12" s="48">
        <v>64</v>
      </c>
      <c r="HT12" s="48">
        <v>-0.18099999999999999</v>
      </c>
      <c r="HU12" s="49">
        <v>0</v>
      </c>
      <c r="HV12" s="48">
        <v>0.83799999999999997</v>
      </c>
      <c r="HW12" s="48">
        <v>42.64</v>
      </c>
      <c r="HX12" s="48">
        <v>36.33</v>
      </c>
      <c r="HY12" s="3"/>
      <c r="HZ12" s="3"/>
      <c r="IA12" s="48">
        <v>3.0720000000000001</v>
      </c>
      <c r="IB12" s="48">
        <v>97</v>
      </c>
      <c r="IC12" s="48">
        <v>17.762</v>
      </c>
      <c r="ID12" s="49">
        <v>-1.4999999999999999E-2</v>
      </c>
      <c r="IE12" s="49">
        <v>-7.0000000000000001E-3</v>
      </c>
      <c r="IF12" s="49">
        <v>857.7</v>
      </c>
      <c r="IG12" s="48">
        <v>735.6</v>
      </c>
      <c r="IH12" s="49">
        <v>900</v>
      </c>
      <c r="II12" s="48">
        <v>765.7</v>
      </c>
      <c r="IJ12" s="49">
        <v>-1.7999999999999999E-2</v>
      </c>
      <c r="IK12" s="49">
        <v>-1.2999999999999999E-2</v>
      </c>
      <c r="IL12" s="48">
        <v>95.936000000000007</v>
      </c>
      <c r="IM12" s="48">
        <v>95.936000000000007</v>
      </c>
      <c r="IN12" s="49">
        <v>30.193000000000001</v>
      </c>
      <c r="IO12" s="48">
        <v>7.6999999999999999E-2</v>
      </c>
      <c r="IP12" s="48">
        <v>13.03</v>
      </c>
      <c r="IQ12" s="49">
        <v>0</v>
      </c>
      <c r="IR12" s="48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A1140-856E-4978-B496-FAAC9283AD5D}">
  <sheetPr codeName="Sheet16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409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424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2.5140972222222224E-2</v>
      </c>
      <c r="E7" s="49">
        <v>2172.1750000000002</v>
      </c>
      <c r="F7" s="48">
        <v>326.25</v>
      </c>
      <c r="G7" s="48">
        <v>5.61</v>
      </c>
      <c r="H7" s="49">
        <v>26</v>
      </c>
      <c r="I7" s="49">
        <v>0</v>
      </c>
      <c r="J7" s="49">
        <v>1945.6</v>
      </c>
      <c r="K7" s="49">
        <v>6</v>
      </c>
      <c r="L7" s="49">
        <v>4</v>
      </c>
      <c r="M7" s="49">
        <v>4</v>
      </c>
      <c r="N7" s="49">
        <v>3</v>
      </c>
      <c r="O7" s="49">
        <v>3</v>
      </c>
      <c r="P7" s="49">
        <v>1.0489999999999999</v>
      </c>
      <c r="Q7" s="48">
        <v>1.4079999999999999</v>
      </c>
      <c r="R7" s="49">
        <v>1.248</v>
      </c>
      <c r="S7" s="49">
        <v>0.89400000000000002</v>
      </c>
      <c r="T7" s="48">
        <v>57.56</v>
      </c>
      <c r="U7" s="48">
        <v>60.427</v>
      </c>
      <c r="V7" s="49">
        <v>70</v>
      </c>
      <c r="W7" s="49">
        <v>40</v>
      </c>
      <c r="X7" s="49">
        <v>40</v>
      </c>
      <c r="Y7" s="49">
        <v>30</v>
      </c>
      <c r="Z7" s="48">
        <v>169.62</v>
      </c>
      <c r="AA7" s="48">
        <v>158.6</v>
      </c>
      <c r="AB7" s="48">
        <v>133.38</v>
      </c>
      <c r="AC7" s="48">
        <v>132.74</v>
      </c>
      <c r="AD7" s="48">
        <v>1.653</v>
      </c>
      <c r="AE7" s="48">
        <v>1.73</v>
      </c>
      <c r="AF7" s="48">
        <v>1.5309999999999999</v>
      </c>
      <c r="AG7" s="48">
        <v>1.5669999999999999</v>
      </c>
      <c r="AH7" s="48">
        <v>51.65</v>
      </c>
      <c r="AI7" s="48">
        <v>14.34</v>
      </c>
      <c r="AJ7" s="48">
        <v>58.13</v>
      </c>
      <c r="AK7" s="48">
        <v>17.27</v>
      </c>
      <c r="AL7" s="48">
        <v>572.22699999999998</v>
      </c>
      <c r="AM7" s="48">
        <v>585</v>
      </c>
      <c r="AN7" s="48">
        <v>648.42499999999995</v>
      </c>
      <c r="AO7" s="48">
        <v>666.34400000000005</v>
      </c>
      <c r="AP7" s="49">
        <v>2.5640000000000001</v>
      </c>
      <c r="AQ7" s="49">
        <v>1.889</v>
      </c>
      <c r="AR7" s="49">
        <v>43.411000000000001</v>
      </c>
      <c r="AS7" s="48">
        <v>39.000999999999998</v>
      </c>
      <c r="AT7" s="49">
        <v>82</v>
      </c>
      <c r="AU7" s="48">
        <v>90</v>
      </c>
      <c r="AV7" s="48">
        <v>2.8965000000000001</v>
      </c>
      <c r="AW7" s="48">
        <v>5.1055999999999999</v>
      </c>
      <c r="AX7" s="49">
        <v>1008.6</v>
      </c>
      <c r="AY7" s="48">
        <v>1.1399999999999999</v>
      </c>
      <c r="AZ7" s="49">
        <v>1.55</v>
      </c>
      <c r="BA7" s="49">
        <v>5.7</v>
      </c>
      <c r="BB7" s="49">
        <v>6.1020000000000003</v>
      </c>
      <c r="BC7" s="48">
        <v>7674</v>
      </c>
      <c r="BD7" s="49">
        <v>89.5</v>
      </c>
      <c r="BE7" s="48">
        <v>23.515000000000001</v>
      </c>
      <c r="BF7" s="48">
        <v>12.82</v>
      </c>
      <c r="BG7" s="48">
        <v>27.31</v>
      </c>
      <c r="BH7" s="48">
        <v>26.55</v>
      </c>
      <c r="BI7" s="48">
        <v>67.62</v>
      </c>
      <c r="BJ7" s="48">
        <v>81.738</v>
      </c>
      <c r="BK7" s="48">
        <v>66.126999999999995</v>
      </c>
      <c r="BL7" s="48">
        <v>79.611999999999995</v>
      </c>
      <c r="BM7" s="48">
        <v>79.349999999999994</v>
      </c>
      <c r="BN7" s="48">
        <v>74.680000000000007</v>
      </c>
      <c r="BO7" s="48">
        <v>73.751999999999995</v>
      </c>
      <c r="BP7" s="48">
        <v>93.48</v>
      </c>
      <c r="BQ7" s="48">
        <v>96.376000000000005</v>
      </c>
      <c r="BR7" s="48">
        <v>57.213000000000001</v>
      </c>
      <c r="BS7" s="49">
        <v>24.8</v>
      </c>
      <c r="BT7" s="48">
        <v>6756.9189999999999</v>
      </c>
      <c r="BU7" s="49">
        <v>89.474000000000004</v>
      </c>
      <c r="BV7" s="49">
        <v>66.638999999999996</v>
      </c>
      <c r="BW7" s="49">
        <v>70.212000000000003</v>
      </c>
      <c r="BX7" s="48">
        <v>62.781999999999996</v>
      </c>
      <c r="BY7" s="48">
        <v>1.42</v>
      </c>
      <c r="BZ7" s="48">
        <v>2.177</v>
      </c>
      <c r="CA7" s="48">
        <v>3.1960000000000002</v>
      </c>
      <c r="CB7" s="48">
        <v>3.34</v>
      </c>
      <c r="CC7" s="48">
        <v>5.79</v>
      </c>
      <c r="CD7" s="48">
        <v>2.3530000000000002</v>
      </c>
      <c r="CE7" s="49">
        <v>3.8359999999999999</v>
      </c>
      <c r="CF7" s="49">
        <v>2.1880000000000002</v>
      </c>
      <c r="CG7" s="48">
        <v>12.930999999999999</v>
      </c>
      <c r="CH7" s="49">
        <v>9.6829999999999998</v>
      </c>
      <c r="CI7" s="49">
        <v>11.038</v>
      </c>
      <c r="CJ7" s="49">
        <v>6.8</v>
      </c>
      <c r="CK7" s="48">
        <v>1.6439999999999999</v>
      </c>
      <c r="CL7" s="48">
        <v>0</v>
      </c>
      <c r="CM7" s="48">
        <v>0.3</v>
      </c>
      <c r="CN7" s="49">
        <v>0</v>
      </c>
      <c r="CO7" s="49">
        <v>0</v>
      </c>
      <c r="CP7" s="48">
        <v>36.610999999999997</v>
      </c>
      <c r="CQ7" s="48">
        <v>37.530999999999999</v>
      </c>
      <c r="CR7" s="48">
        <v>50.116999999999997</v>
      </c>
      <c r="CS7" s="48">
        <v>48.935000000000002</v>
      </c>
      <c r="CT7" s="48">
        <v>0.247</v>
      </c>
      <c r="CU7" s="49">
        <v>1.4950000000000001</v>
      </c>
      <c r="CV7" s="49">
        <v>0.998</v>
      </c>
      <c r="CW7" s="48">
        <v>0.69899999999999995</v>
      </c>
      <c r="CX7" s="49">
        <v>1.9990000000000001</v>
      </c>
      <c r="CY7" s="48">
        <v>0.8</v>
      </c>
      <c r="CZ7" s="49">
        <v>1.1020000000000001</v>
      </c>
      <c r="DA7" s="49">
        <v>1.5960000000000001</v>
      </c>
      <c r="DB7" s="48">
        <v>1.1970000000000001</v>
      </c>
      <c r="DC7" s="49">
        <v>0</v>
      </c>
      <c r="DD7" s="49">
        <v>0</v>
      </c>
      <c r="DE7" s="48">
        <v>0.19400000000000001</v>
      </c>
      <c r="DF7" s="48">
        <v>0.155</v>
      </c>
      <c r="DG7" s="48">
        <v>0.54800000000000004</v>
      </c>
      <c r="DH7" s="48">
        <v>2.14</v>
      </c>
      <c r="DI7" s="48">
        <v>1.458</v>
      </c>
      <c r="DJ7" s="48">
        <v>0.23899999999999999</v>
      </c>
      <c r="DK7" s="48">
        <v>1.089</v>
      </c>
      <c r="DL7" s="48">
        <v>0.60899999999999999</v>
      </c>
      <c r="DM7" s="49">
        <v>0.78200000000000003</v>
      </c>
      <c r="DN7" s="48">
        <v>0.77700000000000002</v>
      </c>
      <c r="DO7" s="49">
        <v>0.73799999999999999</v>
      </c>
      <c r="DP7" s="48">
        <v>67.472999999999999</v>
      </c>
      <c r="DQ7" s="49">
        <v>63.645000000000003</v>
      </c>
      <c r="DR7" s="49">
        <v>55.938000000000002</v>
      </c>
      <c r="DS7" s="48">
        <v>52.908000000000001</v>
      </c>
      <c r="DT7" s="48">
        <v>0.48</v>
      </c>
      <c r="DU7" s="48">
        <v>0.57999999999999996</v>
      </c>
      <c r="DV7" s="48">
        <v>1.46</v>
      </c>
      <c r="DW7" s="48">
        <v>1.18</v>
      </c>
      <c r="DX7" s="48">
        <v>0.56999999999999995</v>
      </c>
      <c r="DY7" s="48">
        <v>0.56999999999999995</v>
      </c>
      <c r="DZ7" s="48">
        <v>1.37</v>
      </c>
      <c r="EA7" s="48">
        <v>1.1399999999999999</v>
      </c>
      <c r="EB7" s="48">
        <v>5.41</v>
      </c>
      <c r="EC7" s="48">
        <v>4.91</v>
      </c>
      <c r="ED7" s="48">
        <v>4.16</v>
      </c>
      <c r="EE7" s="48">
        <v>4.3</v>
      </c>
      <c r="EF7" s="49">
        <v>93.54</v>
      </c>
      <c r="EG7" s="49">
        <v>93.94</v>
      </c>
      <c r="EH7" s="49">
        <v>93.01</v>
      </c>
      <c r="EI7" s="49">
        <v>93.38</v>
      </c>
      <c r="EJ7" s="49">
        <v>6.55</v>
      </c>
      <c r="EK7" s="48">
        <v>45.356000000000002</v>
      </c>
      <c r="EL7" s="48">
        <v>0.85</v>
      </c>
      <c r="EM7" s="49">
        <v>0.35</v>
      </c>
      <c r="EN7" s="48">
        <v>1.1100000000000001</v>
      </c>
      <c r="EO7" s="48">
        <v>1.1000000000000001</v>
      </c>
      <c r="EP7" s="48">
        <v>-85.197999999999993</v>
      </c>
      <c r="EQ7" s="49">
        <v>-0.53400000000000003</v>
      </c>
      <c r="ER7" s="48">
        <v>82.41</v>
      </c>
      <c r="ES7" s="48">
        <v>0.77400000000000002</v>
      </c>
      <c r="ET7" s="48">
        <v>0.85299999999999998</v>
      </c>
      <c r="EU7" s="48">
        <v>0.75800000000000001</v>
      </c>
      <c r="EV7" s="48">
        <v>7.3140000000000001</v>
      </c>
      <c r="EW7" s="48">
        <v>3.738</v>
      </c>
      <c r="EX7" s="48">
        <v>-344.16</v>
      </c>
      <c r="EY7" s="49">
        <v>2.4609999999999999</v>
      </c>
      <c r="EZ7" s="49">
        <v>0</v>
      </c>
      <c r="FA7" s="49">
        <v>0</v>
      </c>
      <c r="FB7" s="48">
        <v>3.9319999999999999</v>
      </c>
      <c r="FC7" s="48">
        <v>58.780999999999999</v>
      </c>
      <c r="FD7" s="48">
        <v>37.957999999999998</v>
      </c>
      <c r="FE7" s="48">
        <v>61.143999999999998</v>
      </c>
      <c r="FF7" s="48">
        <v>37.308999999999997</v>
      </c>
      <c r="FG7" s="48">
        <v>0.98799999999999999</v>
      </c>
      <c r="FH7" s="48">
        <v>0.98799999999999999</v>
      </c>
      <c r="FI7" s="49">
        <v>1.0009999999999999</v>
      </c>
      <c r="FJ7" s="49">
        <v>0.999</v>
      </c>
      <c r="FK7" s="49">
        <v>0.79900000000000004</v>
      </c>
      <c r="FL7" s="48">
        <v>82</v>
      </c>
      <c r="FM7" s="48">
        <v>2.61</v>
      </c>
      <c r="FN7" s="49">
        <v>0.51</v>
      </c>
      <c r="FO7" s="49">
        <v>1.55</v>
      </c>
      <c r="FP7" s="49">
        <v>2.2999999999999998</v>
      </c>
      <c r="FQ7" s="48">
        <v>4.75</v>
      </c>
      <c r="FR7" s="48">
        <v>5.3</v>
      </c>
      <c r="FS7" s="48">
        <v>6.7859999999999996</v>
      </c>
      <c r="FT7" s="48">
        <v>1056.9000000000001</v>
      </c>
      <c r="FU7" s="48">
        <v>6.33</v>
      </c>
      <c r="FV7" s="48">
        <v>5.61</v>
      </c>
      <c r="FW7" s="49">
        <v>16383.5</v>
      </c>
      <c r="FX7" s="48">
        <v>166700</v>
      </c>
      <c r="FY7" s="48">
        <v>166900</v>
      </c>
      <c r="FZ7" s="49">
        <v>45.276000000000003</v>
      </c>
      <c r="GA7" s="49">
        <v>43.548999999999999</v>
      </c>
      <c r="GB7" s="48">
        <v>2109.4</v>
      </c>
      <c r="GC7" s="48">
        <v>2107.1999999999998</v>
      </c>
      <c r="GD7" s="49">
        <v>2311</v>
      </c>
      <c r="GE7" s="48">
        <v>2134.5</v>
      </c>
      <c r="GF7" s="49">
        <v>1444.5313000000001</v>
      </c>
      <c r="GG7" s="49">
        <v>41</v>
      </c>
      <c r="GH7" s="49">
        <v>41.5</v>
      </c>
      <c r="GI7" s="49">
        <v>73.599999999999994</v>
      </c>
      <c r="GJ7" s="49">
        <v>74.099999999999994</v>
      </c>
      <c r="GK7" s="49">
        <v>53.5</v>
      </c>
      <c r="GL7" s="48">
        <v>112.7</v>
      </c>
      <c r="GM7" s="49">
        <v>0</v>
      </c>
      <c r="GN7" s="48">
        <v>20.61</v>
      </c>
      <c r="GO7" s="48">
        <v>85.197999999999993</v>
      </c>
      <c r="GP7" s="49">
        <v>0</v>
      </c>
      <c r="GQ7" s="48">
        <v>5.1920000000000002</v>
      </c>
      <c r="GR7" s="49">
        <v>0</v>
      </c>
      <c r="GS7" s="48">
        <v>4.8970000000000002</v>
      </c>
      <c r="GT7" s="49">
        <v>0</v>
      </c>
      <c r="GU7" s="48">
        <v>4.3659999999999997</v>
      </c>
      <c r="GV7" s="49">
        <v>0</v>
      </c>
      <c r="GW7" s="48">
        <v>7.085</v>
      </c>
      <c r="GX7" s="49">
        <v>24.99</v>
      </c>
      <c r="GY7" s="49">
        <v>0</v>
      </c>
      <c r="GZ7" s="49">
        <v>0</v>
      </c>
      <c r="HA7" s="49">
        <v>0</v>
      </c>
      <c r="HB7" s="49">
        <v>1</v>
      </c>
      <c r="HC7" s="48">
        <v>31.678000000000001</v>
      </c>
      <c r="HD7" s="48">
        <v>86</v>
      </c>
      <c r="HE7" s="49">
        <v>0</v>
      </c>
      <c r="HF7" s="49">
        <v>0</v>
      </c>
      <c r="HG7" s="49">
        <v>88.02</v>
      </c>
      <c r="HH7" s="49">
        <v>81.52</v>
      </c>
      <c r="HI7" s="49">
        <v>0</v>
      </c>
      <c r="HJ7" s="49">
        <v>0</v>
      </c>
      <c r="HK7" s="49">
        <v>0</v>
      </c>
      <c r="HL7" s="49">
        <v>53</v>
      </c>
      <c r="HM7" s="49">
        <v>50</v>
      </c>
      <c r="HN7" s="48">
        <v>56</v>
      </c>
      <c r="HO7" s="48">
        <v>49</v>
      </c>
      <c r="HP7" s="48">
        <v>52</v>
      </c>
      <c r="HQ7" s="48">
        <v>50</v>
      </c>
      <c r="HR7" s="48">
        <v>47</v>
      </c>
      <c r="HS7" s="49">
        <v>62</v>
      </c>
      <c r="HT7" s="48">
        <v>-0.1225</v>
      </c>
      <c r="HU7" s="49">
        <v>0</v>
      </c>
      <c r="HV7" s="48">
        <v>0.61299999999999999</v>
      </c>
      <c r="HW7" s="49">
        <v>36.25</v>
      </c>
      <c r="HX7" s="48">
        <v>50.08</v>
      </c>
      <c r="HY7" s="3"/>
      <c r="HZ7" s="3"/>
      <c r="IA7" s="48">
        <v>2.6179999999999999</v>
      </c>
      <c r="IB7" s="48">
        <v>78</v>
      </c>
      <c r="IC7" s="48">
        <v>14.589</v>
      </c>
      <c r="ID7" s="49">
        <v>-8.8999999999999996E-2</v>
      </c>
      <c r="IE7" s="49">
        <v>-0.05</v>
      </c>
      <c r="IF7" s="49">
        <v>806.5</v>
      </c>
      <c r="IG7" s="48">
        <v>357.1</v>
      </c>
      <c r="IH7" s="49">
        <v>844.2</v>
      </c>
      <c r="II7" s="48">
        <v>374.1</v>
      </c>
      <c r="IJ7" s="49">
        <v>-7.0000000000000007E-2</v>
      </c>
      <c r="IK7" s="49">
        <v>-6.3E-2</v>
      </c>
      <c r="IL7" s="49">
        <v>2023.8969999999999</v>
      </c>
      <c r="IM7" s="49">
        <v>2023.8969999999999</v>
      </c>
      <c r="IN7" s="48">
        <v>17.010999999999999</v>
      </c>
      <c r="IO7" s="48">
        <v>0.126</v>
      </c>
      <c r="IP7" s="49">
        <v>12.45</v>
      </c>
      <c r="IQ7" s="49">
        <v>1.0999999999999999E-2</v>
      </c>
      <c r="IR7" s="49">
        <v>2.4E-2</v>
      </c>
    </row>
    <row r="8" spans="2:252" x14ac:dyDescent="0.25">
      <c r="B8" s="2" t="s">
        <v>407</v>
      </c>
      <c r="C8" s="58" t="s">
        <v>42</v>
      </c>
      <c r="D8" s="59">
        <v>2.4646990740740744E-3</v>
      </c>
      <c r="E8" s="48">
        <v>212.95</v>
      </c>
      <c r="F8" s="49">
        <v>329.54</v>
      </c>
      <c r="G8" s="49">
        <v>5.94</v>
      </c>
      <c r="H8" s="48">
        <v>23.6</v>
      </c>
      <c r="I8" s="49">
        <v>0</v>
      </c>
      <c r="J8" s="48">
        <v>13.2</v>
      </c>
      <c r="K8" s="49">
        <v>6</v>
      </c>
      <c r="L8" s="49">
        <v>4</v>
      </c>
      <c r="M8" s="49">
        <v>4</v>
      </c>
      <c r="N8" s="49">
        <v>3</v>
      </c>
      <c r="O8" s="49">
        <v>3</v>
      </c>
      <c r="P8" s="48">
        <v>0.98099999999999998</v>
      </c>
      <c r="Q8" s="49">
        <v>1.7529999999999999</v>
      </c>
      <c r="R8" s="48">
        <v>1.0389999999999999</v>
      </c>
      <c r="S8" s="48">
        <v>0.67100000000000004</v>
      </c>
      <c r="T8" s="49">
        <v>71.92</v>
      </c>
      <c r="U8" s="48">
        <v>60.457000000000001</v>
      </c>
      <c r="V8" s="48">
        <v>235</v>
      </c>
      <c r="W8" s="48">
        <v>233.34</v>
      </c>
      <c r="X8" s="48">
        <v>223.34</v>
      </c>
      <c r="Y8" s="48">
        <v>243.34</v>
      </c>
      <c r="Z8" s="49">
        <v>412.91</v>
      </c>
      <c r="AA8" s="49">
        <v>402.83</v>
      </c>
      <c r="AB8" s="49">
        <v>377.4</v>
      </c>
      <c r="AC8" s="49">
        <v>394.87</v>
      </c>
      <c r="AD8" s="48">
        <v>1.8260000000000001</v>
      </c>
      <c r="AE8" s="48">
        <v>1.8720000000000001</v>
      </c>
      <c r="AF8" s="48">
        <v>1.8180000000000001</v>
      </c>
      <c r="AG8" s="48">
        <v>1.847</v>
      </c>
      <c r="AH8" s="48">
        <v>75.39</v>
      </c>
      <c r="AI8" s="48">
        <v>70.42</v>
      </c>
      <c r="AJ8" s="48">
        <v>96.39</v>
      </c>
      <c r="AK8" s="48">
        <v>92.66</v>
      </c>
      <c r="AL8" s="49">
        <v>631.38</v>
      </c>
      <c r="AM8" s="49">
        <v>676.81399999999996</v>
      </c>
      <c r="AN8" s="49">
        <v>746.98299999999995</v>
      </c>
      <c r="AO8" s="49">
        <v>739.76700000000005</v>
      </c>
      <c r="AP8" s="48">
        <v>2.544</v>
      </c>
      <c r="AQ8" s="48">
        <v>1.881</v>
      </c>
      <c r="AR8" s="48">
        <v>41.578000000000003</v>
      </c>
      <c r="AS8" s="48">
        <v>37.036999999999999</v>
      </c>
      <c r="AT8" s="49">
        <v>82</v>
      </c>
      <c r="AU8" s="48">
        <v>100</v>
      </c>
      <c r="AV8" s="48">
        <v>2.8075000000000001</v>
      </c>
      <c r="AW8" s="49">
        <v>5.4217000000000004</v>
      </c>
      <c r="AX8" s="48">
        <v>991.1</v>
      </c>
      <c r="AY8" s="48">
        <v>1.1000000000000001</v>
      </c>
      <c r="AZ8" s="48">
        <v>5.17</v>
      </c>
      <c r="BA8" s="48">
        <v>86.869</v>
      </c>
      <c r="BB8" s="48">
        <v>87.156999999999996</v>
      </c>
      <c r="BC8" s="49">
        <v>7691</v>
      </c>
      <c r="BD8" s="48">
        <v>88.75</v>
      </c>
      <c r="BE8" s="48">
        <v>24.195</v>
      </c>
      <c r="BF8" s="48">
        <v>13.91</v>
      </c>
      <c r="BG8" s="49">
        <v>29.6</v>
      </c>
      <c r="BH8" s="48">
        <v>30.18</v>
      </c>
      <c r="BI8" s="3"/>
      <c r="BJ8" s="3"/>
      <c r="BK8" s="3"/>
      <c r="BL8" s="3"/>
      <c r="BM8" s="3"/>
      <c r="BN8" s="48">
        <v>87.656000000000006</v>
      </c>
      <c r="BO8" s="48">
        <v>87.48</v>
      </c>
      <c r="BP8" s="48">
        <v>119.416</v>
      </c>
      <c r="BQ8" s="48">
        <v>123.432</v>
      </c>
      <c r="BR8" s="3"/>
      <c r="BS8" s="48">
        <v>23.3</v>
      </c>
      <c r="BT8" s="48">
        <v>7386.9189999999999</v>
      </c>
      <c r="BU8" s="48">
        <v>79.38</v>
      </c>
      <c r="BV8" s="48">
        <v>63.000999999999998</v>
      </c>
      <c r="BW8" s="48">
        <v>61.411000000000001</v>
      </c>
      <c r="BX8" s="48">
        <v>65.39</v>
      </c>
      <c r="BY8" s="49">
        <v>1.548</v>
      </c>
      <c r="BZ8" s="49">
        <v>2.6579999999999999</v>
      </c>
      <c r="CA8" s="49">
        <v>3.641</v>
      </c>
      <c r="CB8" s="48">
        <v>3.2810000000000001</v>
      </c>
      <c r="CC8" s="49">
        <v>5.8390000000000004</v>
      </c>
      <c r="CD8" s="49">
        <v>2.492</v>
      </c>
      <c r="CE8" s="48">
        <v>3.7450000000000001</v>
      </c>
      <c r="CF8" s="48">
        <v>2.1360000000000001</v>
      </c>
      <c r="CG8" s="48">
        <v>13.254</v>
      </c>
      <c r="CH8" s="48">
        <v>12.984999999999999</v>
      </c>
      <c r="CI8" s="48">
        <v>5.7889999999999997</v>
      </c>
      <c r="CJ8" s="48">
        <v>4.8849999999999998</v>
      </c>
      <c r="CK8" s="49">
        <v>1.651</v>
      </c>
      <c r="CL8" s="49">
        <v>0.1</v>
      </c>
      <c r="CM8" s="48">
        <v>0.5</v>
      </c>
      <c r="CN8" s="49">
        <v>0</v>
      </c>
      <c r="CO8" s="49">
        <v>0</v>
      </c>
      <c r="CP8" s="48">
        <v>80.051000000000002</v>
      </c>
      <c r="CQ8" s="48">
        <v>80.790999999999997</v>
      </c>
      <c r="CR8" s="48">
        <v>105.57599999999999</v>
      </c>
      <c r="CS8" s="48">
        <v>110.78700000000001</v>
      </c>
      <c r="CT8" s="49">
        <v>0.41399999999999998</v>
      </c>
      <c r="CU8" s="48">
        <v>0.90200000000000002</v>
      </c>
      <c r="CV8" s="48">
        <v>0.89800000000000002</v>
      </c>
      <c r="CW8" s="48">
        <v>0.80100000000000005</v>
      </c>
      <c r="CX8" s="48">
        <v>1.7010000000000001</v>
      </c>
      <c r="CY8" s="49">
        <v>0.9</v>
      </c>
      <c r="CZ8" s="48">
        <v>0.90100000000000002</v>
      </c>
      <c r="DA8" s="48">
        <v>0.90200000000000002</v>
      </c>
      <c r="DB8" s="49">
        <v>1.903</v>
      </c>
      <c r="DC8" s="49">
        <v>0</v>
      </c>
      <c r="DD8" s="49">
        <v>0</v>
      </c>
      <c r="DE8" s="49">
        <v>0.373</v>
      </c>
      <c r="DF8" s="49">
        <v>0.156</v>
      </c>
      <c r="DG8" s="49">
        <v>1.1879999999999999</v>
      </c>
      <c r="DH8" s="49">
        <v>3.0310000000000001</v>
      </c>
      <c r="DI8" s="49">
        <v>1.466</v>
      </c>
      <c r="DJ8" s="49">
        <v>0.28399999999999997</v>
      </c>
      <c r="DK8" s="49">
        <v>1.2190000000000001</v>
      </c>
      <c r="DL8" s="48">
        <v>0.60899999999999999</v>
      </c>
      <c r="DM8" s="48">
        <v>0.76400000000000001</v>
      </c>
      <c r="DN8" s="48">
        <v>0.77300000000000002</v>
      </c>
      <c r="DO8" s="48">
        <v>0.71099999999999997</v>
      </c>
      <c r="DP8" s="48">
        <v>70.319000000000003</v>
      </c>
      <c r="DQ8" s="48">
        <v>62.597000000000001</v>
      </c>
      <c r="DR8" s="48">
        <v>55.57</v>
      </c>
      <c r="DS8" s="48">
        <v>53.18</v>
      </c>
      <c r="DT8" s="49">
        <v>6.33</v>
      </c>
      <c r="DU8" s="49">
        <v>6.82</v>
      </c>
      <c r="DV8" s="49">
        <v>17.39</v>
      </c>
      <c r="DW8" s="49">
        <v>14.16</v>
      </c>
      <c r="DX8" s="49">
        <v>7.1</v>
      </c>
      <c r="DY8" s="49">
        <v>7.29</v>
      </c>
      <c r="DZ8" s="49">
        <v>16.79</v>
      </c>
      <c r="EA8" s="49">
        <v>13.85</v>
      </c>
      <c r="EB8" s="49">
        <v>42.73</v>
      </c>
      <c r="EC8" s="49">
        <v>40.75</v>
      </c>
      <c r="ED8" s="49">
        <v>30.79</v>
      </c>
      <c r="EE8" s="49">
        <v>33.909999999999997</v>
      </c>
      <c r="EF8" s="48">
        <v>43.84</v>
      </c>
      <c r="EG8" s="48">
        <v>45.14</v>
      </c>
      <c r="EH8" s="48">
        <v>35.03</v>
      </c>
      <c r="EI8" s="48">
        <v>38.08</v>
      </c>
      <c r="EJ8" s="48">
        <v>6.0119999999999996</v>
      </c>
      <c r="EK8" s="48">
        <v>63.679000000000002</v>
      </c>
      <c r="EL8" s="48">
        <v>0.9</v>
      </c>
      <c r="EM8" s="48">
        <v>0.55000000000000004</v>
      </c>
      <c r="EN8" s="48">
        <v>1.19</v>
      </c>
      <c r="EO8" s="48">
        <v>1.18</v>
      </c>
      <c r="EP8" s="48">
        <v>-106.514</v>
      </c>
      <c r="EQ8" s="48">
        <v>-2.806</v>
      </c>
      <c r="ER8" s="48">
        <v>104.018</v>
      </c>
      <c r="ES8" s="49">
        <v>1.276</v>
      </c>
      <c r="ET8" s="49">
        <v>1.4410000000000001</v>
      </c>
      <c r="EU8" s="49">
        <v>1.27</v>
      </c>
      <c r="EV8" s="49">
        <v>7.5209999999999999</v>
      </c>
      <c r="EW8" s="49">
        <v>4.0970000000000004</v>
      </c>
      <c r="EX8" s="49">
        <v>74.42</v>
      </c>
      <c r="EY8" s="48">
        <v>0.02</v>
      </c>
      <c r="EZ8" s="49">
        <v>0</v>
      </c>
      <c r="FA8" s="49">
        <v>0</v>
      </c>
      <c r="FB8" s="48">
        <v>8.44</v>
      </c>
      <c r="FC8" s="48">
        <v>65.55</v>
      </c>
      <c r="FD8" s="48">
        <v>63.597000000000001</v>
      </c>
      <c r="FE8" s="48">
        <v>73.772000000000006</v>
      </c>
      <c r="FF8" s="48">
        <v>71.819000000000003</v>
      </c>
      <c r="FG8" s="48">
        <v>0.90900000000000003</v>
      </c>
      <c r="FH8" s="48">
        <v>0.90800000000000003</v>
      </c>
      <c r="FI8" s="48">
        <v>0.98499999999999999</v>
      </c>
      <c r="FJ8" s="48">
        <v>0.98099999999999998</v>
      </c>
      <c r="FK8" s="48">
        <v>0</v>
      </c>
      <c r="FL8" s="49">
        <v>83</v>
      </c>
      <c r="FM8" s="48">
        <v>2.68</v>
      </c>
      <c r="FN8" s="48">
        <v>1.2</v>
      </c>
      <c r="FO8" s="48">
        <v>5.08</v>
      </c>
      <c r="FP8" s="3"/>
      <c r="FQ8" s="48">
        <v>4.55</v>
      </c>
      <c r="FR8" s="48">
        <v>5.15</v>
      </c>
      <c r="FS8" s="48">
        <v>6.7480000000000002</v>
      </c>
      <c r="FT8" s="48">
        <v>1064.3</v>
      </c>
      <c r="FU8" s="48">
        <v>7.2</v>
      </c>
      <c r="FV8" s="48">
        <v>11.55</v>
      </c>
      <c r="FW8" s="48">
        <v>3036</v>
      </c>
      <c r="FX8" s="48">
        <v>164900</v>
      </c>
      <c r="FY8" s="48">
        <v>163500</v>
      </c>
      <c r="FZ8" s="48">
        <v>44.670999999999999</v>
      </c>
      <c r="GA8" s="48">
        <v>42.817999999999998</v>
      </c>
      <c r="GB8" s="49">
        <v>2305.5</v>
      </c>
      <c r="GC8" s="48">
        <v>2102.9</v>
      </c>
      <c r="GD8" s="48">
        <v>2305.5</v>
      </c>
      <c r="GE8" s="49">
        <v>2147.1</v>
      </c>
      <c r="GF8" s="48">
        <v>1422.7344000000001</v>
      </c>
      <c r="GG8" s="48">
        <v>28</v>
      </c>
      <c r="GH8" s="48">
        <v>27.9</v>
      </c>
      <c r="GI8" s="48">
        <v>48.2</v>
      </c>
      <c r="GJ8" s="48">
        <v>52.2</v>
      </c>
      <c r="GK8" s="48">
        <v>67</v>
      </c>
      <c r="GL8" s="49">
        <v>122.8</v>
      </c>
      <c r="GM8" s="49">
        <v>0</v>
      </c>
      <c r="GN8" s="48">
        <v>22.074000000000002</v>
      </c>
      <c r="GO8" s="48">
        <v>106.514</v>
      </c>
      <c r="GP8" s="48">
        <v>0.35399999999999998</v>
      </c>
      <c r="GQ8" s="48">
        <v>1.7110000000000001</v>
      </c>
      <c r="GR8" s="48">
        <v>0.53100000000000003</v>
      </c>
      <c r="GS8" s="48">
        <v>1.829</v>
      </c>
      <c r="GT8" s="48">
        <v>0.53100000000000003</v>
      </c>
      <c r="GU8" s="48">
        <v>1.7110000000000001</v>
      </c>
      <c r="GV8" s="48">
        <v>11.956</v>
      </c>
      <c r="GW8" s="49">
        <v>13.672000000000001</v>
      </c>
      <c r="GX8" s="48">
        <v>15.875999999999999</v>
      </c>
      <c r="GY8" s="49">
        <v>0</v>
      </c>
      <c r="GZ8" s="49">
        <v>0</v>
      </c>
      <c r="HA8" s="49">
        <v>0</v>
      </c>
      <c r="HB8" s="48">
        <v>0</v>
      </c>
      <c r="HC8" s="49">
        <v>56.475999999999999</v>
      </c>
      <c r="HD8" s="48">
        <v>90</v>
      </c>
      <c r="HE8" s="49">
        <v>0</v>
      </c>
      <c r="HF8" s="49">
        <v>0</v>
      </c>
      <c r="HG8" s="48">
        <v>74.7</v>
      </c>
      <c r="HH8" s="48">
        <v>79.290000000000006</v>
      </c>
      <c r="HI8" s="49">
        <v>0</v>
      </c>
      <c r="HJ8" s="49">
        <v>0</v>
      </c>
      <c r="HK8" s="49">
        <v>0</v>
      </c>
      <c r="HL8" s="48">
        <v>49</v>
      </c>
      <c r="HM8" s="48">
        <v>49</v>
      </c>
      <c r="HN8" s="48">
        <v>57</v>
      </c>
      <c r="HO8" s="48">
        <v>51</v>
      </c>
      <c r="HP8" s="48">
        <v>54</v>
      </c>
      <c r="HQ8" s="48">
        <v>53</v>
      </c>
      <c r="HR8" s="48">
        <v>47</v>
      </c>
      <c r="HS8" s="49">
        <v>62</v>
      </c>
      <c r="HT8" s="48">
        <v>-0.17</v>
      </c>
      <c r="HU8" s="49">
        <v>0</v>
      </c>
      <c r="HV8" s="49">
        <v>1.5069999999999999</v>
      </c>
      <c r="HW8" s="49">
        <v>36.25</v>
      </c>
      <c r="HX8" s="49">
        <v>49.26</v>
      </c>
      <c r="HY8" s="49">
        <v>50.74</v>
      </c>
      <c r="HZ8" s="49">
        <v>50.74</v>
      </c>
      <c r="IA8" s="49">
        <v>2.7679999999999998</v>
      </c>
      <c r="IB8" s="49">
        <v>102</v>
      </c>
      <c r="IC8" s="49">
        <v>20.814</v>
      </c>
      <c r="ID8" s="48">
        <v>-0.29799999999999999</v>
      </c>
      <c r="IE8" s="48">
        <v>-0.13500000000000001</v>
      </c>
      <c r="IF8" s="48">
        <v>788</v>
      </c>
      <c r="IG8" s="49">
        <v>744.5</v>
      </c>
      <c r="IH8" s="48">
        <v>822.3</v>
      </c>
      <c r="II8" s="49">
        <v>772.2</v>
      </c>
      <c r="IJ8" s="48">
        <v>-0.26900000000000002</v>
      </c>
      <c r="IK8" s="48">
        <v>-0.27300000000000002</v>
      </c>
      <c r="IL8" s="48">
        <v>71.126999999999995</v>
      </c>
      <c r="IM8" s="48">
        <v>71.126999999999995</v>
      </c>
      <c r="IN8" s="48">
        <v>27.753</v>
      </c>
      <c r="IO8" s="49">
        <v>0.44900000000000001</v>
      </c>
      <c r="IP8" s="48">
        <v>11.86</v>
      </c>
      <c r="IQ8" s="48">
        <v>6.0000000000000001E-3</v>
      </c>
      <c r="IR8" s="48">
        <v>8.9999999999999993E-3</v>
      </c>
    </row>
    <row r="9" spans="2:252" x14ac:dyDescent="0.25">
      <c r="B9" s="2" t="s">
        <v>407</v>
      </c>
      <c r="C9" s="2" t="s">
        <v>43</v>
      </c>
      <c r="D9" s="57">
        <v>3.264351851851852E-3</v>
      </c>
      <c r="E9" s="48">
        <v>282.04000000000002</v>
      </c>
      <c r="F9" s="48">
        <v>328.24</v>
      </c>
      <c r="G9" s="48">
        <v>-11.55</v>
      </c>
      <c r="H9" s="48">
        <v>24</v>
      </c>
      <c r="I9" s="49">
        <v>0</v>
      </c>
      <c r="J9" s="48">
        <v>56.8</v>
      </c>
      <c r="K9" s="49">
        <v>6</v>
      </c>
      <c r="L9" s="49">
        <v>4</v>
      </c>
      <c r="M9" s="49">
        <v>4</v>
      </c>
      <c r="N9" s="49">
        <v>3</v>
      </c>
      <c r="O9" s="49">
        <v>3</v>
      </c>
      <c r="P9" s="48">
        <v>0.83099999999999996</v>
      </c>
      <c r="Q9" s="48">
        <v>1.6220000000000001</v>
      </c>
      <c r="R9" s="48">
        <v>0.81100000000000005</v>
      </c>
      <c r="S9" s="48">
        <v>0.57799999999999996</v>
      </c>
      <c r="T9" s="48">
        <v>70.180000000000007</v>
      </c>
      <c r="U9" s="49">
        <v>60.463000000000001</v>
      </c>
      <c r="V9" s="48">
        <v>258.33999999999997</v>
      </c>
      <c r="W9" s="48">
        <v>258.33999999999997</v>
      </c>
      <c r="X9" s="48">
        <v>261.66000000000003</v>
      </c>
      <c r="Y9" s="48">
        <v>276.66000000000003</v>
      </c>
      <c r="Z9" s="48">
        <v>408.75</v>
      </c>
      <c r="AA9" s="48">
        <v>402.5</v>
      </c>
      <c r="AB9" s="48">
        <v>369.9</v>
      </c>
      <c r="AC9" s="48">
        <v>379.79</v>
      </c>
      <c r="AD9" s="49">
        <v>1.84</v>
      </c>
      <c r="AE9" s="49">
        <v>1.885</v>
      </c>
      <c r="AF9" s="49">
        <v>1.871</v>
      </c>
      <c r="AG9" s="49">
        <v>1.899</v>
      </c>
      <c r="AH9" s="49">
        <v>76.92</v>
      </c>
      <c r="AI9" s="49">
        <v>71.97</v>
      </c>
      <c r="AJ9" s="49">
        <v>102.3</v>
      </c>
      <c r="AK9" s="49">
        <v>98.51</v>
      </c>
      <c r="AL9" s="48">
        <v>628.15499999999997</v>
      </c>
      <c r="AM9" s="48">
        <v>660.06500000000005</v>
      </c>
      <c r="AN9" s="48">
        <v>728.95</v>
      </c>
      <c r="AO9" s="48">
        <v>727.096</v>
      </c>
      <c r="AP9" s="48">
        <v>2.5379999999999998</v>
      </c>
      <c r="AQ9" s="48">
        <v>1.853</v>
      </c>
      <c r="AR9" s="48">
        <v>42.805</v>
      </c>
      <c r="AS9" s="49">
        <v>39.167999999999999</v>
      </c>
      <c r="AT9" s="49">
        <v>82</v>
      </c>
      <c r="AU9" s="49">
        <v>105</v>
      </c>
      <c r="AV9" s="49">
        <v>2.7705000000000002</v>
      </c>
      <c r="AW9" s="48">
        <v>5.2302999999999997</v>
      </c>
      <c r="AX9" s="48">
        <v>999.3</v>
      </c>
      <c r="AY9" s="49">
        <v>1.19</v>
      </c>
      <c r="AZ9" s="48">
        <v>5.43</v>
      </c>
      <c r="BA9" s="48">
        <v>66.796999999999997</v>
      </c>
      <c r="BB9" s="48">
        <v>66.5</v>
      </c>
      <c r="BC9" s="48">
        <v>7650</v>
      </c>
      <c r="BD9" s="48">
        <v>87.75</v>
      </c>
      <c r="BE9" s="49">
        <v>24.61</v>
      </c>
      <c r="BF9" s="49">
        <v>14.4</v>
      </c>
      <c r="BG9" s="48">
        <v>27.69</v>
      </c>
      <c r="BH9" s="49">
        <v>30.72</v>
      </c>
      <c r="BI9" s="49">
        <v>68.057000000000002</v>
      </c>
      <c r="BJ9" s="49">
        <v>82.64</v>
      </c>
      <c r="BK9" s="49">
        <v>66.515000000000001</v>
      </c>
      <c r="BL9" s="49">
        <v>80.480999999999995</v>
      </c>
      <c r="BM9" s="49">
        <v>80.137</v>
      </c>
      <c r="BN9" s="49">
        <v>112.72799999999999</v>
      </c>
      <c r="BO9" s="49">
        <v>114.08799999999999</v>
      </c>
      <c r="BP9" s="49">
        <v>138.232</v>
      </c>
      <c r="BQ9" s="49">
        <v>138.232</v>
      </c>
      <c r="BR9" s="49">
        <v>59.795000000000002</v>
      </c>
      <c r="BS9" s="48">
        <v>23.4</v>
      </c>
      <c r="BT9" s="49">
        <v>7393.3040000000001</v>
      </c>
      <c r="BU9" s="48">
        <v>82.921000000000006</v>
      </c>
      <c r="BV9" s="48">
        <v>63.981000000000002</v>
      </c>
      <c r="BW9" s="48">
        <v>62.158999999999999</v>
      </c>
      <c r="BX9" s="49">
        <v>65.438999999999993</v>
      </c>
      <c r="BY9" s="48">
        <v>1.494</v>
      </c>
      <c r="BZ9" s="48">
        <v>2.585</v>
      </c>
      <c r="CA9" s="48">
        <v>3.4609999999999999</v>
      </c>
      <c r="CB9" s="49">
        <v>3.5059999999999998</v>
      </c>
      <c r="CC9" s="48">
        <v>5.7130000000000001</v>
      </c>
      <c r="CD9" s="48">
        <v>2.41</v>
      </c>
      <c r="CE9" s="48">
        <v>3.8250000000000002</v>
      </c>
      <c r="CF9" s="48">
        <v>2.101</v>
      </c>
      <c r="CG9" s="49">
        <v>13.305</v>
      </c>
      <c r="CH9" s="48">
        <v>12.891</v>
      </c>
      <c r="CI9" s="3"/>
      <c r="CJ9" s="3"/>
      <c r="CK9" s="3"/>
      <c r="CL9" s="49">
        <v>0.1</v>
      </c>
      <c r="CM9" s="49">
        <v>1</v>
      </c>
      <c r="CN9" s="49">
        <v>0</v>
      </c>
      <c r="CO9" s="49">
        <v>0</v>
      </c>
      <c r="CP9" s="49">
        <v>90.712999999999994</v>
      </c>
      <c r="CQ9" s="49">
        <v>91.259</v>
      </c>
      <c r="CR9" s="49">
        <v>124.676</v>
      </c>
      <c r="CS9" s="49">
        <v>127.163</v>
      </c>
      <c r="CT9" s="48">
        <v>0.41299999999999998</v>
      </c>
      <c r="CU9" s="48">
        <v>1.0980000000000001</v>
      </c>
      <c r="CV9" s="48">
        <v>0.7</v>
      </c>
      <c r="CW9" s="49">
        <v>1.4</v>
      </c>
      <c r="CX9" s="48">
        <v>1.6950000000000001</v>
      </c>
      <c r="CY9" s="48">
        <v>0.79800000000000004</v>
      </c>
      <c r="CZ9" s="48">
        <v>0.998</v>
      </c>
      <c r="DA9" s="48">
        <v>1.1020000000000001</v>
      </c>
      <c r="DB9" s="48">
        <v>0.998</v>
      </c>
      <c r="DC9" s="49">
        <v>0</v>
      </c>
      <c r="DD9" s="49">
        <v>0</v>
      </c>
      <c r="DE9" s="48">
        <v>0.24299999999999999</v>
      </c>
      <c r="DF9" s="48">
        <v>0.127</v>
      </c>
      <c r="DG9" s="48">
        <v>0.61299999999999999</v>
      </c>
      <c r="DH9" s="48">
        <v>2.048</v>
      </c>
      <c r="DI9" s="48">
        <v>1.137</v>
      </c>
      <c r="DJ9" s="48">
        <v>0.21099999999999999</v>
      </c>
      <c r="DK9" s="48">
        <v>1.1990000000000001</v>
      </c>
      <c r="DL9" s="49">
        <v>0.61199999999999999</v>
      </c>
      <c r="DM9" s="48">
        <v>0.77600000000000002</v>
      </c>
      <c r="DN9" s="49">
        <v>0.80400000000000005</v>
      </c>
      <c r="DO9" s="48">
        <v>0.70299999999999996</v>
      </c>
      <c r="DP9" s="49">
        <v>71.040999999999997</v>
      </c>
      <c r="DQ9" s="48">
        <v>63.421999999999997</v>
      </c>
      <c r="DR9" s="48">
        <v>54.445</v>
      </c>
      <c r="DS9" s="49">
        <v>55.478999999999999</v>
      </c>
      <c r="DT9" s="48">
        <v>4.92</v>
      </c>
      <c r="DU9" s="48">
        <v>5.27</v>
      </c>
      <c r="DV9" s="48">
        <v>14.17</v>
      </c>
      <c r="DW9" s="48">
        <v>11.18</v>
      </c>
      <c r="DX9" s="48">
        <v>5.54</v>
      </c>
      <c r="DY9" s="48">
        <v>5.78</v>
      </c>
      <c r="DZ9" s="48">
        <v>13.38</v>
      </c>
      <c r="EA9" s="48">
        <v>11.05</v>
      </c>
      <c r="EB9" s="48">
        <v>37.409999999999997</v>
      </c>
      <c r="EC9" s="48">
        <v>36.409999999999997</v>
      </c>
      <c r="ED9" s="48">
        <v>28.82</v>
      </c>
      <c r="EE9" s="48">
        <v>29.65</v>
      </c>
      <c r="EF9" s="48">
        <v>52.14</v>
      </c>
      <c r="EG9" s="48">
        <v>52.54</v>
      </c>
      <c r="EH9" s="48">
        <v>43.63</v>
      </c>
      <c r="EI9" s="48">
        <v>48.12</v>
      </c>
      <c r="EJ9" s="48">
        <v>6.1959999999999997</v>
      </c>
      <c r="EK9" s="49">
        <v>63.737000000000002</v>
      </c>
      <c r="EL9" s="49">
        <v>0.95</v>
      </c>
      <c r="EM9" s="48">
        <v>0.55000000000000004</v>
      </c>
      <c r="EN9" s="49">
        <v>1.29</v>
      </c>
      <c r="EO9" s="49">
        <v>1.31</v>
      </c>
      <c r="EP9" s="49">
        <v>-107.098</v>
      </c>
      <c r="EQ9" s="48">
        <v>-2.1309999999999998</v>
      </c>
      <c r="ER9" s="49">
        <v>109.858</v>
      </c>
      <c r="ES9" s="48">
        <v>1.2490000000000001</v>
      </c>
      <c r="ET9" s="48">
        <v>1.3759999999999999</v>
      </c>
      <c r="EU9" s="48">
        <v>1.254</v>
      </c>
      <c r="EV9" s="48">
        <v>7.468</v>
      </c>
      <c r="EW9" s="48">
        <v>4.0259999999999998</v>
      </c>
      <c r="EX9" s="48">
        <v>72.38</v>
      </c>
      <c r="EY9" s="48">
        <v>4.1000000000000002E-2</v>
      </c>
      <c r="EZ9" s="49">
        <v>0</v>
      </c>
      <c r="FA9" s="49">
        <v>0</v>
      </c>
      <c r="FB9" s="49">
        <v>8.6280000000000001</v>
      </c>
      <c r="FC9" s="49">
        <v>66.48</v>
      </c>
      <c r="FD9" s="49">
        <v>63.77</v>
      </c>
      <c r="FE9" s="49">
        <v>79.114999999999995</v>
      </c>
      <c r="FF9" s="49">
        <v>76.498000000000005</v>
      </c>
      <c r="FG9" s="49">
        <v>1.127</v>
      </c>
      <c r="FH9" s="49">
        <v>1.1519999999999999</v>
      </c>
      <c r="FI9" s="48">
        <v>0.98899999999999999</v>
      </c>
      <c r="FJ9" s="48">
        <v>0.98699999999999999</v>
      </c>
      <c r="FK9" s="48">
        <v>0</v>
      </c>
      <c r="FL9" s="49">
        <v>83</v>
      </c>
      <c r="FM9" s="49">
        <v>2.74</v>
      </c>
      <c r="FN9" s="48">
        <v>0.84</v>
      </c>
      <c r="FO9" s="48">
        <v>5.38</v>
      </c>
      <c r="FP9" s="48">
        <v>3.95</v>
      </c>
      <c r="FQ9" s="49">
        <v>4.4000000000000004</v>
      </c>
      <c r="FR9" s="49">
        <v>5.0999999999999996</v>
      </c>
      <c r="FS9" s="49">
        <v>6.8414999999999999</v>
      </c>
      <c r="FT9" s="49">
        <v>1064.7</v>
      </c>
      <c r="FU9" s="49">
        <v>7.58</v>
      </c>
      <c r="FV9" s="49">
        <v>17.38</v>
      </c>
      <c r="FW9" s="48">
        <v>3056</v>
      </c>
      <c r="FX9" s="49">
        <v>171400</v>
      </c>
      <c r="FY9" s="49">
        <v>172300</v>
      </c>
      <c r="FZ9" s="48">
        <v>44.784999999999997</v>
      </c>
      <c r="GA9" s="48">
        <v>43.021999999999998</v>
      </c>
      <c r="GB9" s="48">
        <v>2121.9</v>
      </c>
      <c r="GC9" s="49">
        <v>2122.9</v>
      </c>
      <c r="GD9" s="48">
        <v>2173</v>
      </c>
      <c r="GE9" s="48">
        <v>2139.3000000000002</v>
      </c>
      <c r="GF9" s="48">
        <v>1166.5469000000001</v>
      </c>
      <c r="GG9" s="48">
        <v>29</v>
      </c>
      <c r="GH9" s="48">
        <v>29.1</v>
      </c>
      <c r="GI9" s="48">
        <v>45.2</v>
      </c>
      <c r="GJ9" s="48">
        <v>51.1</v>
      </c>
      <c r="GK9" s="48">
        <v>79</v>
      </c>
      <c r="GL9" s="48">
        <v>111.1</v>
      </c>
      <c r="GM9" s="49">
        <v>0</v>
      </c>
      <c r="GN9" s="49">
        <v>22.1</v>
      </c>
      <c r="GO9" s="49">
        <v>109.858</v>
      </c>
      <c r="GP9" s="49">
        <v>0</v>
      </c>
      <c r="GQ9" s="49">
        <v>5.9</v>
      </c>
      <c r="GR9" s="49">
        <v>0</v>
      </c>
      <c r="GS9" s="49">
        <v>5.8410000000000002</v>
      </c>
      <c r="GT9" s="49">
        <v>0</v>
      </c>
      <c r="GU9" s="49">
        <v>5.1920000000000002</v>
      </c>
      <c r="GV9" s="49">
        <v>0</v>
      </c>
      <c r="GW9" s="48">
        <v>11.565</v>
      </c>
      <c r="GX9" s="48">
        <v>16.366</v>
      </c>
      <c r="GY9" s="49">
        <v>0</v>
      </c>
      <c r="GZ9" s="49">
        <v>0</v>
      </c>
      <c r="HA9" s="49">
        <v>0</v>
      </c>
      <c r="HB9" s="48">
        <v>0</v>
      </c>
      <c r="HC9" s="48">
        <v>50.625999999999998</v>
      </c>
      <c r="HD9" s="49">
        <v>98</v>
      </c>
      <c r="HE9" s="49">
        <v>0</v>
      </c>
      <c r="HF9" s="49">
        <v>0</v>
      </c>
      <c r="HG9" s="48">
        <v>87.89</v>
      </c>
      <c r="HH9" s="48">
        <v>80.599999999999994</v>
      </c>
      <c r="HI9" s="49">
        <v>0</v>
      </c>
      <c r="HJ9" s="49">
        <v>0</v>
      </c>
      <c r="HK9" s="49">
        <v>0</v>
      </c>
      <c r="HL9" s="48">
        <v>50</v>
      </c>
      <c r="HM9" s="48">
        <v>49</v>
      </c>
      <c r="HN9" s="49">
        <v>59</v>
      </c>
      <c r="HO9" s="49">
        <v>53</v>
      </c>
      <c r="HP9" s="49">
        <v>56</v>
      </c>
      <c r="HQ9" s="49">
        <v>54</v>
      </c>
      <c r="HR9" s="49">
        <v>49</v>
      </c>
      <c r="HS9" s="49">
        <v>62</v>
      </c>
      <c r="HT9" s="49">
        <v>-0.17549999999999999</v>
      </c>
      <c r="HU9" s="49">
        <v>0</v>
      </c>
      <c r="HV9" s="48">
        <v>1.1579999999999999</v>
      </c>
      <c r="HW9" s="48">
        <v>36.79</v>
      </c>
      <c r="HX9" s="49">
        <v>49.26</v>
      </c>
      <c r="HY9" s="3"/>
      <c r="HZ9" s="3"/>
      <c r="IA9" s="48">
        <v>2.746</v>
      </c>
      <c r="IB9" s="48">
        <v>101</v>
      </c>
      <c r="IC9" s="48">
        <v>20.483000000000001</v>
      </c>
      <c r="ID9" s="48">
        <v>-0.191</v>
      </c>
      <c r="IE9" s="48">
        <v>-7.9000000000000001E-2</v>
      </c>
      <c r="IF9" s="48">
        <v>786.6</v>
      </c>
      <c r="IG9" s="48">
        <v>698.9</v>
      </c>
      <c r="IH9" s="48">
        <v>822</v>
      </c>
      <c r="II9" s="48">
        <v>729.3</v>
      </c>
      <c r="IJ9" s="48">
        <v>-0.22900000000000001</v>
      </c>
      <c r="IK9" s="48">
        <v>-0.19600000000000001</v>
      </c>
      <c r="IL9" s="48">
        <v>122.48699999999999</v>
      </c>
      <c r="IM9" s="48">
        <v>122.48699999999999</v>
      </c>
      <c r="IN9" s="49">
        <v>30.47</v>
      </c>
      <c r="IO9" s="48">
        <v>0.26900000000000002</v>
      </c>
      <c r="IP9" s="48">
        <v>12.32</v>
      </c>
      <c r="IQ9" s="48">
        <v>0</v>
      </c>
      <c r="IR9" s="48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85948-637D-42E4-B70D-2F7335D6CB01}">
  <sheetPr codeName="Sheet17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409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425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3.2262731481481478E-3</v>
      </c>
      <c r="E7" s="49">
        <v>278.75200000000001</v>
      </c>
      <c r="F7" s="48">
        <v>326.52</v>
      </c>
      <c r="G7" s="48">
        <v>5.6</v>
      </c>
      <c r="H7" s="49">
        <v>24.6</v>
      </c>
      <c r="I7" s="49">
        <v>0</v>
      </c>
      <c r="J7" s="49">
        <v>42.7</v>
      </c>
      <c r="K7" s="49">
        <v>6</v>
      </c>
      <c r="L7" s="49">
        <v>4</v>
      </c>
      <c r="M7" s="49">
        <v>4</v>
      </c>
      <c r="N7" s="49">
        <v>3</v>
      </c>
      <c r="O7" s="49">
        <v>3</v>
      </c>
      <c r="P7" s="49">
        <v>1.3080000000000001</v>
      </c>
      <c r="Q7" s="49">
        <v>1.7729999999999999</v>
      </c>
      <c r="R7" s="49">
        <v>1.5289999999999999</v>
      </c>
      <c r="S7" s="49">
        <v>1.2370000000000001</v>
      </c>
      <c r="T7" s="48">
        <v>62.68</v>
      </c>
      <c r="U7" s="48">
        <v>60.530999999999999</v>
      </c>
      <c r="V7" s="49">
        <v>160</v>
      </c>
      <c r="W7" s="49">
        <v>162.5</v>
      </c>
      <c r="X7" s="49">
        <v>170</v>
      </c>
      <c r="Y7" s="49">
        <v>175</v>
      </c>
      <c r="Z7" s="48">
        <v>345.7</v>
      </c>
      <c r="AA7" s="48">
        <v>344.07</v>
      </c>
      <c r="AB7" s="48">
        <v>313.14999999999998</v>
      </c>
      <c r="AC7" s="48">
        <v>322.01</v>
      </c>
      <c r="AD7" s="49">
        <v>1.895</v>
      </c>
      <c r="AE7" s="49">
        <v>1.9710000000000001</v>
      </c>
      <c r="AF7" s="48">
        <v>1.7909999999999999</v>
      </c>
      <c r="AG7" s="48">
        <v>1.798</v>
      </c>
      <c r="AH7" s="48">
        <v>72.64</v>
      </c>
      <c r="AI7" s="48">
        <v>68.44</v>
      </c>
      <c r="AJ7" s="48">
        <v>81.5</v>
      </c>
      <c r="AK7" s="48">
        <v>79.010000000000005</v>
      </c>
      <c r="AL7" s="48">
        <v>581.45100000000002</v>
      </c>
      <c r="AM7" s="48">
        <v>586.14200000000005</v>
      </c>
      <c r="AN7" s="48">
        <v>670.85799999999995</v>
      </c>
      <c r="AO7" s="48">
        <v>720.11400000000003</v>
      </c>
      <c r="AP7" s="49">
        <v>2.56</v>
      </c>
      <c r="AQ7" s="48">
        <v>1.849</v>
      </c>
      <c r="AR7" s="49">
        <v>41.502000000000002</v>
      </c>
      <c r="AS7" s="48">
        <v>38.113999999999997</v>
      </c>
      <c r="AT7" s="49">
        <v>84</v>
      </c>
      <c r="AU7" s="48">
        <v>104</v>
      </c>
      <c r="AV7" s="48">
        <v>2.9279999999999999</v>
      </c>
      <c r="AW7" s="48">
        <v>5.3266</v>
      </c>
      <c r="AX7" s="49">
        <v>996.1</v>
      </c>
      <c r="AY7" s="48">
        <v>1.23</v>
      </c>
      <c r="AZ7" s="48">
        <v>5.47</v>
      </c>
      <c r="BA7" s="48">
        <v>65.992999999999995</v>
      </c>
      <c r="BB7" s="49">
        <v>65.602000000000004</v>
      </c>
      <c r="BC7" s="49">
        <v>7681</v>
      </c>
      <c r="BD7" s="49">
        <v>89.5</v>
      </c>
      <c r="BE7" s="48">
        <v>23.524999999999999</v>
      </c>
      <c r="BF7" s="48">
        <v>13.38</v>
      </c>
      <c r="BG7" s="49">
        <v>28.5</v>
      </c>
      <c r="BH7" s="49">
        <v>29.82</v>
      </c>
      <c r="BI7" s="49">
        <v>67.688000000000002</v>
      </c>
      <c r="BJ7" s="48">
        <v>82.07</v>
      </c>
      <c r="BK7" s="49">
        <v>66.168000000000006</v>
      </c>
      <c r="BL7" s="48">
        <v>79.879000000000005</v>
      </c>
      <c r="BM7" s="48">
        <v>79.662000000000006</v>
      </c>
      <c r="BN7" s="49">
        <v>124.47199999999999</v>
      </c>
      <c r="BO7" s="49">
        <v>126.98399999999999</v>
      </c>
      <c r="BP7" s="49">
        <v>139.96</v>
      </c>
      <c r="BQ7" s="48">
        <v>140.232</v>
      </c>
      <c r="BR7" s="48">
        <v>58.244</v>
      </c>
      <c r="BS7" s="49">
        <v>23.9</v>
      </c>
      <c r="BT7" s="48">
        <v>7263.7809999999999</v>
      </c>
      <c r="BU7" s="49">
        <v>82.287999999999997</v>
      </c>
      <c r="BV7" s="49">
        <v>64.403999999999996</v>
      </c>
      <c r="BW7" s="49">
        <v>68.37</v>
      </c>
      <c r="BX7" s="48">
        <v>60.819000000000003</v>
      </c>
      <c r="BY7" s="49">
        <v>1.498</v>
      </c>
      <c r="BZ7" s="48">
        <v>2.4300000000000002</v>
      </c>
      <c r="CA7" s="48">
        <v>3.323</v>
      </c>
      <c r="CB7" s="48">
        <v>3.2509999999999999</v>
      </c>
      <c r="CC7" s="48">
        <v>5.6870000000000003</v>
      </c>
      <c r="CD7" s="48">
        <v>2.38</v>
      </c>
      <c r="CE7" s="48">
        <v>3.7890000000000001</v>
      </c>
      <c r="CF7" s="49">
        <v>2.1269999999999998</v>
      </c>
      <c r="CG7" s="48">
        <v>13.475</v>
      </c>
      <c r="CH7" s="49">
        <v>10.042</v>
      </c>
      <c r="CI7" s="49">
        <v>5.0179999999999998</v>
      </c>
      <c r="CJ7" s="48">
        <v>3.3919999999999999</v>
      </c>
      <c r="CK7" s="48">
        <v>1.52</v>
      </c>
      <c r="CL7" s="48">
        <v>0.1</v>
      </c>
      <c r="CM7" s="48">
        <v>0.3</v>
      </c>
      <c r="CN7" s="49">
        <v>0</v>
      </c>
      <c r="CO7" s="49">
        <v>0</v>
      </c>
      <c r="CP7" s="49">
        <v>97.087999999999994</v>
      </c>
      <c r="CQ7" s="49">
        <v>98.403000000000006</v>
      </c>
      <c r="CR7" s="49">
        <v>123.625</v>
      </c>
      <c r="CS7" s="48">
        <v>124.773</v>
      </c>
      <c r="CT7" s="49">
        <v>0.38200000000000001</v>
      </c>
      <c r="CU7" s="48">
        <v>0.89900000000000002</v>
      </c>
      <c r="CV7" s="48">
        <v>1</v>
      </c>
      <c r="CW7" s="49">
        <v>1.8979999999999999</v>
      </c>
      <c r="CX7" s="48">
        <v>1.496</v>
      </c>
      <c r="CY7" s="48">
        <v>0.70099999999999996</v>
      </c>
      <c r="CZ7" s="49">
        <v>1.4</v>
      </c>
      <c r="DA7" s="48">
        <v>0.89700000000000002</v>
      </c>
      <c r="DB7" s="48">
        <v>1.099</v>
      </c>
      <c r="DC7" s="49">
        <v>0</v>
      </c>
      <c r="DD7" s="49">
        <v>0</v>
      </c>
      <c r="DE7" s="49">
        <v>0.40699999999999997</v>
      </c>
      <c r="DF7" s="49">
        <v>0.219</v>
      </c>
      <c r="DG7" s="48">
        <v>0.55000000000000004</v>
      </c>
      <c r="DH7" s="49">
        <v>2.5369999999999999</v>
      </c>
      <c r="DI7" s="48">
        <v>1.595</v>
      </c>
      <c r="DJ7" s="49">
        <v>0.497</v>
      </c>
      <c r="DK7" s="49">
        <v>1.2589999999999999</v>
      </c>
      <c r="DL7" s="48">
        <v>0.61199999999999999</v>
      </c>
      <c r="DM7" s="49">
        <v>0.77800000000000002</v>
      </c>
      <c r="DN7" s="48">
        <v>0.77700000000000002</v>
      </c>
      <c r="DO7" s="49">
        <v>0.73799999999999999</v>
      </c>
      <c r="DP7" s="48">
        <v>68.671000000000006</v>
      </c>
      <c r="DQ7" s="48">
        <v>62.081000000000003</v>
      </c>
      <c r="DR7" s="48">
        <v>55.061</v>
      </c>
      <c r="DS7" s="48">
        <v>53.226999999999997</v>
      </c>
      <c r="DT7" s="48">
        <v>4.01</v>
      </c>
      <c r="DU7" s="48">
        <v>4.2300000000000004</v>
      </c>
      <c r="DV7" s="48">
        <v>12.23</v>
      </c>
      <c r="DW7" s="48">
        <v>10.15</v>
      </c>
      <c r="DX7" s="48">
        <v>4.45</v>
      </c>
      <c r="DY7" s="48">
        <v>4.45</v>
      </c>
      <c r="DZ7" s="48">
        <v>11.55</v>
      </c>
      <c r="EA7" s="48">
        <v>9.91</v>
      </c>
      <c r="EB7" s="48">
        <v>37.33</v>
      </c>
      <c r="EC7" s="48">
        <v>36.08</v>
      </c>
      <c r="ED7" s="48">
        <v>29.55</v>
      </c>
      <c r="EE7" s="48">
        <v>31.32</v>
      </c>
      <c r="EF7" s="49">
        <v>54.21</v>
      </c>
      <c r="EG7" s="49">
        <v>55.24</v>
      </c>
      <c r="EH7" s="49">
        <v>46.67</v>
      </c>
      <c r="EI7" s="49">
        <v>48.61</v>
      </c>
      <c r="EJ7" s="48">
        <v>6.4690000000000003</v>
      </c>
      <c r="EK7" s="48">
        <v>62.843000000000004</v>
      </c>
      <c r="EL7" s="49">
        <v>1.1000000000000001</v>
      </c>
      <c r="EM7" s="49">
        <v>0.55000000000000004</v>
      </c>
      <c r="EN7" s="48">
        <v>1.18</v>
      </c>
      <c r="EO7" s="48">
        <v>1.17</v>
      </c>
      <c r="EP7" s="48">
        <v>-98.921999999999997</v>
      </c>
      <c r="EQ7" s="49">
        <v>-0.81100000000000005</v>
      </c>
      <c r="ER7" s="49">
        <v>109.858</v>
      </c>
      <c r="ES7" s="48">
        <v>1.286</v>
      </c>
      <c r="ET7" s="48">
        <v>1.427</v>
      </c>
      <c r="EU7" s="48">
        <v>1.262</v>
      </c>
      <c r="EV7" s="48">
        <v>7.3410000000000002</v>
      </c>
      <c r="EW7" s="48">
        <v>3.871</v>
      </c>
      <c r="EX7" s="48">
        <v>-145.58000000000001</v>
      </c>
      <c r="EY7" s="49">
        <v>1.901</v>
      </c>
      <c r="EZ7" s="48">
        <v>0</v>
      </c>
      <c r="FA7" s="49">
        <v>0</v>
      </c>
      <c r="FB7" s="48">
        <v>8.8360000000000003</v>
      </c>
      <c r="FC7" s="49">
        <v>84.049000000000007</v>
      </c>
      <c r="FD7" s="49">
        <v>85.991</v>
      </c>
      <c r="FE7" s="49">
        <v>87.222999999999999</v>
      </c>
      <c r="FF7" s="49">
        <v>85.536000000000001</v>
      </c>
      <c r="FG7" s="48">
        <v>0.93200000000000005</v>
      </c>
      <c r="FH7" s="48">
        <v>0.93100000000000005</v>
      </c>
      <c r="FI7" s="49">
        <v>0.99</v>
      </c>
      <c r="FJ7" s="49">
        <v>0.98799999999999999</v>
      </c>
      <c r="FK7" s="49">
        <v>0.4</v>
      </c>
      <c r="FL7" s="49">
        <v>84</v>
      </c>
      <c r="FM7" s="48">
        <v>2.72</v>
      </c>
      <c r="FN7" s="48">
        <v>0.94</v>
      </c>
      <c r="FO7" s="48">
        <v>5.2</v>
      </c>
      <c r="FP7" s="49">
        <v>2.6</v>
      </c>
      <c r="FQ7" s="48">
        <v>4.45</v>
      </c>
      <c r="FR7" s="48">
        <v>5.0999999999999996</v>
      </c>
      <c r="FS7" s="48">
        <v>6.6749999999999998</v>
      </c>
      <c r="FT7" s="49">
        <v>1060.7</v>
      </c>
      <c r="FU7" s="48">
        <v>7.3</v>
      </c>
      <c r="FV7" s="48">
        <v>5.59</v>
      </c>
      <c r="FW7" s="48">
        <v>3153</v>
      </c>
      <c r="FX7" s="48">
        <v>162500</v>
      </c>
      <c r="FY7" s="48">
        <v>164200</v>
      </c>
      <c r="FZ7" s="49">
        <v>44.417000000000002</v>
      </c>
      <c r="GA7" s="49">
        <v>43.564999999999998</v>
      </c>
      <c r="GB7" s="49">
        <v>2154.6</v>
      </c>
      <c r="GC7" s="49">
        <v>2314.4</v>
      </c>
      <c r="GD7" s="48">
        <v>2154.6</v>
      </c>
      <c r="GE7" s="49">
        <v>2314.4</v>
      </c>
      <c r="GF7" s="48">
        <v>1411.4375</v>
      </c>
      <c r="GG7" s="48">
        <v>29</v>
      </c>
      <c r="GH7" s="49">
        <v>29.5</v>
      </c>
      <c r="GI7" s="49">
        <v>49.8</v>
      </c>
      <c r="GJ7" s="49">
        <v>56.4</v>
      </c>
      <c r="GK7" s="49">
        <v>91.5</v>
      </c>
      <c r="GL7" s="49">
        <v>112.4</v>
      </c>
      <c r="GM7" s="49">
        <v>0</v>
      </c>
      <c r="GN7" s="48">
        <v>23.132000000000001</v>
      </c>
      <c r="GO7" s="48">
        <v>109.858</v>
      </c>
      <c r="GP7" s="49">
        <v>0</v>
      </c>
      <c r="GQ7" s="48">
        <v>3.7170000000000001</v>
      </c>
      <c r="GR7" s="49">
        <v>0</v>
      </c>
      <c r="GS7" s="48">
        <v>3.6579999999999999</v>
      </c>
      <c r="GT7" s="49">
        <v>0</v>
      </c>
      <c r="GU7" s="48">
        <v>3.835</v>
      </c>
      <c r="GV7" s="49">
        <v>0</v>
      </c>
      <c r="GW7" s="48">
        <v>12.835000000000001</v>
      </c>
      <c r="GX7" s="49">
        <v>18.718</v>
      </c>
      <c r="GY7" s="49">
        <v>0</v>
      </c>
      <c r="GZ7" s="49">
        <v>0</v>
      </c>
      <c r="HA7" s="49">
        <v>0</v>
      </c>
      <c r="HB7" s="49">
        <v>1</v>
      </c>
      <c r="HC7" s="49">
        <v>45.277000000000001</v>
      </c>
      <c r="HD7" s="49">
        <v>106</v>
      </c>
      <c r="HE7" s="49">
        <v>0</v>
      </c>
      <c r="HF7" s="49">
        <v>0</v>
      </c>
      <c r="HG7" s="49">
        <v>88.72</v>
      </c>
      <c r="HH7" s="49">
        <v>100</v>
      </c>
      <c r="HI7" s="49">
        <v>0</v>
      </c>
      <c r="HJ7" s="49">
        <v>0</v>
      </c>
      <c r="HK7" s="49">
        <v>0</v>
      </c>
      <c r="HL7" s="49">
        <v>56</v>
      </c>
      <c r="HM7" s="49">
        <v>49</v>
      </c>
      <c r="HN7" s="48">
        <v>60</v>
      </c>
      <c r="HO7" s="48">
        <v>54</v>
      </c>
      <c r="HP7" s="48">
        <v>57</v>
      </c>
      <c r="HQ7" s="48">
        <v>55</v>
      </c>
      <c r="HR7" s="48">
        <v>50</v>
      </c>
      <c r="HS7" s="48">
        <v>60</v>
      </c>
      <c r="HT7" s="48">
        <v>-0.2165</v>
      </c>
      <c r="HU7" s="49">
        <v>0</v>
      </c>
      <c r="HV7" s="48">
        <v>1.1970000000000001</v>
      </c>
      <c r="HW7" s="48">
        <v>35.950000000000003</v>
      </c>
      <c r="HX7" s="48">
        <v>50.83</v>
      </c>
      <c r="HY7" s="48">
        <v>49.58</v>
      </c>
      <c r="HZ7" s="48">
        <v>49.58</v>
      </c>
      <c r="IA7" s="48">
        <v>2.673</v>
      </c>
      <c r="IB7" s="48">
        <v>99</v>
      </c>
      <c r="IC7" s="48">
        <v>18.678000000000001</v>
      </c>
      <c r="ID7" s="49">
        <v>-0.13600000000000001</v>
      </c>
      <c r="IE7" s="48">
        <v>-3.3000000000000002E-2</v>
      </c>
      <c r="IF7" s="48">
        <v>786.3</v>
      </c>
      <c r="IG7" s="48">
        <v>687.9</v>
      </c>
      <c r="IH7" s="48">
        <v>820.7</v>
      </c>
      <c r="II7" s="48">
        <v>717.7</v>
      </c>
      <c r="IJ7" s="48">
        <v>8.5999999999999993E-2</v>
      </c>
      <c r="IK7" s="49">
        <v>-0.13</v>
      </c>
      <c r="IL7" s="49">
        <v>134.49700000000001</v>
      </c>
      <c r="IM7" s="49">
        <v>134.49700000000001</v>
      </c>
      <c r="IN7" s="49">
        <v>29.861000000000001</v>
      </c>
      <c r="IO7" s="48">
        <v>0.99399999999999999</v>
      </c>
      <c r="IP7" s="49">
        <v>12.99</v>
      </c>
      <c r="IQ7" s="48">
        <v>8.9999999999999993E-3</v>
      </c>
      <c r="IR7" s="49">
        <v>6.0000000000000001E-3</v>
      </c>
    </row>
    <row r="8" spans="2:252" x14ac:dyDescent="0.25">
      <c r="B8" s="2" t="s">
        <v>407</v>
      </c>
      <c r="C8" s="58" t="s">
        <v>42</v>
      </c>
      <c r="D8" s="59">
        <v>2.4615740740740739E-3</v>
      </c>
      <c r="E8" s="48">
        <v>212.68</v>
      </c>
      <c r="F8" s="49">
        <v>330.63</v>
      </c>
      <c r="G8" s="49">
        <v>5.93</v>
      </c>
      <c r="H8" s="48">
        <v>23.9</v>
      </c>
      <c r="I8" s="49">
        <v>0</v>
      </c>
      <c r="J8" s="48">
        <v>14.3</v>
      </c>
      <c r="K8" s="49">
        <v>6</v>
      </c>
      <c r="L8" s="49">
        <v>4</v>
      </c>
      <c r="M8" s="49">
        <v>4</v>
      </c>
      <c r="N8" s="49">
        <v>3</v>
      </c>
      <c r="O8" s="49">
        <v>3</v>
      </c>
      <c r="P8" s="48">
        <v>0.95099999999999996</v>
      </c>
      <c r="Q8" s="48">
        <v>1.2250000000000001</v>
      </c>
      <c r="R8" s="48">
        <v>1.1910000000000001</v>
      </c>
      <c r="S8" s="48">
        <v>0.84299999999999997</v>
      </c>
      <c r="T8" s="49">
        <v>73.510000000000005</v>
      </c>
      <c r="U8" s="48">
        <v>60.573</v>
      </c>
      <c r="V8" s="48">
        <v>246.66</v>
      </c>
      <c r="W8" s="48">
        <v>248.34</v>
      </c>
      <c r="X8" s="48">
        <v>240</v>
      </c>
      <c r="Y8" s="48">
        <v>258.33999999999997</v>
      </c>
      <c r="Z8" s="49">
        <v>411.36</v>
      </c>
      <c r="AA8" s="49">
        <v>410.08</v>
      </c>
      <c r="AB8" s="49">
        <v>379.56</v>
      </c>
      <c r="AC8" s="49">
        <v>395.87</v>
      </c>
      <c r="AD8" s="48">
        <v>1.806</v>
      </c>
      <c r="AE8" s="48">
        <v>1.8620000000000001</v>
      </c>
      <c r="AF8" s="48">
        <v>1.8420000000000001</v>
      </c>
      <c r="AG8" s="48">
        <v>1.845</v>
      </c>
      <c r="AH8" s="49">
        <v>73.98</v>
      </c>
      <c r="AI8" s="48">
        <v>71.739999999999995</v>
      </c>
      <c r="AJ8" s="48">
        <v>100.16</v>
      </c>
      <c r="AK8" s="48">
        <v>100.06</v>
      </c>
      <c r="AL8" s="49">
        <v>668.99400000000003</v>
      </c>
      <c r="AM8" s="49">
        <v>663.10699999999997</v>
      </c>
      <c r="AN8" s="49">
        <v>788.15700000000004</v>
      </c>
      <c r="AO8" s="49">
        <v>737.07</v>
      </c>
      <c r="AP8" s="48">
        <v>2.5350000000000001</v>
      </c>
      <c r="AQ8" s="48">
        <v>1.849</v>
      </c>
      <c r="AR8" s="48">
        <v>37.429000000000002</v>
      </c>
      <c r="AS8" s="48">
        <v>35.372999999999998</v>
      </c>
      <c r="AT8" s="48">
        <v>82</v>
      </c>
      <c r="AU8" s="48">
        <v>107</v>
      </c>
      <c r="AV8" s="49">
        <v>2.8075000000000001</v>
      </c>
      <c r="AW8" s="49">
        <v>5.4226000000000001</v>
      </c>
      <c r="AX8" s="48">
        <v>995.1</v>
      </c>
      <c r="AY8" s="49">
        <v>1.29</v>
      </c>
      <c r="AZ8" s="49">
        <v>4.91</v>
      </c>
      <c r="BA8" s="48">
        <v>104.803</v>
      </c>
      <c r="BB8" s="48">
        <v>102.655</v>
      </c>
      <c r="BC8" s="48">
        <v>7658</v>
      </c>
      <c r="BD8" s="49">
        <v>89.5</v>
      </c>
      <c r="BE8" s="49">
        <v>24.18</v>
      </c>
      <c r="BF8" s="48">
        <v>14.234999999999999</v>
      </c>
      <c r="BG8" s="48">
        <v>27.88</v>
      </c>
      <c r="BH8" s="48">
        <v>27</v>
      </c>
      <c r="BI8" s="3"/>
      <c r="BJ8" s="3"/>
      <c r="BK8" s="3"/>
      <c r="BL8" s="3"/>
      <c r="BM8" s="3"/>
      <c r="BN8" s="48">
        <v>90.103999999999999</v>
      </c>
      <c r="BO8" s="48">
        <v>91.4</v>
      </c>
      <c r="BP8" s="48">
        <v>125.384</v>
      </c>
      <c r="BQ8" s="48">
        <v>133.08000000000001</v>
      </c>
      <c r="BR8" s="3"/>
      <c r="BS8" s="48">
        <v>23.6</v>
      </c>
      <c r="BT8" s="48">
        <v>7396.1689999999999</v>
      </c>
      <c r="BU8" s="48">
        <v>79.241</v>
      </c>
      <c r="BV8" s="48">
        <v>63.823999999999998</v>
      </c>
      <c r="BW8" s="48">
        <v>60.671999999999997</v>
      </c>
      <c r="BX8" s="48">
        <v>65.147999999999996</v>
      </c>
      <c r="BY8" s="48">
        <v>1.38</v>
      </c>
      <c r="BZ8" s="49">
        <v>3.133</v>
      </c>
      <c r="CA8" s="49">
        <v>4.1760000000000002</v>
      </c>
      <c r="CB8" s="48">
        <v>3.2869999999999999</v>
      </c>
      <c r="CC8" s="49">
        <v>5.8479999999999999</v>
      </c>
      <c r="CD8" s="48">
        <v>2.4449999999999998</v>
      </c>
      <c r="CE8" s="49">
        <v>3.806</v>
      </c>
      <c r="CF8" s="48">
        <v>2.1120000000000001</v>
      </c>
      <c r="CG8" s="48">
        <v>13.672000000000001</v>
      </c>
      <c r="CH8" s="48">
        <v>13.507999999999999</v>
      </c>
      <c r="CI8" s="48">
        <v>4.7729999999999997</v>
      </c>
      <c r="CJ8" s="49">
        <v>3.5209999999999999</v>
      </c>
      <c r="CK8" s="49">
        <v>1.59</v>
      </c>
      <c r="CL8" s="48">
        <v>0.1</v>
      </c>
      <c r="CM8" s="49">
        <v>0.4</v>
      </c>
      <c r="CN8" s="49">
        <v>0</v>
      </c>
      <c r="CO8" s="49">
        <v>0</v>
      </c>
      <c r="CP8" s="48">
        <v>86.17</v>
      </c>
      <c r="CQ8" s="48">
        <v>87.87</v>
      </c>
      <c r="CR8" s="48">
        <v>119.922</v>
      </c>
      <c r="CS8" s="48">
        <v>126.892</v>
      </c>
      <c r="CT8" s="48">
        <v>0.32600000000000001</v>
      </c>
      <c r="CU8" s="49">
        <v>1.8959999999999999</v>
      </c>
      <c r="CV8" s="48">
        <v>0.998</v>
      </c>
      <c r="CW8" s="48">
        <v>1.4019999999999999</v>
      </c>
      <c r="CX8" s="49">
        <v>2.1989999999999998</v>
      </c>
      <c r="CY8" s="48">
        <v>0.60099999999999998</v>
      </c>
      <c r="CZ8" s="48">
        <v>1.1990000000000001</v>
      </c>
      <c r="DA8" s="49">
        <v>0.89900000000000002</v>
      </c>
      <c r="DB8" s="49">
        <v>1.2969999999999999</v>
      </c>
      <c r="DC8" s="49">
        <v>0</v>
      </c>
      <c r="DD8" s="49">
        <v>0</v>
      </c>
      <c r="DE8" s="48">
        <v>0.39100000000000001</v>
      </c>
      <c r="DF8" s="48">
        <v>0.19600000000000001</v>
      </c>
      <c r="DG8" s="49">
        <v>1.117</v>
      </c>
      <c r="DH8" s="48">
        <v>2.226</v>
      </c>
      <c r="DI8" s="49">
        <v>1.6639999999999999</v>
      </c>
      <c r="DJ8" s="48">
        <v>0.34499999999999997</v>
      </c>
      <c r="DK8" s="48">
        <v>1.1819999999999999</v>
      </c>
      <c r="DL8" s="48">
        <v>0.61099999999999999</v>
      </c>
      <c r="DM8" s="48">
        <v>0.76500000000000001</v>
      </c>
      <c r="DN8" s="49">
        <v>0.79900000000000004</v>
      </c>
      <c r="DO8" s="48">
        <v>0.71699999999999997</v>
      </c>
      <c r="DP8" s="49">
        <v>71.021000000000001</v>
      </c>
      <c r="DQ8" s="48">
        <v>62.512</v>
      </c>
      <c r="DR8" s="49">
        <v>55.396000000000001</v>
      </c>
      <c r="DS8" s="48">
        <v>53.56</v>
      </c>
      <c r="DT8" s="49">
        <v>6.48</v>
      </c>
      <c r="DU8" s="49">
        <v>6.65</v>
      </c>
      <c r="DV8" s="49">
        <v>18.850000000000001</v>
      </c>
      <c r="DW8" s="49">
        <v>14.9</v>
      </c>
      <c r="DX8" s="49">
        <v>7.18</v>
      </c>
      <c r="DY8" s="49">
        <v>7.05</v>
      </c>
      <c r="DZ8" s="49">
        <v>18.14</v>
      </c>
      <c r="EA8" s="49">
        <v>14.35</v>
      </c>
      <c r="EB8" s="49">
        <v>42.72</v>
      </c>
      <c r="EC8" s="49">
        <v>40.42</v>
      </c>
      <c r="ED8" s="48">
        <v>29.73</v>
      </c>
      <c r="EE8" s="48">
        <v>33.049999999999997</v>
      </c>
      <c r="EF8" s="48">
        <v>43.62</v>
      </c>
      <c r="EG8" s="48">
        <v>45.88</v>
      </c>
      <c r="EH8" s="48">
        <v>33.28</v>
      </c>
      <c r="EI8" s="48">
        <v>37.700000000000003</v>
      </c>
      <c r="EJ8" s="49">
        <v>6.53</v>
      </c>
      <c r="EK8" s="49">
        <v>63.981999999999999</v>
      </c>
      <c r="EL8" s="48">
        <v>0.95</v>
      </c>
      <c r="EM8" s="48">
        <v>0.6</v>
      </c>
      <c r="EN8" s="48">
        <v>1.19</v>
      </c>
      <c r="EO8" s="48">
        <v>1.17</v>
      </c>
      <c r="EP8" s="49">
        <v>-110.31</v>
      </c>
      <c r="EQ8" s="48">
        <v>-1.893</v>
      </c>
      <c r="ER8" s="48">
        <v>103.142</v>
      </c>
      <c r="ES8" s="49">
        <v>1.339</v>
      </c>
      <c r="ET8" s="49">
        <v>1.5129999999999999</v>
      </c>
      <c r="EU8" s="49">
        <v>1.3049999999999999</v>
      </c>
      <c r="EV8" s="49">
        <v>7.6230000000000002</v>
      </c>
      <c r="EW8" s="49">
        <v>4.1710000000000003</v>
      </c>
      <c r="EX8" s="49">
        <v>74.52</v>
      </c>
      <c r="EY8" s="48">
        <v>0</v>
      </c>
      <c r="EZ8" s="48">
        <v>0</v>
      </c>
      <c r="FA8" s="49">
        <v>0</v>
      </c>
      <c r="FB8" s="48">
        <v>8.9700000000000006</v>
      </c>
      <c r="FC8" s="48">
        <v>69.188999999999993</v>
      </c>
      <c r="FD8" s="48">
        <v>68.564999999999998</v>
      </c>
      <c r="FE8" s="48">
        <v>77.861000000000004</v>
      </c>
      <c r="FF8" s="48">
        <v>75.605000000000004</v>
      </c>
      <c r="FG8" s="48">
        <v>0.91</v>
      </c>
      <c r="FH8" s="48">
        <v>0.90900000000000003</v>
      </c>
      <c r="FI8" s="48">
        <v>0.98599999999999999</v>
      </c>
      <c r="FJ8" s="48">
        <v>0.98299999999999998</v>
      </c>
      <c r="FK8" s="48">
        <v>0</v>
      </c>
      <c r="FL8" s="48">
        <v>82</v>
      </c>
      <c r="FM8" s="48">
        <v>2.75</v>
      </c>
      <c r="FN8" s="48">
        <v>1.28</v>
      </c>
      <c r="FO8" s="49">
        <v>4.92</v>
      </c>
      <c r="FP8" s="3"/>
      <c r="FQ8" s="48">
        <v>4.5999999999999996</v>
      </c>
      <c r="FR8" s="48">
        <v>5.0999999999999996</v>
      </c>
      <c r="FS8" s="48">
        <v>6.7184999999999997</v>
      </c>
      <c r="FT8" s="48">
        <v>1060.2</v>
      </c>
      <c r="FU8" s="48">
        <v>7.55</v>
      </c>
      <c r="FV8" s="48">
        <v>11.53</v>
      </c>
      <c r="FW8" s="49">
        <v>3201.5</v>
      </c>
      <c r="FX8" s="49">
        <v>163800</v>
      </c>
      <c r="FY8" s="49">
        <v>164500</v>
      </c>
      <c r="FZ8" s="48">
        <v>44.238999999999997</v>
      </c>
      <c r="GA8" s="48">
        <v>43.156999999999996</v>
      </c>
      <c r="GB8" s="48">
        <v>2110.9</v>
      </c>
      <c r="GC8" s="48">
        <v>2099.9</v>
      </c>
      <c r="GD8" s="48">
        <v>2125.1999999999998</v>
      </c>
      <c r="GE8" s="48">
        <v>2139.6</v>
      </c>
      <c r="GF8" s="49">
        <v>1431.2969000000001</v>
      </c>
      <c r="GG8" s="48">
        <v>29</v>
      </c>
      <c r="GH8" s="48">
        <v>28.7</v>
      </c>
      <c r="GI8" s="48">
        <v>45.3</v>
      </c>
      <c r="GJ8" s="48">
        <v>51</v>
      </c>
      <c r="GK8" s="48">
        <v>99.5</v>
      </c>
      <c r="GL8" s="48">
        <v>111.1</v>
      </c>
      <c r="GM8" s="49">
        <v>0</v>
      </c>
      <c r="GN8" s="48">
        <v>21.914000000000001</v>
      </c>
      <c r="GO8" s="49">
        <v>110.31</v>
      </c>
      <c r="GP8" s="48">
        <v>0.35399999999999998</v>
      </c>
      <c r="GQ8" s="48">
        <v>1.829</v>
      </c>
      <c r="GR8" s="48">
        <v>0.59</v>
      </c>
      <c r="GS8" s="48">
        <v>1.8879999999999999</v>
      </c>
      <c r="GT8" s="48">
        <v>0.53100000000000003</v>
      </c>
      <c r="GU8" s="48">
        <v>1.829</v>
      </c>
      <c r="GV8" s="48">
        <v>12.054</v>
      </c>
      <c r="GW8" s="49">
        <v>14.012</v>
      </c>
      <c r="GX8" s="48">
        <v>15.778</v>
      </c>
      <c r="GY8" s="49">
        <v>0</v>
      </c>
      <c r="GZ8" s="49">
        <v>0</v>
      </c>
      <c r="HA8" s="49">
        <v>0</v>
      </c>
      <c r="HB8" s="48">
        <v>0</v>
      </c>
      <c r="HC8" s="48">
        <v>37.325000000000003</v>
      </c>
      <c r="HD8" s="48">
        <v>90</v>
      </c>
      <c r="HE8" s="49">
        <v>0</v>
      </c>
      <c r="HF8" s="49">
        <v>0</v>
      </c>
      <c r="HG8" s="48">
        <v>72.37</v>
      </c>
      <c r="HH8" s="48">
        <v>81.58</v>
      </c>
      <c r="HI8" s="49">
        <v>0</v>
      </c>
      <c r="HJ8" s="49">
        <v>0</v>
      </c>
      <c r="HK8" s="49">
        <v>0</v>
      </c>
      <c r="HL8" s="48">
        <v>52</v>
      </c>
      <c r="HM8" s="49">
        <v>49</v>
      </c>
      <c r="HN8" s="48">
        <v>61</v>
      </c>
      <c r="HO8" s="49">
        <v>56</v>
      </c>
      <c r="HP8" s="48">
        <v>58</v>
      </c>
      <c r="HQ8" s="48">
        <v>56</v>
      </c>
      <c r="HR8" s="48">
        <v>50</v>
      </c>
      <c r="HS8" s="48">
        <v>62</v>
      </c>
      <c r="HT8" s="49">
        <v>-0.247</v>
      </c>
      <c r="HU8" s="49">
        <v>0</v>
      </c>
      <c r="HV8" s="49">
        <v>1.5089999999999999</v>
      </c>
      <c r="HW8" s="49">
        <v>33.409999999999997</v>
      </c>
      <c r="HX8" s="49">
        <v>48.7</v>
      </c>
      <c r="HY8" s="49">
        <v>50.09</v>
      </c>
      <c r="HZ8" s="49">
        <v>50.09</v>
      </c>
      <c r="IA8" s="49">
        <v>2.9729999999999999</v>
      </c>
      <c r="IB8" s="49">
        <v>102</v>
      </c>
      <c r="IC8" s="49">
        <v>21.347999999999999</v>
      </c>
      <c r="ID8" s="48">
        <v>-0.192</v>
      </c>
      <c r="IE8" s="49">
        <v>-2.5000000000000001E-2</v>
      </c>
      <c r="IF8" s="48">
        <v>789.9</v>
      </c>
      <c r="IG8" s="49">
        <v>747.1</v>
      </c>
      <c r="IH8" s="48">
        <v>823.9</v>
      </c>
      <c r="II8" s="49">
        <v>776.3</v>
      </c>
      <c r="IJ8" s="49">
        <v>8.7999999999999995E-2</v>
      </c>
      <c r="IK8" s="48">
        <v>-0.29099999999999998</v>
      </c>
      <c r="IL8" s="48">
        <v>72.123000000000005</v>
      </c>
      <c r="IM8" s="48">
        <v>72.123000000000005</v>
      </c>
      <c r="IN8" s="48">
        <v>29.238</v>
      </c>
      <c r="IO8" s="49">
        <v>1.53</v>
      </c>
      <c r="IP8" s="48">
        <v>12.79</v>
      </c>
      <c r="IQ8" s="49">
        <v>1.2999999999999999E-2</v>
      </c>
      <c r="IR8" s="48">
        <v>2E-3</v>
      </c>
    </row>
    <row r="9" spans="2:252" x14ac:dyDescent="0.25">
      <c r="B9" s="2" t="s">
        <v>407</v>
      </c>
      <c r="C9" s="2" t="s">
        <v>43</v>
      </c>
      <c r="D9" s="57">
        <v>2.8712962962962967E-3</v>
      </c>
      <c r="E9" s="48">
        <v>248.08</v>
      </c>
      <c r="F9" s="48">
        <v>325.91000000000003</v>
      </c>
      <c r="G9" s="48">
        <v>-11.53</v>
      </c>
      <c r="H9" s="48">
        <v>23.8</v>
      </c>
      <c r="I9" s="49">
        <v>0</v>
      </c>
      <c r="J9" s="48">
        <v>24.7</v>
      </c>
      <c r="K9" s="49">
        <v>6</v>
      </c>
      <c r="L9" s="49">
        <v>4</v>
      </c>
      <c r="M9" s="49">
        <v>4</v>
      </c>
      <c r="N9" s="49">
        <v>3</v>
      </c>
      <c r="O9" s="49">
        <v>3</v>
      </c>
      <c r="P9" s="48">
        <v>1.0269999999999999</v>
      </c>
      <c r="Q9" s="48">
        <v>1.5589999999999999</v>
      </c>
      <c r="R9" s="48">
        <v>1.1080000000000001</v>
      </c>
      <c r="S9" s="48">
        <v>0.9</v>
      </c>
      <c r="T9" s="48">
        <v>59.26</v>
      </c>
      <c r="U9" s="49">
        <v>60.613999999999997</v>
      </c>
      <c r="V9" s="48">
        <v>238.34</v>
      </c>
      <c r="W9" s="48">
        <v>240</v>
      </c>
      <c r="X9" s="48">
        <v>245</v>
      </c>
      <c r="Y9" s="48">
        <v>263.33999999999997</v>
      </c>
      <c r="Z9" s="48">
        <v>399.81</v>
      </c>
      <c r="AA9" s="48">
        <v>390.78</v>
      </c>
      <c r="AB9" s="48">
        <v>361.35</v>
      </c>
      <c r="AC9" s="48">
        <v>381.47</v>
      </c>
      <c r="AD9" s="48">
        <v>1.7909999999999999</v>
      </c>
      <c r="AE9" s="48">
        <v>1.851</v>
      </c>
      <c r="AF9" s="49">
        <v>1.863</v>
      </c>
      <c r="AG9" s="49">
        <v>1.871</v>
      </c>
      <c r="AH9" s="48">
        <v>73.010000000000005</v>
      </c>
      <c r="AI9" s="49">
        <v>72.03</v>
      </c>
      <c r="AJ9" s="49">
        <v>103.28</v>
      </c>
      <c r="AK9" s="49">
        <v>104.12</v>
      </c>
      <c r="AL9" s="48">
        <v>586.05899999999997</v>
      </c>
      <c r="AM9" s="48">
        <v>611.37400000000002</v>
      </c>
      <c r="AN9" s="48">
        <v>714.88400000000001</v>
      </c>
      <c r="AO9" s="48">
        <v>722.44100000000003</v>
      </c>
      <c r="AP9" s="48">
        <v>2.5419999999999998</v>
      </c>
      <c r="AQ9" s="49">
        <v>1.8520000000000001</v>
      </c>
      <c r="AR9" s="48">
        <v>40.472000000000001</v>
      </c>
      <c r="AS9" s="49">
        <v>39.356999999999999</v>
      </c>
      <c r="AT9" s="48">
        <v>82</v>
      </c>
      <c r="AU9" s="49">
        <v>108</v>
      </c>
      <c r="AV9" s="48">
        <v>2.86</v>
      </c>
      <c r="AW9" s="48">
        <v>5.2824999999999998</v>
      </c>
      <c r="AX9" s="48">
        <v>995.6</v>
      </c>
      <c r="AY9" s="48">
        <v>1.25</v>
      </c>
      <c r="AZ9" s="48">
        <v>5.79</v>
      </c>
      <c r="BA9" s="49">
        <v>65.400000000000006</v>
      </c>
      <c r="BB9" s="48">
        <v>66.304000000000002</v>
      </c>
      <c r="BC9" s="48">
        <v>7642</v>
      </c>
      <c r="BD9" s="49">
        <v>89.5</v>
      </c>
      <c r="BE9" s="48">
        <v>23.324999999999999</v>
      </c>
      <c r="BF9" s="49">
        <v>14.824999999999999</v>
      </c>
      <c r="BG9" s="48">
        <v>26.61</v>
      </c>
      <c r="BH9" s="48">
        <v>27.93</v>
      </c>
      <c r="BI9" s="48">
        <v>66.894999999999996</v>
      </c>
      <c r="BJ9" s="49">
        <v>82.521000000000001</v>
      </c>
      <c r="BK9" s="48">
        <v>65.242999999999995</v>
      </c>
      <c r="BL9" s="49">
        <v>80.084000000000003</v>
      </c>
      <c r="BM9" s="49">
        <v>79.962000000000003</v>
      </c>
      <c r="BN9" s="48">
        <v>103.256</v>
      </c>
      <c r="BO9" s="48">
        <v>107.304</v>
      </c>
      <c r="BP9" s="48">
        <v>135.27199999999999</v>
      </c>
      <c r="BQ9" s="49">
        <v>142.19999999999999</v>
      </c>
      <c r="BR9" s="49">
        <v>59.914999999999999</v>
      </c>
      <c r="BS9" s="48">
        <v>23.5</v>
      </c>
      <c r="BT9" s="49">
        <v>7415.4870000000001</v>
      </c>
      <c r="BU9" s="48">
        <v>81.41</v>
      </c>
      <c r="BV9" s="48">
        <v>63.945</v>
      </c>
      <c r="BW9" s="48">
        <v>61.753</v>
      </c>
      <c r="BX9" s="49">
        <v>65.683000000000007</v>
      </c>
      <c r="BY9" s="48">
        <v>1.431</v>
      </c>
      <c r="BZ9" s="48">
        <v>2.6440000000000001</v>
      </c>
      <c r="CA9" s="48">
        <v>3.4649999999999999</v>
      </c>
      <c r="CB9" s="49">
        <v>3.597</v>
      </c>
      <c r="CC9" s="48">
        <v>5.84</v>
      </c>
      <c r="CD9" s="49">
        <v>2.4550000000000001</v>
      </c>
      <c r="CE9" s="48">
        <v>3.758</v>
      </c>
      <c r="CF9" s="48">
        <v>2.097</v>
      </c>
      <c r="CG9" s="49">
        <v>13.695</v>
      </c>
      <c r="CH9" s="48">
        <v>13.254</v>
      </c>
      <c r="CI9" s="3"/>
      <c r="CJ9" s="3"/>
      <c r="CK9" s="3"/>
      <c r="CL9" s="49">
        <v>0.2</v>
      </c>
      <c r="CM9" s="48">
        <v>0.3</v>
      </c>
      <c r="CN9" s="49">
        <v>0</v>
      </c>
      <c r="CO9" s="49">
        <v>0</v>
      </c>
      <c r="CP9" s="48">
        <v>87.611999999999995</v>
      </c>
      <c r="CQ9" s="48">
        <v>89.287000000000006</v>
      </c>
      <c r="CR9" s="48">
        <v>122.90900000000001</v>
      </c>
      <c r="CS9" s="49">
        <v>131.56200000000001</v>
      </c>
      <c r="CT9" s="48">
        <v>0.315</v>
      </c>
      <c r="CU9" s="48">
        <v>1</v>
      </c>
      <c r="CV9" s="49">
        <v>1.2030000000000001</v>
      </c>
      <c r="CW9" s="48">
        <v>1.3009999999999999</v>
      </c>
      <c r="CX9" s="48">
        <v>0.89900000000000002</v>
      </c>
      <c r="CY9" s="49">
        <v>1.2010000000000001</v>
      </c>
      <c r="CZ9" s="48">
        <v>0.8</v>
      </c>
      <c r="DA9" s="48">
        <v>0.501</v>
      </c>
      <c r="DB9" s="48">
        <v>1.0009999999999999</v>
      </c>
      <c r="DC9" s="49">
        <v>0</v>
      </c>
      <c r="DD9" s="49">
        <v>0</v>
      </c>
      <c r="DE9" s="48">
        <v>0.315</v>
      </c>
      <c r="DF9" s="48">
        <v>0.17799999999999999</v>
      </c>
      <c r="DG9" s="48">
        <v>0.46100000000000002</v>
      </c>
      <c r="DH9" s="48">
        <v>2.1190000000000002</v>
      </c>
      <c r="DI9" s="48">
        <v>1.0860000000000001</v>
      </c>
      <c r="DJ9" s="48">
        <v>0.26300000000000001</v>
      </c>
      <c r="DK9" s="48">
        <v>1.143</v>
      </c>
      <c r="DL9" s="49">
        <v>0.61399999999999999</v>
      </c>
      <c r="DM9" s="49">
        <v>0.77800000000000002</v>
      </c>
      <c r="DN9" s="48">
        <v>0.78</v>
      </c>
      <c r="DO9" s="48">
        <v>0.7</v>
      </c>
      <c r="DP9" s="48">
        <v>68.385000000000005</v>
      </c>
      <c r="DQ9" s="49">
        <v>62.654000000000003</v>
      </c>
      <c r="DR9" s="48">
        <v>55.332000000000001</v>
      </c>
      <c r="DS9" s="49">
        <v>53.823999999999998</v>
      </c>
      <c r="DT9" s="48">
        <v>5.09</v>
      </c>
      <c r="DU9" s="48">
        <v>5.51</v>
      </c>
      <c r="DV9" s="48">
        <v>15.86</v>
      </c>
      <c r="DW9" s="48">
        <v>12.35</v>
      </c>
      <c r="DX9" s="48">
        <v>5.51</v>
      </c>
      <c r="DY9" s="48">
        <v>6.01</v>
      </c>
      <c r="DZ9" s="48">
        <v>15.11</v>
      </c>
      <c r="EA9" s="48">
        <v>12.02</v>
      </c>
      <c r="EB9" s="48">
        <v>41.84</v>
      </c>
      <c r="EC9" s="48">
        <v>39.68</v>
      </c>
      <c r="ED9" s="49">
        <v>30.93</v>
      </c>
      <c r="EE9" s="49">
        <v>33.17</v>
      </c>
      <c r="EF9" s="48">
        <v>47.56</v>
      </c>
      <c r="EG9" s="48">
        <v>48.79</v>
      </c>
      <c r="EH9" s="48">
        <v>38.1</v>
      </c>
      <c r="EI9" s="48">
        <v>42.47</v>
      </c>
      <c r="EJ9" s="48">
        <v>6.3860000000000001</v>
      </c>
      <c r="EK9" s="48">
        <v>63.707000000000001</v>
      </c>
      <c r="EL9" s="48">
        <v>1.05</v>
      </c>
      <c r="EM9" s="49">
        <v>0.55000000000000004</v>
      </c>
      <c r="EN9" s="49">
        <v>1.24</v>
      </c>
      <c r="EO9" s="49">
        <v>1.23</v>
      </c>
      <c r="EP9" s="48">
        <v>-105.346</v>
      </c>
      <c r="EQ9" s="48">
        <v>-1.76</v>
      </c>
      <c r="ER9" s="48">
        <v>103.726</v>
      </c>
      <c r="ES9" s="48">
        <v>1.325</v>
      </c>
      <c r="ET9" s="48">
        <v>1.4590000000000001</v>
      </c>
      <c r="EU9" s="48">
        <v>1.2989999999999999</v>
      </c>
      <c r="EV9" s="48">
        <v>7.4580000000000002</v>
      </c>
      <c r="EW9" s="48">
        <v>3.96</v>
      </c>
      <c r="EX9" s="48">
        <v>71.040000000000006</v>
      </c>
      <c r="EY9" s="48">
        <v>9.9000000000000005E-2</v>
      </c>
      <c r="EZ9" s="49">
        <v>0.35099999999999998</v>
      </c>
      <c r="FA9" s="49">
        <v>0</v>
      </c>
      <c r="FB9" s="49">
        <v>9.0510000000000002</v>
      </c>
      <c r="FC9" s="48">
        <v>66.775999999999996</v>
      </c>
      <c r="FD9" s="48">
        <v>65.335999999999999</v>
      </c>
      <c r="FE9" s="48">
        <v>79.475999999999999</v>
      </c>
      <c r="FF9" s="48">
        <v>77.260999999999996</v>
      </c>
      <c r="FG9" s="49">
        <v>0.99</v>
      </c>
      <c r="FH9" s="49">
        <v>0.98799999999999999</v>
      </c>
      <c r="FI9" s="48">
        <v>0.98799999999999999</v>
      </c>
      <c r="FJ9" s="48">
        <v>0.98399999999999999</v>
      </c>
      <c r="FK9" s="48">
        <v>0</v>
      </c>
      <c r="FL9" s="48">
        <v>82</v>
      </c>
      <c r="FM9" s="49">
        <v>2.76</v>
      </c>
      <c r="FN9" s="49">
        <v>0.92</v>
      </c>
      <c r="FO9" s="48">
        <v>5.49</v>
      </c>
      <c r="FP9" s="48">
        <v>3.65</v>
      </c>
      <c r="FQ9" s="49">
        <v>4.3499999999999996</v>
      </c>
      <c r="FR9" s="49">
        <v>5.05</v>
      </c>
      <c r="FS9" s="49">
        <v>6.7984999999999998</v>
      </c>
      <c r="FT9" s="48">
        <v>1059.5</v>
      </c>
      <c r="FU9" s="49">
        <v>7.66</v>
      </c>
      <c r="FV9" s="49">
        <v>17.27</v>
      </c>
      <c r="FW9" s="48">
        <v>3152</v>
      </c>
      <c r="FX9" s="48">
        <v>161500</v>
      </c>
      <c r="FY9" s="48">
        <v>161600</v>
      </c>
      <c r="FZ9" s="48">
        <v>43.776000000000003</v>
      </c>
      <c r="GA9" s="48">
        <v>42.927999999999997</v>
      </c>
      <c r="GB9" s="48">
        <v>2127</v>
      </c>
      <c r="GC9" s="48">
        <v>2098.1</v>
      </c>
      <c r="GD9" s="49">
        <v>2187.1999999999998</v>
      </c>
      <c r="GE9" s="48">
        <v>2127</v>
      </c>
      <c r="GF9" s="48">
        <v>1362.4375</v>
      </c>
      <c r="GG9" s="49">
        <v>30</v>
      </c>
      <c r="GH9" s="49">
        <v>29.5</v>
      </c>
      <c r="GI9" s="48">
        <v>43.8</v>
      </c>
      <c r="GJ9" s="48">
        <v>50</v>
      </c>
      <c r="GK9" s="48">
        <v>99.5</v>
      </c>
      <c r="GL9" s="48">
        <v>109.5</v>
      </c>
      <c r="GM9" s="49">
        <v>0</v>
      </c>
      <c r="GN9" s="49">
        <v>23.219000000000001</v>
      </c>
      <c r="GO9" s="48">
        <v>105.346</v>
      </c>
      <c r="GP9" s="49">
        <v>0</v>
      </c>
      <c r="GQ9" s="49">
        <v>5.1920000000000002</v>
      </c>
      <c r="GR9" s="49">
        <v>0</v>
      </c>
      <c r="GS9" s="49">
        <v>4.6609999999999996</v>
      </c>
      <c r="GT9" s="49">
        <v>0</v>
      </c>
      <c r="GU9" s="49">
        <v>6.0179999999999998</v>
      </c>
      <c r="GV9" s="49">
        <v>0</v>
      </c>
      <c r="GW9" s="48">
        <v>13.515000000000001</v>
      </c>
      <c r="GX9" s="48">
        <v>16.071999999999999</v>
      </c>
      <c r="GY9" s="49">
        <v>0</v>
      </c>
      <c r="GZ9" s="49">
        <v>0</v>
      </c>
      <c r="HA9" s="49">
        <v>0</v>
      </c>
      <c r="HB9" s="48">
        <v>0</v>
      </c>
      <c r="HC9" s="48">
        <v>34.715000000000003</v>
      </c>
      <c r="HD9" s="48">
        <v>90</v>
      </c>
      <c r="HE9" s="49">
        <v>0</v>
      </c>
      <c r="HF9" s="49">
        <v>0</v>
      </c>
      <c r="HG9" s="48">
        <v>72.040000000000006</v>
      </c>
      <c r="HH9" s="48">
        <v>81.540000000000006</v>
      </c>
      <c r="HI9" s="49">
        <v>0</v>
      </c>
      <c r="HJ9" s="49">
        <v>0</v>
      </c>
      <c r="HK9" s="49">
        <v>0</v>
      </c>
      <c r="HL9" s="48">
        <v>51</v>
      </c>
      <c r="HM9" s="49">
        <v>49</v>
      </c>
      <c r="HN9" s="49">
        <v>62</v>
      </c>
      <c r="HO9" s="49">
        <v>56</v>
      </c>
      <c r="HP9" s="49">
        <v>59</v>
      </c>
      <c r="HQ9" s="49">
        <v>57</v>
      </c>
      <c r="HR9" s="49">
        <v>51</v>
      </c>
      <c r="HS9" s="49">
        <v>70</v>
      </c>
      <c r="HT9" s="48">
        <v>-0.22800000000000001</v>
      </c>
      <c r="HU9" s="49">
        <v>0</v>
      </c>
      <c r="HV9" s="48">
        <v>1.3240000000000001</v>
      </c>
      <c r="HW9" s="49">
        <v>33.409999999999997</v>
      </c>
      <c r="HX9" s="49">
        <v>48.7</v>
      </c>
      <c r="HY9" s="3"/>
      <c r="HZ9" s="3"/>
      <c r="IA9" s="48">
        <v>2.7869999999999999</v>
      </c>
      <c r="IB9" s="49">
        <v>102</v>
      </c>
      <c r="IC9" s="48">
        <v>21.2</v>
      </c>
      <c r="ID9" s="48">
        <v>-0.14199999999999999</v>
      </c>
      <c r="IE9" s="49">
        <v>-2.5000000000000001E-2</v>
      </c>
      <c r="IF9" s="49">
        <v>791</v>
      </c>
      <c r="IG9" s="48">
        <v>726.8</v>
      </c>
      <c r="IH9" s="49">
        <v>830.7</v>
      </c>
      <c r="II9" s="48">
        <v>756.3</v>
      </c>
      <c r="IJ9" s="48">
        <v>6.7000000000000004E-2</v>
      </c>
      <c r="IK9" s="48">
        <v>-0.18</v>
      </c>
      <c r="IL9" s="48">
        <v>88.248000000000005</v>
      </c>
      <c r="IM9" s="48">
        <v>88.248000000000005</v>
      </c>
      <c r="IN9" s="48">
        <v>29.562000000000001</v>
      </c>
      <c r="IO9" s="48">
        <v>1.139</v>
      </c>
      <c r="IP9" s="48">
        <v>12.86</v>
      </c>
      <c r="IQ9" s="48">
        <v>0</v>
      </c>
      <c r="IR9" s="48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FFBC0-5F2C-437C-9F0A-C804713C5827}">
  <sheetPr codeName="Sheet19"/>
  <dimension ref="B1:IR10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410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426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3.0067129629629628E-3</v>
      </c>
      <c r="E7" s="48">
        <v>259.78300000000002</v>
      </c>
      <c r="F7" s="48">
        <v>326.93</v>
      </c>
      <c r="G7" s="48">
        <v>5.75</v>
      </c>
      <c r="H7" s="48">
        <v>24</v>
      </c>
      <c r="I7" s="49">
        <v>0.32</v>
      </c>
      <c r="J7" s="48">
        <v>45.5</v>
      </c>
      <c r="K7" s="49">
        <v>6</v>
      </c>
      <c r="L7" s="48">
        <v>4</v>
      </c>
      <c r="M7" s="49">
        <v>4</v>
      </c>
      <c r="N7" s="49">
        <v>3</v>
      </c>
      <c r="O7" s="49">
        <v>3</v>
      </c>
      <c r="P7" s="48">
        <v>1.046</v>
      </c>
      <c r="Q7" s="48">
        <v>1.5</v>
      </c>
      <c r="R7" s="48">
        <v>1.1080000000000001</v>
      </c>
      <c r="S7" s="49">
        <v>0.97799999999999998</v>
      </c>
      <c r="T7" s="48">
        <v>69.75</v>
      </c>
      <c r="U7" s="49">
        <v>61.01</v>
      </c>
      <c r="V7" s="49">
        <v>201.66</v>
      </c>
      <c r="W7" s="49">
        <v>195</v>
      </c>
      <c r="X7" s="49">
        <v>195</v>
      </c>
      <c r="Y7" s="49">
        <v>206.66</v>
      </c>
      <c r="Z7" s="48">
        <v>375.75</v>
      </c>
      <c r="AA7" s="48">
        <v>365.55</v>
      </c>
      <c r="AB7" s="48">
        <v>338.52</v>
      </c>
      <c r="AC7" s="48">
        <v>356.4</v>
      </c>
      <c r="AD7" s="48">
        <v>1.7529999999999999</v>
      </c>
      <c r="AE7" s="48">
        <v>1.82</v>
      </c>
      <c r="AF7" s="48">
        <v>1.8009999999999999</v>
      </c>
      <c r="AG7" s="48">
        <v>1.8149999999999999</v>
      </c>
      <c r="AH7" s="48">
        <v>64.33</v>
      </c>
      <c r="AI7" s="48">
        <v>61.38</v>
      </c>
      <c r="AJ7" s="48">
        <v>90.81</v>
      </c>
      <c r="AK7" s="48">
        <v>91.85</v>
      </c>
      <c r="AL7" s="48">
        <v>564.63900000000001</v>
      </c>
      <c r="AM7" s="48">
        <v>578.38800000000003</v>
      </c>
      <c r="AN7" s="48">
        <v>689.84199999999998</v>
      </c>
      <c r="AO7" s="48">
        <v>706.74400000000003</v>
      </c>
      <c r="AP7" s="49">
        <v>2.5790000000000002</v>
      </c>
      <c r="AQ7" s="49">
        <v>1.8540000000000001</v>
      </c>
      <c r="AR7" s="48">
        <v>40.378999999999998</v>
      </c>
      <c r="AS7" s="49">
        <v>39.704999999999998</v>
      </c>
      <c r="AT7" s="49">
        <v>83</v>
      </c>
      <c r="AU7" s="48">
        <v>106</v>
      </c>
      <c r="AV7" s="48">
        <v>2.8405</v>
      </c>
      <c r="AW7" s="48">
        <v>5.274</v>
      </c>
      <c r="AX7" s="48">
        <v>999.7</v>
      </c>
      <c r="AY7" s="48">
        <v>1.38</v>
      </c>
      <c r="AZ7" s="49">
        <v>4.8899999999999997</v>
      </c>
      <c r="BA7" s="48">
        <v>69.403000000000006</v>
      </c>
      <c r="BB7" s="48">
        <v>69.602999999999994</v>
      </c>
      <c r="BC7" s="48">
        <v>7736</v>
      </c>
      <c r="BD7" s="48">
        <v>88.5</v>
      </c>
      <c r="BE7" s="48">
        <v>22.555</v>
      </c>
      <c r="BF7" s="48">
        <v>12.795</v>
      </c>
      <c r="BG7" s="48">
        <v>25.81</v>
      </c>
      <c r="BH7" s="48">
        <v>25.03</v>
      </c>
      <c r="BI7" s="48">
        <v>66.316999999999993</v>
      </c>
      <c r="BJ7" s="48">
        <v>81.662000000000006</v>
      </c>
      <c r="BK7" s="48">
        <v>64.694000000000003</v>
      </c>
      <c r="BL7" s="48">
        <v>79.42</v>
      </c>
      <c r="BM7" s="48">
        <v>78.997</v>
      </c>
      <c r="BN7" s="49">
        <v>118.824</v>
      </c>
      <c r="BO7" s="49">
        <v>124.616</v>
      </c>
      <c r="BP7" s="48">
        <v>135.27199999999999</v>
      </c>
      <c r="BQ7" s="48">
        <v>143.28800000000001</v>
      </c>
      <c r="BR7" s="48">
        <v>58.055</v>
      </c>
      <c r="BS7" s="49">
        <v>23.7</v>
      </c>
      <c r="BT7" s="48">
        <v>7348.2740000000003</v>
      </c>
      <c r="BU7" s="48">
        <v>82.146000000000001</v>
      </c>
      <c r="BV7" s="49">
        <v>65.744</v>
      </c>
      <c r="BW7" s="49">
        <v>65.930000000000007</v>
      </c>
      <c r="BX7" s="48">
        <v>62.902000000000001</v>
      </c>
      <c r="BY7" s="48">
        <v>1.4330000000000001</v>
      </c>
      <c r="BZ7" s="48">
        <v>3.0489999999999999</v>
      </c>
      <c r="CA7" s="48">
        <v>3.5659999999999998</v>
      </c>
      <c r="CB7" s="48">
        <v>3.1309999999999998</v>
      </c>
      <c r="CC7" s="48">
        <v>5.8</v>
      </c>
      <c r="CD7" s="49">
        <v>2.472</v>
      </c>
      <c r="CE7" s="48">
        <v>3.8130000000000002</v>
      </c>
      <c r="CF7" s="48">
        <v>2.0990000000000002</v>
      </c>
      <c r="CG7" s="48">
        <v>13.583</v>
      </c>
      <c r="CH7" s="49">
        <v>10.134</v>
      </c>
      <c r="CI7" s="49">
        <v>4.8239999999999998</v>
      </c>
      <c r="CJ7" s="48">
        <v>3.5630000000000002</v>
      </c>
      <c r="CK7" s="48">
        <v>1.512</v>
      </c>
      <c r="CL7" s="48">
        <v>0</v>
      </c>
      <c r="CM7" s="48">
        <v>0.2</v>
      </c>
      <c r="CN7" s="49">
        <v>0</v>
      </c>
      <c r="CO7" s="49">
        <v>0</v>
      </c>
      <c r="CP7" s="49">
        <v>95.015000000000001</v>
      </c>
      <c r="CQ7" s="49">
        <v>97.378</v>
      </c>
      <c r="CR7" s="48">
        <v>123.196</v>
      </c>
      <c r="CS7" s="48">
        <v>128.977</v>
      </c>
      <c r="CT7" s="49">
        <v>0.46700000000000003</v>
      </c>
      <c r="CU7" s="48">
        <v>1.4970000000000001</v>
      </c>
      <c r="CV7" s="49">
        <v>1.696</v>
      </c>
      <c r="CW7" s="48">
        <v>0.29899999999999999</v>
      </c>
      <c r="CX7" s="49">
        <v>2.403</v>
      </c>
      <c r="CY7" s="49">
        <v>1.198</v>
      </c>
      <c r="CZ7" s="48">
        <v>0.80100000000000005</v>
      </c>
      <c r="DA7" s="48">
        <v>1.498</v>
      </c>
      <c r="DB7" s="48">
        <v>1.399</v>
      </c>
      <c r="DC7" s="49">
        <v>6.0000000000000001E-3</v>
      </c>
      <c r="DD7" s="49">
        <v>0</v>
      </c>
      <c r="DE7" s="48">
        <v>0.31900000000000001</v>
      </c>
      <c r="DF7" s="48">
        <v>0.157</v>
      </c>
      <c r="DG7" s="48">
        <v>0.51</v>
      </c>
      <c r="DH7" s="48">
        <v>1.921</v>
      </c>
      <c r="DI7" s="48">
        <v>1.1719999999999999</v>
      </c>
      <c r="DJ7" s="48">
        <v>0.33300000000000002</v>
      </c>
      <c r="DK7" s="48">
        <v>1.087</v>
      </c>
      <c r="DL7" s="48">
        <v>0.61199999999999999</v>
      </c>
      <c r="DM7" s="49">
        <v>0.78200000000000003</v>
      </c>
      <c r="DN7" s="48">
        <v>0.77800000000000002</v>
      </c>
      <c r="DO7" s="48">
        <v>0.71299999999999997</v>
      </c>
      <c r="DP7" s="48">
        <v>66.983000000000004</v>
      </c>
      <c r="DQ7" s="48">
        <v>62.966000000000001</v>
      </c>
      <c r="DR7" s="48">
        <v>55.287999999999997</v>
      </c>
      <c r="DS7" s="49">
        <v>54.55</v>
      </c>
      <c r="DT7" s="48">
        <v>4.09</v>
      </c>
      <c r="DU7" s="48">
        <v>4.87</v>
      </c>
      <c r="DV7" s="48">
        <v>14.04</v>
      </c>
      <c r="DW7" s="48">
        <v>11.1</v>
      </c>
      <c r="DX7" s="48">
        <v>4.7300000000000004</v>
      </c>
      <c r="DY7" s="48">
        <v>4.87</v>
      </c>
      <c r="DZ7" s="48">
        <v>13.52</v>
      </c>
      <c r="EA7" s="48">
        <v>10.57</v>
      </c>
      <c r="EB7" s="48">
        <v>39.020000000000003</v>
      </c>
      <c r="EC7" s="48">
        <v>37.700000000000003</v>
      </c>
      <c r="ED7" s="49">
        <v>29.96</v>
      </c>
      <c r="EE7" s="48">
        <v>32.93</v>
      </c>
      <c r="EF7" s="48">
        <v>52.16</v>
      </c>
      <c r="EG7" s="48">
        <v>52.56</v>
      </c>
      <c r="EH7" s="48">
        <v>42.48</v>
      </c>
      <c r="EI7" s="48">
        <v>45.4</v>
      </c>
      <c r="EJ7" s="48">
        <v>6.5259999999999998</v>
      </c>
      <c r="EK7" s="48">
        <v>63.384</v>
      </c>
      <c r="EL7" s="49">
        <v>1.25</v>
      </c>
      <c r="EM7" s="49">
        <v>0.55000000000000004</v>
      </c>
      <c r="EN7" s="48">
        <v>1.17</v>
      </c>
      <c r="EO7" s="48">
        <v>1.1599999999999999</v>
      </c>
      <c r="EP7" s="48">
        <v>-103.59399999999999</v>
      </c>
      <c r="EQ7" s="49">
        <v>-1.149</v>
      </c>
      <c r="ER7" s="48">
        <v>102.85</v>
      </c>
      <c r="ES7" s="48">
        <v>1.264</v>
      </c>
      <c r="ET7" s="48">
        <v>1.403</v>
      </c>
      <c r="EU7" s="48">
        <v>1.248</v>
      </c>
      <c r="EV7" s="48">
        <v>7.5979999999999999</v>
      </c>
      <c r="EW7" s="48">
        <v>3.9740000000000002</v>
      </c>
      <c r="EX7" s="48">
        <v>-143.44</v>
      </c>
      <c r="EY7" s="49">
        <v>2.2400000000000002</v>
      </c>
      <c r="EZ7" s="48">
        <v>0</v>
      </c>
      <c r="FA7" s="49">
        <v>0</v>
      </c>
      <c r="FB7" s="48">
        <v>8.7789999999999999</v>
      </c>
      <c r="FC7" s="48">
        <v>64.203999999999994</v>
      </c>
      <c r="FD7" s="48">
        <v>63.420999999999999</v>
      </c>
      <c r="FE7" s="48">
        <v>75.183000000000007</v>
      </c>
      <c r="FF7" s="48">
        <v>73.903999999999996</v>
      </c>
      <c r="FG7" s="48">
        <v>0.95699999999999996</v>
      </c>
      <c r="FH7" s="48">
        <v>0.96199999999999997</v>
      </c>
      <c r="FI7" s="49">
        <v>0.99299999999999999</v>
      </c>
      <c r="FJ7" s="49">
        <v>0.99</v>
      </c>
      <c r="FK7" s="49">
        <v>0.40100000000000002</v>
      </c>
      <c r="FL7" s="49">
        <v>83</v>
      </c>
      <c r="FM7" s="49">
        <v>3.05</v>
      </c>
      <c r="FN7" s="49">
        <v>0.99</v>
      </c>
      <c r="FO7" s="49">
        <v>4.9000000000000004</v>
      </c>
      <c r="FP7" s="48">
        <v>3.95</v>
      </c>
      <c r="FQ7" s="49">
        <v>3.15</v>
      </c>
      <c r="FR7" s="48">
        <v>5.2</v>
      </c>
      <c r="FS7" s="48">
        <v>6.7409999999999997</v>
      </c>
      <c r="FT7" s="49">
        <v>1069.4000000000001</v>
      </c>
      <c r="FU7" s="48">
        <v>7.68</v>
      </c>
      <c r="FV7" s="48">
        <v>5.75</v>
      </c>
      <c r="FW7" s="49">
        <v>3196</v>
      </c>
      <c r="FX7" s="49">
        <v>172000</v>
      </c>
      <c r="FY7" s="49">
        <v>173500</v>
      </c>
      <c r="FZ7" s="49">
        <v>44.801000000000002</v>
      </c>
      <c r="GA7" s="49">
        <v>43.79</v>
      </c>
      <c r="GB7" s="48">
        <v>2123.3000000000002</v>
      </c>
      <c r="GC7" s="48">
        <v>2118.1999999999998</v>
      </c>
      <c r="GD7" s="48">
        <v>2127.9</v>
      </c>
      <c r="GE7" s="48">
        <v>2339.9</v>
      </c>
      <c r="GF7" s="48">
        <v>1182.0938000000001</v>
      </c>
      <c r="GG7" s="48">
        <v>30</v>
      </c>
      <c r="GH7" s="48">
        <v>29.8</v>
      </c>
      <c r="GI7" s="49">
        <v>47.8</v>
      </c>
      <c r="GJ7" s="49">
        <v>54</v>
      </c>
      <c r="GK7" s="48">
        <v>98</v>
      </c>
      <c r="GL7" s="48">
        <v>112.9</v>
      </c>
      <c r="GM7" s="49">
        <v>0</v>
      </c>
      <c r="GN7" s="48">
        <v>23.838999999999999</v>
      </c>
      <c r="GO7" s="48">
        <v>103.59399999999999</v>
      </c>
      <c r="GP7" s="49">
        <v>0</v>
      </c>
      <c r="GQ7" s="48">
        <v>4.3659999999999997</v>
      </c>
      <c r="GR7" s="49">
        <v>0</v>
      </c>
      <c r="GS7" s="48">
        <v>4.72</v>
      </c>
      <c r="GT7" s="49">
        <v>0</v>
      </c>
      <c r="GU7" s="48">
        <v>4.3070000000000004</v>
      </c>
      <c r="GV7" s="49">
        <v>0</v>
      </c>
      <c r="GW7" s="48">
        <v>12.247</v>
      </c>
      <c r="GX7" s="49">
        <v>18.718</v>
      </c>
      <c r="GY7" s="49">
        <v>0</v>
      </c>
      <c r="GZ7" s="49">
        <v>0</v>
      </c>
      <c r="HA7" s="49">
        <v>0</v>
      </c>
      <c r="HB7" s="49">
        <v>1</v>
      </c>
      <c r="HC7" s="48">
        <v>35.201999999999998</v>
      </c>
      <c r="HD7" s="49">
        <v>98</v>
      </c>
      <c r="HE7" s="49">
        <v>0</v>
      </c>
      <c r="HF7" s="49">
        <v>0</v>
      </c>
      <c r="HG7" s="49">
        <v>85.61</v>
      </c>
      <c r="HH7" s="49">
        <v>95.85</v>
      </c>
      <c r="HI7" s="49">
        <v>0</v>
      </c>
      <c r="HJ7" s="49">
        <v>0</v>
      </c>
      <c r="HK7" s="49">
        <v>0</v>
      </c>
      <c r="HL7" s="49">
        <v>55</v>
      </c>
      <c r="HM7" s="49">
        <v>50</v>
      </c>
      <c r="HN7" s="48">
        <v>63</v>
      </c>
      <c r="HO7" s="48">
        <v>56</v>
      </c>
      <c r="HP7" s="48">
        <v>59</v>
      </c>
      <c r="HQ7" s="48">
        <v>57</v>
      </c>
      <c r="HR7" s="48">
        <v>51</v>
      </c>
      <c r="HS7" s="48">
        <v>62</v>
      </c>
      <c r="HT7" s="48">
        <v>-0.254</v>
      </c>
      <c r="HU7" s="49">
        <v>0</v>
      </c>
      <c r="HV7" s="48">
        <v>1.2250000000000001</v>
      </c>
      <c r="HW7" s="48">
        <v>39.75</v>
      </c>
      <c r="HX7" s="48">
        <v>46.31</v>
      </c>
      <c r="HY7" s="3"/>
      <c r="HZ7" s="3"/>
      <c r="IA7" s="48">
        <v>2.573</v>
      </c>
      <c r="IB7" s="48">
        <v>100</v>
      </c>
      <c r="IC7" s="48">
        <v>19.079999999999998</v>
      </c>
      <c r="ID7" s="48">
        <v>-0.13900000000000001</v>
      </c>
      <c r="IE7" s="49">
        <v>-1.7999999999999999E-2</v>
      </c>
      <c r="IF7" s="48">
        <v>812</v>
      </c>
      <c r="IG7" s="48">
        <v>703.5</v>
      </c>
      <c r="IH7" s="49">
        <v>867.2</v>
      </c>
      <c r="II7" s="48">
        <v>734.4</v>
      </c>
      <c r="IJ7" s="49">
        <v>0.11799999999999999</v>
      </c>
      <c r="IK7" s="49">
        <v>-0.14799999999999999</v>
      </c>
      <c r="IL7" s="48">
        <v>112.858</v>
      </c>
      <c r="IM7" s="48">
        <v>112.858</v>
      </c>
      <c r="IN7" s="49">
        <v>30.847999999999999</v>
      </c>
      <c r="IO7" s="48">
        <v>1.107</v>
      </c>
      <c r="IP7" s="49">
        <v>12.95</v>
      </c>
      <c r="IQ7" s="49">
        <v>1.2999999999999999E-2</v>
      </c>
      <c r="IR7" s="49">
        <v>0.01</v>
      </c>
    </row>
    <row r="8" spans="2:252" x14ac:dyDescent="0.25">
      <c r="B8" s="2" t="s">
        <v>407</v>
      </c>
      <c r="C8" s="2" t="s">
        <v>42</v>
      </c>
      <c r="D8" s="57">
        <v>2.4840277777777777E-3</v>
      </c>
      <c r="E8" s="48">
        <v>214.62</v>
      </c>
      <c r="F8" s="48">
        <v>328.35</v>
      </c>
      <c r="G8" s="48">
        <v>5.93</v>
      </c>
      <c r="H8" s="48">
        <v>23.8</v>
      </c>
      <c r="I8" s="48">
        <v>0</v>
      </c>
      <c r="J8" s="48">
        <v>13.6</v>
      </c>
      <c r="K8" s="49">
        <v>6</v>
      </c>
      <c r="L8" s="48">
        <v>4</v>
      </c>
      <c r="M8" s="49">
        <v>4</v>
      </c>
      <c r="N8" s="49">
        <v>3</v>
      </c>
      <c r="O8" s="49">
        <v>3</v>
      </c>
      <c r="P8" s="49">
        <v>1.165</v>
      </c>
      <c r="Q8" s="49">
        <v>2.0920000000000001</v>
      </c>
      <c r="R8" s="49">
        <v>1.1319999999999999</v>
      </c>
      <c r="S8" s="48">
        <v>0.86699999999999999</v>
      </c>
      <c r="T8" s="49">
        <v>90.9</v>
      </c>
      <c r="U8" s="48">
        <v>60.658000000000001</v>
      </c>
      <c r="V8" s="48">
        <v>266.66000000000003</v>
      </c>
      <c r="W8" s="48">
        <v>261.66000000000003</v>
      </c>
      <c r="X8" s="48">
        <v>276.66000000000003</v>
      </c>
      <c r="Y8" s="48">
        <v>298.33999999999997</v>
      </c>
      <c r="Z8" s="49">
        <v>424.36</v>
      </c>
      <c r="AA8" s="49">
        <v>415.87</v>
      </c>
      <c r="AB8" s="48">
        <v>407.35</v>
      </c>
      <c r="AC8" s="48">
        <v>426.28</v>
      </c>
      <c r="AD8" s="48">
        <v>1.772</v>
      </c>
      <c r="AE8" s="48">
        <v>1.831</v>
      </c>
      <c r="AF8" s="48">
        <v>1.85</v>
      </c>
      <c r="AG8" s="48">
        <v>1.8580000000000001</v>
      </c>
      <c r="AH8" s="48">
        <v>70.599999999999994</v>
      </c>
      <c r="AI8" s="48">
        <v>69.03</v>
      </c>
      <c r="AJ8" s="48">
        <v>101.23</v>
      </c>
      <c r="AK8" s="48">
        <v>101.73</v>
      </c>
      <c r="AL8" s="49">
        <v>670.99</v>
      </c>
      <c r="AM8" s="49">
        <v>663.74699999999996</v>
      </c>
      <c r="AN8" s="49">
        <v>786.71</v>
      </c>
      <c r="AO8" s="49">
        <v>781.61699999999996</v>
      </c>
      <c r="AP8" s="48">
        <v>2.5339999999999998</v>
      </c>
      <c r="AQ8" s="48">
        <v>1.8480000000000001</v>
      </c>
      <c r="AR8" s="48">
        <v>40.408000000000001</v>
      </c>
      <c r="AS8" s="48">
        <v>37.082000000000001</v>
      </c>
      <c r="AT8" s="48">
        <v>82</v>
      </c>
      <c r="AU8" s="48">
        <v>108</v>
      </c>
      <c r="AV8" s="48">
        <v>3.0665</v>
      </c>
      <c r="AW8" s="49">
        <v>5.4520999999999997</v>
      </c>
      <c r="AX8" s="48">
        <v>994.7</v>
      </c>
      <c r="AY8" s="48">
        <v>1.31</v>
      </c>
      <c r="AZ8" s="48">
        <v>5.51</v>
      </c>
      <c r="BA8" s="48">
        <v>101.908</v>
      </c>
      <c r="BB8" s="48">
        <v>100.806</v>
      </c>
      <c r="BC8" s="48">
        <v>7739</v>
      </c>
      <c r="BD8" s="48">
        <v>88.5</v>
      </c>
      <c r="BE8" s="48">
        <v>23.765000000000001</v>
      </c>
      <c r="BF8" s="48">
        <v>14.75</v>
      </c>
      <c r="BG8" s="48">
        <v>27.42</v>
      </c>
      <c r="BH8" s="48">
        <v>27.31</v>
      </c>
      <c r="BI8" s="3"/>
      <c r="BJ8" s="3"/>
      <c r="BK8" s="3"/>
      <c r="BL8" s="3"/>
      <c r="BM8" s="3"/>
      <c r="BN8" s="48">
        <v>91.847999999999999</v>
      </c>
      <c r="BO8" s="48">
        <v>92.12</v>
      </c>
      <c r="BP8" s="48">
        <v>133.672</v>
      </c>
      <c r="BQ8" s="48">
        <v>137.816</v>
      </c>
      <c r="BR8" s="3"/>
      <c r="BS8" s="48">
        <v>23.5</v>
      </c>
      <c r="BT8" s="48">
        <v>7347.6660000000002</v>
      </c>
      <c r="BU8" s="48">
        <v>79.725999999999999</v>
      </c>
      <c r="BV8" s="48">
        <v>62.61</v>
      </c>
      <c r="BW8" s="48">
        <v>63.195</v>
      </c>
      <c r="BX8" s="48">
        <v>65.602999999999994</v>
      </c>
      <c r="BY8" s="49">
        <v>1.587</v>
      </c>
      <c r="BZ8" s="48">
        <v>3.3149999999999999</v>
      </c>
      <c r="CA8" s="48">
        <v>3.488</v>
      </c>
      <c r="CB8" s="49">
        <v>3.7749999999999999</v>
      </c>
      <c r="CC8" s="49">
        <v>6.1420000000000003</v>
      </c>
      <c r="CD8" s="48">
        <v>2.4710000000000001</v>
      </c>
      <c r="CE8" s="48">
        <v>3.8210000000000002</v>
      </c>
      <c r="CF8" s="49">
        <v>2.153</v>
      </c>
      <c r="CG8" s="49">
        <v>13.667999999999999</v>
      </c>
      <c r="CH8" s="48">
        <v>13.528</v>
      </c>
      <c r="CI8" s="48">
        <v>4.0090000000000003</v>
      </c>
      <c r="CJ8" s="49">
        <v>3.9020000000000001</v>
      </c>
      <c r="CK8" s="49">
        <v>1.6419999999999999</v>
      </c>
      <c r="CL8" s="48">
        <v>0.1</v>
      </c>
      <c r="CM8" s="48">
        <v>0.4</v>
      </c>
      <c r="CN8" s="49">
        <v>0</v>
      </c>
      <c r="CO8" s="49">
        <v>0</v>
      </c>
      <c r="CP8" s="48">
        <v>87.474999999999994</v>
      </c>
      <c r="CQ8" s="48">
        <v>88.65</v>
      </c>
      <c r="CR8" s="48">
        <v>127.09099999999999</v>
      </c>
      <c r="CS8" s="48">
        <v>131.87299999999999</v>
      </c>
      <c r="CT8" s="48">
        <v>0.27400000000000002</v>
      </c>
      <c r="CU8" s="49">
        <v>2.0009999999999999</v>
      </c>
      <c r="CV8" s="48">
        <v>0.7</v>
      </c>
      <c r="CW8" s="48">
        <v>0.7</v>
      </c>
      <c r="CX8" s="48">
        <v>1.595</v>
      </c>
      <c r="CY8" s="48">
        <v>0.89900000000000002</v>
      </c>
      <c r="CZ8" s="49">
        <v>1.2989999999999999</v>
      </c>
      <c r="DA8" s="49">
        <v>1.605</v>
      </c>
      <c r="DB8" s="48">
        <v>1.399</v>
      </c>
      <c r="DC8" s="48">
        <v>0</v>
      </c>
      <c r="DD8" s="49">
        <v>0</v>
      </c>
      <c r="DE8" s="48">
        <v>0.36</v>
      </c>
      <c r="DF8" s="48">
        <v>0.158</v>
      </c>
      <c r="DG8" s="49">
        <v>1.022</v>
      </c>
      <c r="DH8" s="48">
        <v>2.3780000000000001</v>
      </c>
      <c r="DI8" s="48">
        <v>1.341</v>
      </c>
      <c r="DJ8" s="48">
        <v>0.25</v>
      </c>
      <c r="DK8" s="48">
        <v>1.1419999999999999</v>
      </c>
      <c r="DL8" s="49">
        <v>0.61299999999999999</v>
      </c>
      <c r="DM8" s="48">
        <v>0.77500000000000002</v>
      </c>
      <c r="DN8" s="49">
        <v>0.81100000000000005</v>
      </c>
      <c r="DO8" s="49">
        <v>0.73899999999999999</v>
      </c>
      <c r="DP8" s="48">
        <v>70.778999999999996</v>
      </c>
      <c r="DQ8" s="48">
        <v>63.569000000000003</v>
      </c>
      <c r="DR8" s="48">
        <v>54.268000000000001</v>
      </c>
      <c r="DS8" s="48">
        <v>53.838000000000001</v>
      </c>
      <c r="DT8" s="49">
        <v>6.55</v>
      </c>
      <c r="DU8" s="48">
        <v>6.73</v>
      </c>
      <c r="DV8" s="48">
        <v>18.52</v>
      </c>
      <c r="DW8" s="48">
        <v>14.57</v>
      </c>
      <c r="DX8" s="48">
        <v>7.03</v>
      </c>
      <c r="DY8" s="49">
        <v>7.35</v>
      </c>
      <c r="DZ8" s="48">
        <v>17.88</v>
      </c>
      <c r="EA8" s="48">
        <v>14.33</v>
      </c>
      <c r="EB8" s="48">
        <v>42.18</v>
      </c>
      <c r="EC8" s="49">
        <v>40.56</v>
      </c>
      <c r="ED8" s="48">
        <v>29.94</v>
      </c>
      <c r="EE8" s="49">
        <v>33.67</v>
      </c>
      <c r="EF8" s="48">
        <v>44.23</v>
      </c>
      <c r="EG8" s="48">
        <v>45.35</v>
      </c>
      <c r="EH8" s="48">
        <v>33.67</v>
      </c>
      <c r="EI8" s="48">
        <v>37.43</v>
      </c>
      <c r="EJ8" s="48">
        <v>6.4930000000000003</v>
      </c>
      <c r="EK8" s="48">
        <v>63.941000000000003</v>
      </c>
      <c r="EL8" s="48">
        <v>1.1499999999999999</v>
      </c>
      <c r="EM8" s="48">
        <v>0.7</v>
      </c>
      <c r="EN8" s="48">
        <v>1.17</v>
      </c>
      <c r="EO8" s="48">
        <v>1.1599999999999999</v>
      </c>
      <c r="EP8" s="48">
        <v>-105.346</v>
      </c>
      <c r="EQ8" s="48">
        <v>-2.581</v>
      </c>
      <c r="ER8" s="48">
        <v>109.858</v>
      </c>
      <c r="ES8" s="49">
        <v>1.349</v>
      </c>
      <c r="ET8" s="49">
        <v>1.518</v>
      </c>
      <c r="EU8" s="49">
        <v>1.3360000000000001</v>
      </c>
      <c r="EV8" s="48">
        <v>7.5380000000000003</v>
      </c>
      <c r="EW8" s="49">
        <v>4.1520000000000001</v>
      </c>
      <c r="EX8" s="48">
        <v>74.12</v>
      </c>
      <c r="EY8" s="48">
        <v>0</v>
      </c>
      <c r="EZ8" s="48">
        <v>0.26400000000000001</v>
      </c>
      <c r="FA8" s="49">
        <v>0</v>
      </c>
      <c r="FB8" s="48">
        <v>8.968</v>
      </c>
      <c r="FC8" s="48">
        <v>63.933999999999997</v>
      </c>
      <c r="FD8" s="48">
        <v>62.884</v>
      </c>
      <c r="FE8" s="48">
        <v>76.918999999999997</v>
      </c>
      <c r="FF8" s="48">
        <v>75.066000000000003</v>
      </c>
      <c r="FG8" s="48">
        <v>0.91</v>
      </c>
      <c r="FH8" s="48">
        <v>0.90800000000000003</v>
      </c>
      <c r="FI8" s="48">
        <v>0.98799999999999999</v>
      </c>
      <c r="FJ8" s="48">
        <v>0.98399999999999999</v>
      </c>
      <c r="FK8" s="48">
        <v>0</v>
      </c>
      <c r="FL8" s="48">
        <v>82</v>
      </c>
      <c r="FM8" s="48">
        <v>2.84</v>
      </c>
      <c r="FN8" s="48">
        <v>1.39</v>
      </c>
      <c r="FO8" s="48">
        <v>5.4</v>
      </c>
      <c r="FP8" s="3"/>
      <c r="FQ8" s="48">
        <v>4.5999999999999996</v>
      </c>
      <c r="FR8" s="49">
        <v>5.05</v>
      </c>
      <c r="FS8" s="49">
        <v>6.8</v>
      </c>
      <c r="FT8" s="48">
        <v>1055.5</v>
      </c>
      <c r="FU8" s="48">
        <v>7.65</v>
      </c>
      <c r="FV8" s="48">
        <v>11.68</v>
      </c>
      <c r="FW8" s="48">
        <v>3068</v>
      </c>
      <c r="FX8" s="48">
        <v>162900</v>
      </c>
      <c r="FY8" s="48">
        <v>163800</v>
      </c>
      <c r="FZ8" s="48">
        <v>43.850999999999999</v>
      </c>
      <c r="GA8" s="48">
        <v>43.070999999999998</v>
      </c>
      <c r="GB8" s="48">
        <v>2132.6999999999998</v>
      </c>
      <c r="GC8" s="49">
        <v>2236.1999999999998</v>
      </c>
      <c r="GD8" s="48">
        <v>2143.8000000000002</v>
      </c>
      <c r="GE8" s="49">
        <v>2469.4</v>
      </c>
      <c r="GF8" s="48">
        <v>1226.4530999999999</v>
      </c>
      <c r="GG8" s="48">
        <v>29</v>
      </c>
      <c r="GH8" s="48">
        <v>29</v>
      </c>
      <c r="GI8" s="48">
        <v>44.7</v>
      </c>
      <c r="GJ8" s="48">
        <v>50.5</v>
      </c>
      <c r="GK8" s="48">
        <v>99.5</v>
      </c>
      <c r="GL8" s="49">
        <v>114</v>
      </c>
      <c r="GM8" s="49">
        <v>0</v>
      </c>
      <c r="GN8" s="48">
        <v>21.469000000000001</v>
      </c>
      <c r="GO8" s="48">
        <v>109.858</v>
      </c>
      <c r="GP8" s="48">
        <v>0.35399999999999998</v>
      </c>
      <c r="GQ8" s="48">
        <v>1.829</v>
      </c>
      <c r="GR8" s="48">
        <v>0.64900000000000002</v>
      </c>
      <c r="GS8" s="48">
        <v>1.8879999999999999</v>
      </c>
      <c r="GT8" s="48">
        <v>0.53100000000000003</v>
      </c>
      <c r="GU8" s="48">
        <v>1.829</v>
      </c>
      <c r="GV8" s="48">
        <v>12.641999999999999</v>
      </c>
      <c r="GW8" s="48">
        <v>14.048</v>
      </c>
      <c r="GX8" s="48">
        <v>16.66</v>
      </c>
      <c r="GY8" s="49">
        <v>0</v>
      </c>
      <c r="GZ8" s="49">
        <v>0</v>
      </c>
      <c r="HA8" s="49">
        <v>0</v>
      </c>
      <c r="HB8" s="48">
        <v>0</v>
      </c>
      <c r="HC8" s="48">
        <v>36.843000000000004</v>
      </c>
      <c r="HD8" s="48">
        <v>90</v>
      </c>
      <c r="HE8" s="49">
        <v>0</v>
      </c>
      <c r="HF8" s="49">
        <v>0</v>
      </c>
      <c r="HG8" s="48">
        <v>78.680000000000007</v>
      </c>
      <c r="HH8" s="48">
        <v>81.599999999999994</v>
      </c>
      <c r="HI8" s="49">
        <v>0</v>
      </c>
      <c r="HJ8" s="49">
        <v>0</v>
      </c>
      <c r="HK8" s="49">
        <v>0</v>
      </c>
      <c r="HL8" s="48">
        <v>52</v>
      </c>
      <c r="HM8" s="49">
        <v>50</v>
      </c>
      <c r="HN8" s="48">
        <v>63</v>
      </c>
      <c r="HO8" s="48">
        <v>57</v>
      </c>
      <c r="HP8" s="48">
        <v>59</v>
      </c>
      <c r="HQ8" s="49">
        <v>58</v>
      </c>
      <c r="HR8" s="48">
        <v>51</v>
      </c>
      <c r="HS8" s="48">
        <v>62</v>
      </c>
      <c r="HT8" s="48">
        <v>-0.27100000000000002</v>
      </c>
      <c r="HU8" s="49">
        <v>0</v>
      </c>
      <c r="HV8" s="48">
        <v>1.502</v>
      </c>
      <c r="HW8" s="48">
        <v>38.159999999999997</v>
      </c>
      <c r="HX8" s="49">
        <v>42.51</v>
      </c>
      <c r="HY8" s="49">
        <v>54.55</v>
      </c>
      <c r="HZ8" s="49">
        <v>54.55</v>
      </c>
      <c r="IA8" s="48">
        <v>2.738</v>
      </c>
      <c r="IB8" s="48">
        <v>102</v>
      </c>
      <c r="IC8" s="48">
        <v>21.396999999999998</v>
      </c>
      <c r="ID8" s="48">
        <v>-0.19400000000000001</v>
      </c>
      <c r="IE8" s="48">
        <v>-3.3000000000000002E-2</v>
      </c>
      <c r="IF8" s="48">
        <v>806</v>
      </c>
      <c r="IG8" s="48">
        <v>751.2</v>
      </c>
      <c r="IH8" s="48">
        <v>850</v>
      </c>
      <c r="II8" s="48">
        <v>781.5</v>
      </c>
      <c r="IJ8" s="48">
        <v>5.3999999999999999E-2</v>
      </c>
      <c r="IK8" s="48">
        <v>-0.25700000000000001</v>
      </c>
      <c r="IL8" s="48">
        <v>72.003</v>
      </c>
      <c r="IM8" s="48">
        <v>72.003</v>
      </c>
      <c r="IN8" s="48">
        <v>30.300999999999998</v>
      </c>
      <c r="IO8" s="48">
        <v>1.385</v>
      </c>
      <c r="IP8" s="48">
        <v>12.59</v>
      </c>
      <c r="IQ8" s="48">
        <v>1.2E-2</v>
      </c>
      <c r="IR8" s="48">
        <v>7.0000000000000001E-3</v>
      </c>
    </row>
    <row r="9" spans="2:252" x14ac:dyDescent="0.25">
      <c r="B9" s="2" t="s">
        <v>407</v>
      </c>
      <c r="C9" s="58" t="s">
        <v>43</v>
      </c>
      <c r="D9" s="59">
        <v>2.4340277777777776E-3</v>
      </c>
      <c r="E9" s="48">
        <v>210.3</v>
      </c>
      <c r="F9" s="49">
        <v>331.25</v>
      </c>
      <c r="G9" s="49">
        <v>6.02</v>
      </c>
      <c r="H9" s="48">
        <v>23.8</v>
      </c>
      <c r="I9" s="48">
        <v>0</v>
      </c>
      <c r="J9" s="48">
        <v>14.1</v>
      </c>
      <c r="K9" s="49">
        <v>6</v>
      </c>
      <c r="L9" s="48">
        <v>4</v>
      </c>
      <c r="M9" s="49">
        <v>4</v>
      </c>
      <c r="N9" s="49">
        <v>3</v>
      </c>
      <c r="O9" s="49">
        <v>3</v>
      </c>
      <c r="P9" s="48">
        <v>1.0980000000000001</v>
      </c>
      <c r="Q9" s="48">
        <v>1.9850000000000001</v>
      </c>
      <c r="R9" s="48">
        <v>1.06</v>
      </c>
      <c r="S9" s="48">
        <v>0.86199999999999999</v>
      </c>
      <c r="T9" s="48">
        <v>85.35</v>
      </c>
      <c r="U9" s="48">
        <v>60.515000000000001</v>
      </c>
      <c r="V9" s="48">
        <v>263.33999999999997</v>
      </c>
      <c r="W9" s="48">
        <v>265</v>
      </c>
      <c r="X9" s="48">
        <v>291.66000000000003</v>
      </c>
      <c r="Y9" s="48">
        <v>304</v>
      </c>
      <c r="Z9" s="48">
        <v>421.87</v>
      </c>
      <c r="AA9" s="48">
        <v>413.21</v>
      </c>
      <c r="AB9" s="49">
        <v>421.07</v>
      </c>
      <c r="AC9" s="49">
        <v>440</v>
      </c>
      <c r="AD9" s="48">
        <v>1.784</v>
      </c>
      <c r="AE9" s="48">
        <v>1.8360000000000001</v>
      </c>
      <c r="AF9" s="49">
        <v>1.887</v>
      </c>
      <c r="AG9" s="48">
        <v>1.8879999999999999</v>
      </c>
      <c r="AH9" s="48">
        <v>72.63</v>
      </c>
      <c r="AI9" s="49">
        <v>70.86</v>
      </c>
      <c r="AJ9" s="49">
        <v>105.58</v>
      </c>
      <c r="AK9" s="48">
        <v>106.03</v>
      </c>
      <c r="AL9" s="48">
        <v>654.46699999999998</v>
      </c>
      <c r="AM9" s="48">
        <v>650.49300000000005</v>
      </c>
      <c r="AN9" s="48">
        <v>777.93700000000001</v>
      </c>
      <c r="AO9" s="48">
        <v>770.85699999999997</v>
      </c>
      <c r="AP9" s="48">
        <v>2.5489999999999999</v>
      </c>
      <c r="AQ9" s="48">
        <v>1.85</v>
      </c>
      <c r="AR9" s="49">
        <v>40.991</v>
      </c>
      <c r="AS9" s="48">
        <v>38.11</v>
      </c>
      <c r="AT9" s="48">
        <v>82</v>
      </c>
      <c r="AU9" s="48">
        <v>109</v>
      </c>
      <c r="AV9" s="48">
        <v>2.7725</v>
      </c>
      <c r="AW9" s="48">
        <v>5.3788</v>
      </c>
      <c r="AX9" s="48">
        <v>995.7</v>
      </c>
      <c r="AY9" s="48">
        <v>1.32</v>
      </c>
      <c r="AZ9" s="48">
        <v>5.62</v>
      </c>
      <c r="BA9" s="48">
        <v>135.63399999999999</v>
      </c>
      <c r="BB9" s="48">
        <v>137.52099999999999</v>
      </c>
      <c r="BC9" s="48">
        <v>7819</v>
      </c>
      <c r="BD9" s="49">
        <v>90</v>
      </c>
      <c r="BE9" s="48">
        <v>23.995000000000001</v>
      </c>
      <c r="BF9" s="49">
        <v>14.85</v>
      </c>
      <c r="BG9" s="49">
        <v>28.46</v>
      </c>
      <c r="BH9" s="49">
        <v>31.08</v>
      </c>
      <c r="BI9" s="3"/>
      <c r="BJ9" s="3"/>
      <c r="BK9" s="3"/>
      <c r="BL9" s="3"/>
      <c r="BM9" s="3"/>
      <c r="BN9" s="48">
        <v>92.552000000000007</v>
      </c>
      <c r="BO9" s="48">
        <v>93.816000000000003</v>
      </c>
      <c r="BP9" s="49">
        <v>136.08799999999999</v>
      </c>
      <c r="BQ9" s="48">
        <v>143.19200000000001</v>
      </c>
      <c r="BR9" s="3"/>
      <c r="BS9" s="48">
        <v>23.5</v>
      </c>
      <c r="BT9" s="49">
        <v>7348.4449999999997</v>
      </c>
      <c r="BU9" s="48">
        <v>78.790000000000006</v>
      </c>
      <c r="BV9" s="48">
        <v>60.786000000000001</v>
      </c>
      <c r="BW9" s="48">
        <v>59.893999999999998</v>
      </c>
      <c r="BX9" s="48">
        <v>65.914000000000001</v>
      </c>
      <c r="BY9" s="48">
        <v>1.391</v>
      </c>
      <c r="BZ9" s="48">
        <v>3.2360000000000002</v>
      </c>
      <c r="CA9" s="48">
        <v>3.722</v>
      </c>
      <c r="CB9" s="48">
        <v>3.6419999999999999</v>
      </c>
      <c r="CC9" s="48">
        <v>5.6950000000000003</v>
      </c>
      <c r="CD9" s="48">
        <v>2.3540000000000001</v>
      </c>
      <c r="CE9" s="49">
        <v>3.823</v>
      </c>
      <c r="CF9" s="48">
        <v>2.0920000000000001</v>
      </c>
      <c r="CG9" s="48">
        <v>13.663</v>
      </c>
      <c r="CH9" s="48">
        <v>13.494</v>
      </c>
      <c r="CI9" s="48">
        <v>4.032</v>
      </c>
      <c r="CJ9" s="48">
        <v>3.5859999999999999</v>
      </c>
      <c r="CK9" s="48">
        <v>1.4670000000000001</v>
      </c>
      <c r="CL9" s="48">
        <v>0</v>
      </c>
      <c r="CM9" s="49">
        <v>1.1000000000000001</v>
      </c>
      <c r="CN9" s="49">
        <v>0</v>
      </c>
      <c r="CO9" s="49">
        <v>0</v>
      </c>
      <c r="CP9" s="48">
        <v>87.971000000000004</v>
      </c>
      <c r="CQ9" s="48">
        <v>89.394000000000005</v>
      </c>
      <c r="CR9" s="49">
        <v>131.69900000000001</v>
      </c>
      <c r="CS9" s="48">
        <v>138.24299999999999</v>
      </c>
      <c r="CT9" s="48">
        <v>0.28999999999999998</v>
      </c>
      <c r="CU9" s="48">
        <v>0.89900000000000002</v>
      </c>
      <c r="CV9" s="48">
        <v>1.0009999999999999</v>
      </c>
      <c r="CW9" s="48">
        <v>1</v>
      </c>
      <c r="CX9" s="48">
        <v>2.0979999999999999</v>
      </c>
      <c r="CY9" s="48">
        <v>0.79900000000000004</v>
      </c>
      <c r="CZ9" s="48">
        <v>0.997</v>
      </c>
      <c r="DA9" s="48">
        <v>0.9</v>
      </c>
      <c r="DB9" s="48">
        <v>1.2010000000000001</v>
      </c>
      <c r="DC9" s="48">
        <v>0</v>
      </c>
      <c r="DD9" s="49">
        <v>0</v>
      </c>
      <c r="DE9" s="49">
        <v>0.38200000000000001</v>
      </c>
      <c r="DF9" s="49">
        <v>0.18099999999999999</v>
      </c>
      <c r="DG9" s="48">
        <v>0.90600000000000003</v>
      </c>
      <c r="DH9" s="48">
        <v>2.4700000000000002</v>
      </c>
      <c r="DI9" s="49">
        <v>1.419</v>
      </c>
      <c r="DJ9" s="49">
        <v>0.35</v>
      </c>
      <c r="DK9" s="49">
        <v>1.2669999999999999</v>
      </c>
      <c r="DL9" s="48">
        <v>0.61099999999999999</v>
      </c>
      <c r="DM9" s="48">
        <v>0.76800000000000002</v>
      </c>
      <c r="DN9" s="48">
        <v>0.78100000000000003</v>
      </c>
      <c r="DO9" s="48">
        <v>0.72699999999999998</v>
      </c>
      <c r="DP9" s="48">
        <v>66.980999999999995</v>
      </c>
      <c r="DQ9" s="48">
        <v>62.183</v>
      </c>
      <c r="DR9" s="48">
        <v>54.168999999999997</v>
      </c>
      <c r="DS9" s="48">
        <v>54.41</v>
      </c>
      <c r="DT9" s="48">
        <v>6.42</v>
      </c>
      <c r="DU9" s="49">
        <v>6.83</v>
      </c>
      <c r="DV9" s="49">
        <v>19.309999999999999</v>
      </c>
      <c r="DW9" s="49">
        <v>15.12</v>
      </c>
      <c r="DX9" s="49">
        <v>7.05</v>
      </c>
      <c r="DY9" s="48">
        <v>7.26</v>
      </c>
      <c r="DZ9" s="49">
        <v>18.75</v>
      </c>
      <c r="EA9" s="49">
        <v>14.68</v>
      </c>
      <c r="EB9" s="49">
        <v>42.39</v>
      </c>
      <c r="EC9" s="48">
        <v>40.26</v>
      </c>
      <c r="ED9" s="48">
        <v>29.38</v>
      </c>
      <c r="EE9" s="48">
        <v>33.07</v>
      </c>
      <c r="EF9" s="48">
        <v>44.14</v>
      </c>
      <c r="EG9" s="48">
        <v>45.65</v>
      </c>
      <c r="EH9" s="48">
        <v>32.57</v>
      </c>
      <c r="EI9" s="48">
        <v>37.119999999999997</v>
      </c>
      <c r="EJ9" s="48">
        <v>6.4969999999999999</v>
      </c>
      <c r="EK9" s="48">
        <v>64.034999999999997</v>
      </c>
      <c r="EL9" s="48">
        <v>1.05</v>
      </c>
      <c r="EM9" s="48">
        <v>0.75</v>
      </c>
      <c r="EN9" s="48">
        <v>1.1499999999999999</v>
      </c>
      <c r="EO9" s="48">
        <v>1.1399999999999999</v>
      </c>
      <c r="EP9" s="48">
        <v>-107.974</v>
      </c>
      <c r="EQ9" s="48">
        <v>-2.7080000000000002</v>
      </c>
      <c r="ER9" s="48">
        <v>109.274</v>
      </c>
      <c r="ES9" s="48">
        <v>1.3109999999999999</v>
      </c>
      <c r="ET9" s="48">
        <v>1.4610000000000001</v>
      </c>
      <c r="EU9" s="48">
        <v>1.278</v>
      </c>
      <c r="EV9" s="48">
        <v>7.4820000000000002</v>
      </c>
      <c r="EW9" s="48">
        <v>3.9369999999999998</v>
      </c>
      <c r="EX9" s="49">
        <v>75.28</v>
      </c>
      <c r="EY9" s="48">
        <v>0</v>
      </c>
      <c r="EZ9" s="49">
        <v>0.51200000000000001</v>
      </c>
      <c r="FA9" s="49">
        <v>0</v>
      </c>
      <c r="FB9" s="48">
        <v>8.9779999999999998</v>
      </c>
      <c r="FC9" s="48">
        <v>65.763999999999996</v>
      </c>
      <c r="FD9" s="48">
        <v>64.180000000000007</v>
      </c>
      <c r="FE9" s="48">
        <v>81.192999999999998</v>
      </c>
      <c r="FF9" s="48">
        <v>78.793999999999997</v>
      </c>
      <c r="FG9" s="48">
        <v>0.90900000000000003</v>
      </c>
      <c r="FH9" s="48">
        <v>0.90700000000000003</v>
      </c>
      <c r="FI9" s="48">
        <v>0.98699999999999999</v>
      </c>
      <c r="FJ9" s="48">
        <v>0.98299999999999998</v>
      </c>
      <c r="FK9" s="48">
        <v>0</v>
      </c>
      <c r="FL9" s="49">
        <v>83</v>
      </c>
      <c r="FM9" s="48">
        <v>2.86</v>
      </c>
      <c r="FN9" s="48">
        <v>1.44</v>
      </c>
      <c r="FO9" s="48">
        <v>5.38</v>
      </c>
      <c r="FP9" s="3"/>
      <c r="FQ9" s="48">
        <v>4.5999999999999996</v>
      </c>
      <c r="FR9" s="48">
        <v>5.0999999999999996</v>
      </c>
      <c r="FS9" s="48">
        <v>6.6645000000000003</v>
      </c>
      <c r="FT9" s="48">
        <v>1058.2</v>
      </c>
      <c r="FU9" s="48">
        <v>7.49</v>
      </c>
      <c r="FV9" s="48">
        <v>17.7</v>
      </c>
      <c r="FW9" s="48">
        <v>3121</v>
      </c>
      <c r="FX9" s="48">
        <v>162100</v>
      </c>
      <c r="FY9" s="48">
        <v>160800</v>
      </c>
      <c r="FZ9" s="48">
        <v>43.469000000000001</v>
      </c>
      <c r="GA9" s="48">
        <v>42.598999999999997</v>
      </c>
      <c r="GB9" s="48">
        <v>2109.8000000000002</v>
      </c>
      <c r="GC9" s="48">
        <v>2092.5</v>
      </c>
      <c r="GD9" s="48">
        <v>2209.1999999999998</v>
      </c>
      <c r="GE9" s="48">
        <v>2121.8000000000002</v>
      </c>
      <c r="GF9" s="49">
        <v>1575.9844000000001</v>
      </c>
      <c r="GG9" s="48">
        <v>30</v>
      </c>
      <c r="GH9" s="48">
        <v>29.6</v>
      </c>
      <c r="GI9" s="48">
        <v>44.2</v>
      </c>
      <c r="GJ9" s="48">
        <v>49.9</v>
      </c>
      <c r="GK9" s="48">
        <v>99.5</v>
      </c>
      <c r="GL9" s="48">
        <v>111.8</v>
      </c>
      <c r="GM9" s="49">
        <v>0</v>
      </c>
      <c r="GN9" s="48">
        <v>21.43</v>
      </c>
      <c r="GO9" s="48">
        <v>109.274</v>
      </c>
      <c r="GP9" s="48">
        <v>0.29499999999999998</v>
      </c>
      <c r="GQ9" s="48">
        <v>1.8879999999999999</v>
      </c>
      <c r="GR9" s="48">
        <v>0.53100000000000003</v>
      </c>
      <c r="GS9" s="48">
        <v>1.9470000000000001</v>
      </c>
      <c r="GT9" s="48">
        <v>0.47199999999999998</v>
      </c>
      <c r="GU9" s="48">
        <v>1.829</v>
      </c>
      <c r="GV9" s="48">
        <v>12.74</v>
      </c>
      <c r="GW9" s="49">
        <v>14.11</v>
      </c>
      <c r="GX9" s="48">
        <v>16.268000000000001</v>
      </c>
      <c r="GY9" s="49">
        <v>0</v>
      </c>
      <c r="GZ9" s="49">
        <v>0</v>
      </c>
      <c r="HA9" s="49">
        <v>0</v>
      </c>
      <c r="HB9" s="48">
        <v>0</v>
      </c>
      <c r="HC9" s="49">
        <v>36.963000000000001</v>
      </c>
      <c r="HD9" s="48">
        <v>90</v>
      </c>
      <c r="HE9" s="49">
        <v>0</v>
      </c>
      <c r="HF9" s="49">
        <v>0</v>
      </c>
      <c r="HG9" s="48">
        <v>76.53</v>
      </c>
      <c r="HH9" s="48">
        <v>81.22</v>
      </c>
      <c r="HI9" s="49">
        <v>0</v>
      </c>
      <c r="HJ9" s="49">
        <v>0</v>
      </c>
      <c r="HK9" s="49">
        <v>0</v>
      </c>
      <c r="HL9" s="48">
        <v>52</v>
      </c>
      <c r="HM9" s="49">
        <v>50</v>
      </c>
      <c r="HN9" s="48">
        <v>63</v>
      </c>
      <c r="HO9" s="48">
        <v>57</v>
      </c>
      <c r="HP9" s="49">
        <v>60</v>
      </c>
      <c r="HQ9" s="49">
        <v>58</v>
      </c>
      <c r="HR9" s="49">
        <v>52</v>
      </c>
      <c r="HS9" s="49">
        <v>70</v>
      </c>
      <c r="HT9" s="49">
        <v>-0.27500000000000002</v>
      </c>
      <c r="HU9" s="49">
        <v>0</v>
      </c>
      <c r="HV9" s="49">
        <v>1.5409999999999999</v>
      </c>
      <c r="HW9" s="49">
        <v>36.18</v>
      </c>
      <c r="HX9" s="49">
        <v>42.51</v>
      </c>
      <c r="HY9" s="48">
        <v>50.7</v>
      </c>
      <c r="HZ9" s="48">
        <v>50.7</v>
      </c>
      <c r="IA9" s="48">
        <v>2.806</v>
      </c>
      <c r="IB9" s="49">
        <v>103</v>
      </c>
      <c r="IC9" s="49">
        <v>21.57</v>
      </c>
      <c r="ID9" s="48">
        <v>-0.223</v>
      </c>
      <c r="IE9" s="48">
        <v>-4.1000000000000002E-2</v>
      </c>
      <c r="IF9" s="48">
        <v>796.2</v>
      </c>
      <c r="IG9" s="49">
        <v>755.9</v>
      </c>
      <c r="IH9" s="48">
        <v>836.9</v>
      </c>
      <c r="II9" s="49">
        <v>784.6</v>
      </c>
      <c r="IJ9" s="48">
        <v>4.7E-2</v>
      </c>
      <c r="IK9" s="48">
        <v>-0.34899999999999998</v>
      </c>
      <c r="IL9" s="48">
        <v>66.275000000000006</v>
      </c>
      <c r="IM9" s="48">
        <v>66.275000000000006</v>
      </c>
      <c r="IN9" s="48">
        <v>28.747</v>
      </c>
      <c r="IO9" s="49">
        <v>1.504</v>
      </c>
      <c r="IP9" s="48">
        <v>12.57</v>
      </c>
      <c r="IQ9" s="49">
        <v>1.2999999999999999E-2</v>
      </c>
      <c r="IR9" s="48">
        <v>7.0000000000000001E-3</v>
      </c>
    </row>
    <row r="10" spans="2:252" x14ac:dyDescent="0.25">
      <c r="B10" s="2" t="s">
        <v>407</v>
      </c>
      <c r="C10" s="2" t="s">
        <v>421</v>
      </c>
      <c r="D10" s="57">
        <v>3.3259259259259262E-3</v>
      </c>
      <c r="E10" s="49">
        <v>287.36</v>
      </c>
      <c r="F10" s="48">
        <v>328.72</v>
      </c>
      <c r="G10" s="48">
        <v>-17.7</v>
      </c>
      <c r="H10" s="49">
        <v>24.1</v>
      </c>
      <c r="I10" s="48">
        <v>0</v>
      </c>
      <c r="J10" s="49">
        <v>62.4</v>
      </c>
      <c r="K10" s="49">
        <v>6</v>
      </c>
      <c r="L10" s="49">
        <v>5</v>
      </c>
      <c r="M10" s="49">
        <v>4</v>
      </c>
      <c r="N10" s="49">
        <v>3</v>
      </c>
      <c r="O10" s="49">
        <v>3</v>
      </c>
      <c r="P10" s="48">
        <v>0.99199999999999999</v>
      </c>
      <c r="Q10" s="48">
        <v>1.71</v>
      </c>
      <c r="R10" s="48">
        <v>0.94099999999999995</v>
      </c>
      <c r="S10" s="48">
        <v>0.77500000000000002</v>
      </c>
      <c r="T10" s="48">
        <v>88.89</v>
      </c>
      <c r="U10" s="48">
        <v>60.701000000000001</v>
      </c>
      <c r="V10" s="48">
        <v>241.66</v>
      </c>
      <c r="W10" s="48">
        <v>238.34</v>
      </c>
      <c r="X10" s="48">
        <v>248.34</v>
      </c>
      <c r="Y10" s="48">
        <v>291.66000000000003</v>
      </c>
      <c r="Z10" s="48">
        <v>390.38</v>
      </c>
      <c r="AA10" s="48">
        <v>379.13</v>
      </c>
      <c r="AB10" s="48">
        <v>354.45</v>
      </c>
      <c r="AC10" s="48">
        <v>399.38</v>
      </c>
      <c r="AD10" s="49">
        <v>1.7889999999999999</v>
      </c>
      <c r="AE10" s="49">
        <v>1.8440000000000001</v>
      </c>
      <c r="AF10" s="48">
        <v>1.885</v>
      </c>
      <c r="AG10" s="49">
        <v>1.909</v>
      </c>
      <c r="AH10" s="49">
        <v>72.900000000000006</v>
      </c>
      <c r="AI10" s="48">
        <v>70.47</v>
      </c>
      <c r="AJ10" s="48">
        <v>104.98</v>
      </c>
      <c r="AK10" s="49">
        <v>107.68</v>
      </c>
      <c r="AL10" s="48">
        <v>630.36800000000005</v>
      </c>
      <c r="AM10" s="48">
        <v>632.07000000000005</v>
      </c>
      <c r="AN10" s="48">
        <v>748.84400000000005</v>
      </c>
      <c r="AO10" s="48">
        <v>760.53499999999997</v>
      </c>
      <c r="AP10" s="48">
        <v>2.5299999999999998</v>
      </c>
      <c r="AQ10" s="48">
        <v>1.8360000000000001</v>
      </c>
      <c r="AR10" s="48">
        <v>40.863</v>
      </c>
      <c r="AS10" s="48">
        <v>39.055</v>
      </c>
      <c r="AT10" s="48">
        <v>82</v>
      </c>
      <c r="AU10" s="49">
        <v>110</v>
      </c>
      <c r="AV10" s="49">
        <v>2.7320000000000002</v>
      </c>
      <c r="AW10" s="48">
        <v>5.1230000000000002</v>
      </c>
      <c r="AX10" s="49">
        <v>1002.8</v>
      </c>
      <c r="AY10" s="49">
        <v>1.47</v>
      </c>
      <c r="AZ10" s="48">
        <v>5.66</v>
      </c>
      <c r="BA10" s="49">
        <v>69.3</v>
      </c>
      <c r="BB10" s="49">
        <v>69.302000000000007</v>
      </c>
      <c r="BC10" s="49">
        <v>7846</v>
      </c>
      <c r="BD10" s="48">
        <v>89.25</v>
      </c>
      <c r="BE10" s="49">
        <v>24.725000000000001</v>
      </c>
      <c r="BF10" s="48">
        <v>14.535</v>
      </c>
      <c r="BG10" s="49">
        <v>28.46</v>
      </c>
      <c r="BH10" s="48">
        <v>30.98</v>
      </c>
      <c r="BI10" s="49">
        <v>67.338999999999999</v>
      </c>
      <c r="BJ10" s="49">
        <v>82.555999999999997</v>
      </c>
      <c r="BK10" s="49">
        <v>65.73</v>
      </c>
      <c r="BL10" s="49">
        <v>80.278000000000006</v>
      </c>
      <c r="BM10" s="49">
        <v>79.968999999999994</v>
      </c>
      <c r="BN10" s="48">
        <v>110.136</v>
      </c>
      <c r="BO10" s="48">
        <v>113.768</v>
      </c>
      <c r="BP10" s="48">
        <v>132.536</v>
      </c>
      <c r="BQ10" s="49">
        <v>147.03200000000001</v>
      </c>
      <c r="BR10" s="49">
        <v>59.776000000000003</v>
      </c>
      <c r="BS10" s="48">
        <v>23.4</v>
      </c>
      <c r="BT10" s="48">
        <v>7284.3159999999998</v>
      </c>
      <c r="BU10" s="49">
        <v>83.266999999999996</v>
      </c>
      <c r="BV10" s="48">
        <v>63.247999999999998</v>
      </c>
      <c r="BW10" s="48">
        <v>57.848999999999997</v>
      </c>
      <c r="BX10" s="49">
        <v>66.105000000000004</v>
      </c>
      <c r="BY10" s="48">
        <v>1.4850000000000001</v>
      </c>
      <c r="BZ10" s="49">
        <v>3.5009999999999999</v>
      </c>
      <c r="CA10" s="49">
        <v>3.7719999999999998</v>
      </c>
      <c r="CB10" s="48">
        <v>3.2730000000000001</v>
      </c>
      <c r="CC10" s="48">
        <v>5.73</v>
      </c>
      <c r="CD10" s="48">
        <v>2.367</v>
      </c>
      <c r="CE10" s="48">
        <v>3.8130000000000002</v>
      </c>
      <c r="CF10" s="48">
        <v>2.0779999999999998</v>
      </c>
      <c r="CG10" s="48">
        <v>13.586</v>
      </c>
      <c r="CH10" s="48">
        <v>12.887</v>
      </c>
      <c r="CI10" s="3"/>
      <c r="CJ10" s="3"/>
      <c r="CK10" s="3"/>
      <c r="CL10" s="49">
        <v>0.4</v>
      </c>
      <c r="CM10" s="48">
        <v>0.9</v>
      </c>
      <c r="CN10" s="49">
        <v>0</v>
      </c>
      <c r="CO10" s="49">
        <v>0</v>
      </c>
      <c r="CP10" s="48">
        <v>89.248000000000005</v>
      </c>
      <c r="CQ10" s="48">
        <v>90.997</v>
      </c>
      <c r="CR10" s="48">
        <v>122.15600000000001</v>
      </c>
      <c r="CS10" s="49">
        <v>138.85499999999999</v>
      </c>
      <c r="CT10" s="48">
        <v>0.34200000000000003</v>
      </c>
      <c r="CU10" s="48">
        <v>1.302</v>
      </c>
      <c r="CV10" s="48">
        <v>1.399</v>
      </c>
      <c r="CW10" s="49">
        <v>1.702</v>
      </c>
      <c r="CX10" s="48">
        <v>1.3</v>
      </c>
      <c r="CY10" s="48">
        <v>0.5</v>
      </c>
      <c r="CZ10" s="48">
        <v>1.202</v>
      </c>
      <c r="DA10" s="48">
        <v>0.80200000000000005</v>
      </c>
      <c r="DB10" s="49">
        <v>1.603</v>
      </c>
      <c r="DC10" s="48">
        <v>0</v>
      </c>
      <c r="DD10" s="49">
        <v>0</v>
      </c>
      <c r="DE10" s="48">
        <v>0.25800000000000001</v>
      </c>
      <c r="DF10" s="48">
        <v>0.16</v>
      </c>
      <c r="DG10" s="48">
        <v>0.47099999999999997</v>
      </c>
      <c r="DH10" s="49">
        <v>2.7320000000000002</v>
      </c>
      <c r="DI10" s="48">
        <v>1.244</v>
      </c>
      <c r="DJ10" s="48">
        <v>0.33</v>
      </c>
      <c r="DK10" s="48">
        <v>1.0189999999999999</v>
      </c>
      <c r="DL10" s="49">
        <v>0.61299999999999999</v>
      </c>
      <c r="DM10" s="48">
        <v>0.77900000000000003</v>
      </c>
      <c r="DN10" s="48">
        <v>0.745</v>
      </c>
      <c r="DO10" s="48">
        <v>0.71</v>
      </c>
      <c r="DP10" s="49">
        <v>72.768000000000001</v>
      </c>
      <c r="DQ10" s="49">
        <v>63.786999999999999</v>
      </c>
      <c r="DR10" s="49">
        <v>55.496000000000002</v>
      </c>
      <c r="DS10" s="48">
        <v>54.003</v>
      </c>
      <c r="DT10" s="48">
        <v>4.55</v>
      </c>
      <c r="DU10" s="48">
        <v>4.8099999999999996</v>
      </c>
      <c r="DV10" s="48">
        <v>14.2</v>
      </c>
      <c r="DW10" s="48">
        <v>11.3</v>
      </c>
      <c r="DX10" s="48">
        <v>5.21</v>
      </c>
      <c r="DY10" s="48">
        <v>5.25</v>
      </c>
      <c r="DZ10" s="48">
        <v>13.64</v>
      </c>
      <c r="EA10" s="48">
        <v>11.09</v>
      </c>
      <c r="EB10" s="48">
        <v>36</v>
      </c>
      <c r="EC10" s="48">
        <v>33.51</v>
      </c>
      <c r="ED10" s="48">
        <v>25.51</v>
      </c>
      <c r="EE10" s="48">
        <v>27.76</v>
      </c>
      <c r="EF10" s="49">
        <v>54.24</v>
      </c>
      <c r="EG10" s="49">
        <v>56.43</v>
      </c>
      <c r="EH10" s="49">
        <v>46.65</v>
      </c>
      <c r="EI10" s="49">
        <v>49.85</v>
      </c>
      <c r="EJ10" s="49">
        <v>6.7389999999999999</v>
      </c>
      <c r="EK10" s="49">
        <v>64.281000000000006</v>
      </c>
      <c r="EL10" s="48">
        <v>1.1499999999999999</v>
      </c>
      <c r="EM10" s="48">
        <v>0.75</v>
      </c>
      <c r="EN10" s="49">
        <v>1.24</v>
      </c>
      <c r="EO10" s="49">
        <v>1.27</v>
      </c>
      <c r="EP10" s="49">
        <v>-108.26600000000001</v>
      </c>
      <c r="EQ10" s="48">
        <v>-1.774</v>
      </c>
      <c r="ER10" s="49">
        <v>113.07</v>
      </c>
      <c r="ES10" s="48">
        <v>1.2649999999999999</v>
      </c>
      <c r="ET10" s="48">
        <v>1.3560000000000001</v>
      </c>
      <c r="EU10" s="48">
        <v>1.2210000000000001</v>
      </c>
      <c r="EV10" s="49">
        <v>7.7270000000000003</v>
      </c>
      <c r="EW10" s="48">
        <v>4.12</v>
      </c>
      <c r="EX10" s="48">
        <v>72.88</v>
      </c>
      <c r="EY10" s="48">
        <v>4.1000000000000002E-2</v>
      </c>
      <c r="EZ10" s="48">
        <v>7.5999999999999998E-2</v>
      </c>
      <c r="FA10" s="49">
        <v>0</v>
      </c>
      <c r="FB10" s="49">
        <v>8.9969999999999999</v>
      </c>
      <c r="FC10" s="49">
        <v>66.263999999999996</v>
      </c>
      <c r="FD10" s="49">
        <v>64.319000000000003</v>
      </c>
      <c r="FE10" s="49">
        <v>82.206000000000003</v>
      </c>
      <c r="FF10" s="49">
        <v>80.831000000000003</v>
      </c>
      <c r="FG10" s="49">
        <v>1.103</v>
      </c>
      <c r="FH10" s="49">
        <v>1.1539999999999999</v>
      </c>
      <c r="FI10" s="48">
        <v>0.99199999999999999</v>
      </c>
      <c r="FJ10" s="48">
        <v>0.98899999999999999</v>
      </c>
      <c r="FK10" s="48">
        <v>0</v>
      </c>
      <c r="FL10" s="49">
        <v>83</v>
      </c>
      <c r="FM10" s="48">
        <v>2.89</v>
      </c>
      <c r="FN10" s="48">
        <v>1.02</v>
      </c>
      <c r="FO10" s="48">
        <v>5.38</v>
      </c>
      <c r="FP10" s="49">
        <v>3.85</v>
      </c>
      <c r="FQ10" s="48">
        <v>4.4000000000000004</v>
      </c>
      <c r="FR10" s="48">
        <v>5.0999999999999996</v>
      </c>
      <c r="FS10" s="48">
        <v>6.7255000000000003</v>
      </c>
      <c r="FT10" s="48">
        <v>1060.5999999999999</v>
      </c>
      <c r="FU10" s="49">
        <v>7.74</v>
      </c>
      <c r="FV10" s="49">
        <v>23.59</v>
      </c>
      <c r="FW10" s="48">
        <v>3094</v>
      </c>
      <c r="FX10" s="48">
        <v>160000</v>
      </c>
      <c r="FY10" s="48">
        <v>163300</v>
      </c>
      <c r="FZ10" s="48">
        <v>43.177</v>
      </c>
      <c r="GA10" s="48">
        <v>42.551000000000002</v>
      </c>
      <c r="GB10" s="49">
        <v>2202.9</v>
      </c>
      <c r="GC10" s="48">
        <v>2106.4</v>
      </c>
      <c r="GD10" s="49">
        <v>2305.5</v>
      </c>
      <c r="GE10" s="48">
        <v>2468.8000000000002</v>
      </c>
      <c r="GF10" s="48">
        <v>1339.4219000000001</v>
      </c>
      <c r="GG10" s="49">
        <v>31</v>
      </c>
      <c r="GH10" s="49">
        <v>30.7</v>
      </c>
      <c r="GI10" s="48">
        <v>46</v>
      </c>
      <c r="GJ10" s="48">
        <v>51.7</v>
      </c>
      <c r="GK10" s="49">
        <v>97.5</v>
      </c>
      <c r="GL10" s="48">
        <v>113.9</v>
      </c>
      <c r="GM10" s="49">
        <v>0</v>
      </c>
      <c r="GN10" s="49">
        <v>24.024999999999999</v>
      </c>
      <c r="GO10" s="49">
        <v>113.07</v>
      </c>
      <c r="GP10" s="49">
        <v>0</v>
      </c>
      <c r="GQ10" s="49">
        <v>5.2510000000000003</v>
      </c>
      <c r="GR10" s="49">
        <v>0</v>
      </c>
      <c r="GS10" s="49">
        <v>6.0179999999999998</v>
      </c>
      <c r="GT10" s="49">
        <v>0</v>
      </c>
      <c r="GU10" s="49">
        <v>5.2510000000000003</v>
      </c>
      <c r="GV10" s="49">
        <v>0</v>
      </c>
      <c r="GW10" s="48">
        <v>11.581</v>
      </c>
      <c r="GX10" s="48">
        <v>16.170000000000002</v>
      </c>
      <c r="GY10" s="49">
        <v>0</v>
      </c>
      <c r="GZ10" s="49">
        <v>0</v>
      </c>
      <c r="HA10" s="49">
        <v>0</v>
      </c>
      <c r="HB10" s="48">
        <v>0</v>
      </c>
      <c r="HC10" s="48">
        <v>32.253999999999998</v>
      </c>
      <c r="HD10" s="48">
        <v>90</v>
      </c>
      <c r="HE10" s="49">
        <v>0</v>
      </c>
      <c r="HF10" s="49">
        <v>0</v>
      </c>
      <c r="HG10" s="48">
        <v>74.09</v>
      </c>
      <c r="HH10" s="48">
        <v>80.7</v>
      </c>
      <c r="HI10" s="49">
        <v>0</v>
      </c>
      <c r="HJ10" s="49">
        <v>0</v>
      </c>
      <c r="HK10" s="49">
        <v>0</v>
      </c>
      <c r="HL10" s="48">
        <v>52</v>
      </c>
      <c r="HM10" s="49">
        <v>50</v>
      </c>
      <c r="HN10" s="49">
        <v>64</v>
      </c>
      <c r="HO10" s="49">
        <v>58</v>
      </c>
      <c r="HP10" s="49">
        <v>60</v>
      </c>
      <c r="HQ10" s="49">
        <v>58</v>
      </c>
      <c r="HR10" s="49">
        <v>52</v>
      </c>
      <c r="HS10" s="49">
        <v>70</v>
      </c>
      <c r="HT10" s="49">
        <v>-0.27500000000000002</v>
      </c>
      <c r="HU10" s="49">
        <v>0</v>
      </c>
      <c r="HV10" s="48">
        <v>1.1459999999999999</v>
      </c>
      <c r="HW10" s="49">
        <v>36.18</v>
      </c>
      <c r="HX10" s="48">
        <v>46.1</v>
      </c>
      <c r="HY10" s="3"/>
      <c r="HZ10" s="3"/>
      <c r="IA10" s="49">
        <v>2.899</v>
      </c>
      <c r="IB10" s="48">
        <v>101</v>
      </c>
      <c r="IC10" s="48">
        <v>20.477</v>
      </c>
      <c r="ID10" s="49">
        <v>-0.113</v>
      </c>
      <c r="IE10" s="48">
        <v>-2.7E-2</v>
      </c>
      <c r="IF10" s="49">
        <v>814.7</v>
      </c>
      <c r="IG10" s="48">
        <v>703.8</v>
      </c>
      <c r="IH10" s="48">
        <v>832.8</v>
      </c>
      <c r="II10" s="48">
        <v>734.6</v>
      </c>
      <c r="IJ10" s="48">
        <v>0.02</v>
      </c>
      <c r="IK10" s="48">
        <v>-0.20200000000000001</v>
      </c>
      <c r="IL10" s="49">
        <v>123.633</v>
      </c>
      <c r="IM10" s="49">
        <v>123.633</v>
      </c>
      <c r="IN10" s="49">
        <v>30.847999999999999</v>
      </c>
      <c r="IO10" s="48">
        <v>0.996</v>
      </c>
      <c r="IP10" s="48">
        <v>12.59</v>
      </c>
      <c r="IQ10" s="48">
        <v>0</v>
      </c>
      <c r="IR10" s="48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C10B9-4E4D-41C9-A789-8C36141936E4}">
  <sheetPr codeName="Sheet20"/>
  <dimension ref="B1:IR9"/>
  <sheetViews>
    <sheetView tabSelected="1"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356</v>
      </c>
      <c r="C1" t="s">
        <v>410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138</v>
      </c>
      <c r="L5" s="1" t="s">
        <v>139</v>
      </c>
      <c r="M5" s="1" t="s">
        <v>140</v>
      </c>
      <c r="N5" s="1" t="s">
        <v>141</v>
      </c>
      <c r="O5" s="1" t="s">
        <v>142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65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143</v>
      </c>
      <c r="AI5" s="1" t="s">
        <v>144</v>
      </c>
      <c r="AJ5" s="1" t="s">
        <v>145</v>
      </c>
      <c r="AK5" s="1" t="s">
        <v>146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268</v>
      </c>
      <c r="AQ5" s="1" t="s">
        <v>269</v>
      </c>
      <c r="AR5" s="1" t="s">
        <v>147</v>
      </c>
      <c r="AS5" s="1" t="s">
        <v>148</v>
      </c>
      <c r="AT5" s="1" t="s">
        <v>149</v>
      </c>
      <c r="AU5" s="1" t="s">
        <v>59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150</v>
      </c>
      <c r="BB5" s="1" t="s">
        <v>151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50</v>
      </c>
      <c r="BJ5" s="1" t="s">
        <v>51</v>
      </c>
      <c r="BK5" s="1" t="s">
        <v>52</v>
      </c>
      <c r="BL5" s="1" t="s">
        <v>53</v>
      </c>
      <c r="BM5" s="1" t="s">
        <v>54</v>
      </c>
      <c r="BN5" s="1" t="s">
        <v>60</v>
      </c>
      <c r="BO5" s="1" t="s">
        <v>61</v>
      </c>
      <c r="BP5" s="1" t="s">
        <v>62</v>
      </c>
      <c r="BQ5" s="1" t="s">
        <v>63</v>
      </c>
      <c r="BR5" s="1" t="s">
        <v>66</v>
      </c>
      <c r="BS5" s="1" t="s">
        <v>67</v>
      </c>
      <c r="BT5" s="1" t="s">
        <v>68</v>
      </c>
      <c r="BU5" s="1" t="s">
        <v>69</v>
      </c>
      <c r="BV5" s="1" t="s">
        <v>70</v>
      </c>
      <c r="BW5" s="1" t="s">
        <v>71</v>
      </c>
      <c r="BX5" s="1" t="s">
        <v>72</v>
      </c>
      <c r="BY5" s="1" t="s">
        <v>73</v>
      </c>
      <c r="BZ5" s="1" t="s">
        <v>74</v>
      </c>
      <c r="CA5" s="1" t="s">
        <v>75</v>
      </c>
      <c r="CB5" s="1" t="s">
        <v>76</v>
      </c>
      <c r="CC5" s="1" t="s">
        <v>77</v>
      </c>
      <c r="CD5" s="1" t="s">
        <v>78</v>
      </c>
      <c r="CE5" s="1" t="s">
        <v>79</v>
      </c>
      <c r="CF5" s="1" t="s">
        <v>80</v>
      </c>
      <c r="CG5" s="1" t="s">
        <v>81</v>
      </c>
      <c r="CH5" s="1" t="s">
        <v>82</v>
      </c>
      <c r="CI5" s="1" t="s">
        <v>83</v>
      </c>
      <c r="CJ5" s="1" t="s">
        <v>84</v>
      </c>
      <c r="CK5" s="1" t="s">
        <v>85</v>
      </c>
      <c r="CL5" s="1" t="s">
        <v>86</v>
      </c>
      <c r="CM5" s="1" t="s">
        <v>87</v>
      </c>
      <c r="CN5" s="1" t="s">
        <v>88</v>
      </c>
      <c r="CO5" s="1" t="s">
        <v>89</v>
      </c>
      <c r="CP5" s="1" t="s">
        <v>93</v>
      </c>
      <c r="CQ5" s="1" t="s">
        <v>94</v>
      </c>
      <c r="CR5" s="1" t="s">
        <v>95</v>
      </c>
      <c r="CS5" s="1" t="s">
        <v>96</v>
      </c>
      <c r="CT5" s="1" t="s">
        <v>97</v>
      </c>
      <c r="CU5" s="1" t="s">
        <v>98</v>
      </c>
      <c r="CV5" s="1" t="s">
        <v>99</v>
      </c>
      <c r="CW5" s="1" t="s">
        <v>100</v>
      </c>
      <c r="CX5" s="1" t="s">
        <v>101</v>
      </c>
      <c r="CY5" s="1" t="s">
        <v>102</v>
      </c>
      <c r="CZ5" s="1" t="s">
        <v>103</v>
      </c>
      <c r="DA5" s="1" t="s">
        <v>104</v>
      </c>
      <c r="DB5" s="1" t="s">
        <v>105</v>
      </c>
      <c r="DC5" s="1" t="s">
        <v>106</v>
      </c>
      <c r="DD5" s="1" t="s">
        <v>107</v>
      </c>
      <c r="DE5" s="1" t="s">
        <v>108</v>
      </c>
      <c r="DF5" s="1" t="s">
        <v>109</v>
      </c>
      <c r="DG5" s="1" t="s">
        <v>110</v>
      </c>
      <c r="DH5" s="1" t="s">
        <v>111</v>
      </c>
      <c r="DI5" s="1" t="s">
        <v>112</v>
      </c>
      <c r="DJ5" s="1" t="s">
        <v>113</v>
      </c>
      <c r="DK5" s="1" t="s">
        <v>114</v>
      </c>
      <c r="DL5" s="1" t="s">
        <v>115</v>
      </c>
      <c r="DM5" s="1" t="s">
        <v>116</v>
      </c>
      <c r="DN5" s="1" t="s">
        <v>117</v>
      </c>
      <c r="DO5" s="1" t="s">
        <v>118</v>
      </c>
      <c r="DP5" s="1" t="s">
        <v>119</v>
      </c>
      <c r="DQ5" s="1" t="s">
        <v>120</v>
      </c>
      <c r="DR5" s="1" t="s">
        <v>121</v>
      </c>
      <c r="DS5" s="1" t="s">
        <v>122</v>
      </c>
      <c r="DT5" s="1" t="s">
        <v>152</v>
      </c>
      <c r="DU5" s="1" t="s">
        <v>153</v>
      </c>
      <c r="DV5" s="1" t="s">
        <v>154</v>
      </c>
      <c r="DW5" s="1" t="s">
        <v>155</v>
      </c>
      <c r="DX5" s="1" t="s">
        <v>156</v>
      </c>
      <c r="DY5" s="1" t="s">
        <v>157</v>
      </c>
      <c r="DZ5" s="1" t="s">
        <v>158</v>
      </c>
      <c r="EA5" s="1" t="s">
        <v>159</v>
      </c>
      <c r="EB5" s="1" t="s">
        <v>160</v>
      </c>
      <c r="EC5" s="1" t="s">
        <v>161</v>
      </c>
      <c r="ED5" s="1" t="s">
        <v>162</v>
      </c>
      <c r="EE5" s="1" t="s">
        <v>163</v>
      </c>
      <c r="EF5" s="1" t="s">
        <v>164</v>
      </c>
      <c r="EG5" s="1" t="s">
        <v>165</v>
      </c>
      <c r="EH5" s="1" t="s">
        <v>166</v>
      </c>
      <c r="EI5" s="1" t="s">
        <v>167</v>
      </c>
      <c r="EJ5" s="1" t="s">
        <v>123</v>
      </c>
      <c r="EK5" s="1" t="s">
        <v>124</v>
      </c>
      <c r="EL5" s="1" t="s">
        <v>264</v>
      </c>
      <c r="EM5" s="1" t="s">
        <v>168</v>
      </c>
      <c r="EN5" s="1" t="s">
        <v>125</v>
      </c>
      <c r="EO5" s="1" t="s">
        <v>126</v>
      </c>
      <c r="EP5" s="1" t="s">
        <v>127</v>
      </c>
      <c r="EQ5" s="1" t="s">
        <v>128</v>
      </c>
      <c r="ER5" s="1" t="s">
        <v>129</v>
      </c>
      <c r="ES5" s="1" t="s">
        <v>130</v>
      </c>
      <c r="ET5" s="1" t="s">
        <v>131</v>
      </c>
      <c r="EU5" s="1" t="s">
        <v>169</v>
      </c>
      <c r="EV5" s="1" t="s">
        <v>132</v>
      </c>
      <c r="EW5" s="1" t="s">
        <v>133</v>
      </c>
      <c r="EX5" s="1" t="s">
        <v>170</v>
      </c>
      <c r="EY5" s="1" t="s">
        <v>171</v>
      </c>
      <c r="EZ5" s="1" t="s">
        <v>172</v>
      </c>
      <c r="FA5" s="1" t="s">
        <v>173</v>
      </c>
      <c r="FB5" s="1" t="s">
        <v>174</v>
      </c>
      <c r="FC5" s="1" t="s">
        <v>175</v>
      </c>
      <c r="FD5" s="1" t="s">
        <v>176</v>
      </c>
      <c r="FE5" s="1" t="s">
        <v>177</v>
      </c>
      <c r="FF5" s="1" t="s">
        <v>178</v>
      </c>
      <c r="FG5" s="1" t="s">
        <v>260</v>
      </c>
      <c r="FH5" s="1" t="s">
        <v>261</v>
      </c>
      <c r="FI5" s="1" t="s">
        <v>262</v>
      </c>
      <c r="FJ5" s="1" t="s">
        <v>263</v>
      </c>
      <c r="FK5" s="1" t="s">
        <v>179</v>
      </c>
      <c r="FL5" s="1" t="s">
        <v>180</v>
      </c>
      <c r="FM5" s="1" t="s">
        <v>181</v>
      </c>
      <c r="FN5" s="1" t="s">
        <v>182</v>
      </c>
      <c r="FO5" s="1" t="s">
        <v>183</v>
      </c>
      <c r="FP5" s="1" t="s">
        <v>184</v>
      </c>
      <c r="FQ5" s="1" t="s">
        <v>185</v>
      </c>
      <c r="FR5" s="1" t="s">
        <v>186</v>
      </c>
      <c r="FS5" s="1" t="s">
        <v>187</v>
      </c>
      <c r="FT5" s="1" t="s">
        <v>188</v>
      </c>
      <c r="FU5" s="1" t="s">
        <v>189</v>
      </c>
      <c r="FV5" s="1" t="s">
        <v>190</v>
      </c>
      <c r="FW5" s="1" t="s">
        <v>191</v>
      </c>
      <c r="FX5" s="1" t="s">
        <v>192</v>
      </c>
      <c r="FY5" s="1" t="s">
        <v>193</v>
      </c>
      <c r="FZ5" s="1" t="s">
        <v>194</v>
      </c>
      <c r="GA5" s="1" t="s">
        <v>195</v>
      </c>
      <c r="GB5" s="1" t="s">
        <v>196</v>
      </c>
      <c r="GC5" s="1" t="s">
        <v>197</v>
      </c>
      <c r="GD5" s="1" t="s">
        <v>198</v>
      </c>
      <c r="GE5" s="1" t="s">
        <v>199</v>
      </c>
      <c r="GF5" s="1" t="s">
        <v>200</v>
      </c>
      <c r="GG5" s="1" t="s">
        <v>201</v>
      </c>
      <c r="GH5" s="1" t="s">
        <v>202</v>
      </c>
      <c r="GI5" s="1" t="s">
        <v>203</v>
      </c>
      <c r="GJ5" s="1" t="s">
        <v>204</v>
      </c>
      <c r="GK5" s="1" t="s">
        <v>205</v>
      </c>
      <c r="GL5" s="1" t="s">
        <v>206</v>
      </c>
      <c r="GM5" s="1" t="s">
        <v>207</v>
      </c>
      <c r="GN5" s="1" t="s">
        <v>208</v>
      </c>
      <c r="GO5" s="1" t="s">
        <v>209</v>
      </c>
      <c r="GP5" s="1" t="s">
        <v>210</v>
      </c>
      <c r="GQ5" s="1" t="s">
        <v>211</v>
      </c>
      <c r="GR5" s="1" t="s">
        <v>212</v>
      </c>
      <c r="GS5" s="1" t="s">
        <v>213</v>
      </c>
      <c r="GT5" s="1" t="s">
        <v>214</v>
      </c>
      <c r="GU5" s="1" t="s">
        <v>215</v>
      </c>
      <c r="GV5" s="1" t="s">
        <v>216</v>
      </c>
      <c r="GW5" s="1" t="s">
        <v>217</v>
      </c>
      <c r="GX5" s="1" t="s">
        <v>218</v>
      </c>
      <c r="GY5" s="1" t="s">
        <v>219</v>
      </c>
      <c r="GZ5" s="1" t="s">
        <v>220</v>
      </c>
      <c r="HA5" s="1" t="s">
        <v>221</v>
      </c>
      <c r="HB5" s="1" t="s">
        <v>222</v>
      </c>
      <c r="HC5" s="1" t="s">
        <v>223</v>
      </c>
      <c r="HD5" s="1" t="s">
        <v>224</v>
      </c>
      <c r="HE5" s="1" t="s">
        <v>225</v>
      </c>
      <c r="HF5" s="1" t="s">
        <v>226</v>
      </c>
      <c r="HG5" s="1" t="s">
        <v>227</v>
      </c>
      <c r="HH5" s="1" t="s">
        <v>228</v>
      </c>
      <c r="HI5" s="1" t="s">
        <v>229</v>
      </c>
      <c r="HJ5" s="1" t="s">
        <v>230</v>
      </c>
      <c r="HK5" s="1" t="s">
        <v>231</v>
      </c>
      <c r="HL5" s="1" t="s">
        <v>232</v>
      </c>
      <c r="HM5" s="1" t="s">
        <v>233</v>
      </c>
      <c r="HN5" s="1" t="s">
        <v>234</v>
      </c>
      <c r="HO5" s="1" t="s">
        <v>235</v>
      </c>
      <c r="HP5" s="1" t="s">
        <v>236</v>
      </c>
      <c r="HQ5" s="1" t="s">
        <v>237</v>
      </c>
      <c r="HR5" s="1" t="s">
        <v>238</v>
      </c>
      <c r="HS5" s="1" t="s">
        <v>239</v>
      </c>
      <c r="HT5" s="1" t="s">
        <v>240</v>
      </c>
      <c r="HU5" s="1" t="s">
        <v>241</v>
      </c>
      <c r="HV5" s="1" t="s">
        <v>242</v>
      </c>
      <c r="HW5" s="1" t="s">
        <v>243</v>
      </c>
      <c r="HX5" s="1" t="s">
        <v>244</v>
      </c>
      <c r="HY5" s="1" t="s">
        <v>245</v>
      </c>
      <c r="HZ5" s="1" t="s">
        <v>245</v>
      </c>
      <c r="IA5" s="1" t="s">
        <v>258</v>
      </c>
      <c r="IB5" s="1" t="s">
        <v>379</v>
      </c>
      <c r="IC5" s="1" t="s">
        <v>380</v>
      </c>
      <c r="ID5" s="1" t="s">
        <v>381</v>
      </c>
      <c r="IE5" s="1" t="s">
        <v>382</v>
      </c>
      <c r="IF5" s="1" t="s">
        <v>383</v>
      </c>
      <c r="IG5" s="1" t="s">
        <v>384</v>
      </c>
      <c r="IH5" s="1" t="s">
        <v>385</v>
      </c>
      <c r="II5" s="1" t="s">
        <v>386</v>
      </c>
      <c r="IJ5" s="1" t="s">
        <v>387</v>
      </c>
      <c r="IK5" s="1" t="s">
        <v>388</v>
      </c>
      <c r="IL5" s="1" t="s">
        <v>389</v>
      </c>
      <c r="IM5" s="1" t="s">
        <v>390</v>
      </c>
      <c r="IN5" s="1" t="s">
        <v>391</v>
      </c>
      <c r="IO5" s="1" t="s">
        <v>392</v>
      </c>
      <c r="IP5" s="1" t="s">
        <v>400</v>
      </c>
      <c r="IQ5" s="1" t="s">
        <v>401</v>
      </c>
      <c r="IR5" s="1" t="s">
        <v>402</v>
      </c>
    </row>
    <row r="6" spans="2:252" ht="15" customHeight="1" x14ac:dyDescent="0.25">
      <c r="B6" s="60" t="s">
        <v>427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2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2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2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2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2"/>
    </row>
    <row r="7" spans="2:252" x14ac:dyDescent="0.25">
      <c r="B7" s="2" t="s">
        <v>407</v>
      </c>
      <c r="C7" s="2" t="s">
        <v>41</v>
      </c>
      <c r="D7" s="57">
        <v>6.6858796296296293E-3</v>
      </c>
      <c r="E7" s="49">
        <v>577.65700000000004</v>
      </c>
      <c r="F7" s="48">
        <v>328.29</v>
      </c>
      <c r="G7" s="48">
        <v>5.91</v>
      </c>
      <c r="H7" s="49">
        <v>25.2</v>
      </c>
      <c r="I7" s="49">
        <v>2.73</v>
      </c>
      <c r="J7" s="49">
        <v>357</v>
      </c>
      <c r="K7" s="49">
        <v>6</v>
      </c>
      <c r="L7" s="49">
        <v>6</v>
      </c>
      <c r="M7" s="49">
        <v>4</v>
      </c>
      <c r="N7" s="49">
        <v>3</v>
      </c>
      <c r="O7" s="49">
        <v>3</v>
      </c>
      <c r="P7" s="48">
        <v>0.995</v>
      </c>
      <c r="Q7" s="48">
        <v>1.3440000000000001</v>
      </c>
      <c r="R7" s="49">
        <v>1.1100000000000001</v>
      </c>
      <c r="S7" s="48">
        <v>0.88600000000000001</v>
      </c>
      <c r="T7" s="48">
        <v>79.13</v>
      </c>
      <c r="U7" s="49">
        <v>61.045999999999999</v>
      </c>
      <c r="V7" s="49">
        <v>177.5</v>
      </c>
      <c r="W7" s="49">
        <v>162.5</v>
      </c>
      <c r="X7" s="49">
        <v>137.5</v>
      </c>
      <c r="Y7" s="49">
        <v>155</v>
      </c>
      <c r="Z7" s="48">
        <v>334.21</v>
      </c>
      <c r="AA7" s="48">
        <v>314.95</v>
      </c>
      <c r="AB7" s="48">
        <v>277.89999999999998</v>
      </c>
      <c r="AC7" s="48">
        <v>312.24</v>
      </c>
      <c r="AD7" s="48">
        <v>1.7390000000000001</v>
      </c>
      <c r="AE7" s="48">
        <v>1.8</v>
      </c>
      <c r="AF7" s="48">
        <v>1.74</v>
      </c>
      <c r="AG7" s="48">
        <v>1.772</v>
      </c>
      <c r="AH7" s="48">
        <v>62.16</v>
      </c>
      <c r="AI7" s="48">
        <v>59.55</v>
      </c>
      <c r="AJ7" s="48">
        <v>81.459999999999994</v>
      </c>
      <c r="AK7" s="48">
        <v>82.65</v>
      </c>
      <c r="AL7" s="48">
        <v>615.06600000000003</v>
      </c>
      <c r="AM7" s="48">
        <v>628.02800000000002</v>
      </c>
      <c r="AN7" s="48">
        <v>706.97900000000004</v>
      </c>
      <c r="AO7" s="48">
        <v>705.86800000000005</v>
      </c>
      <c r="AP7" s="49">
        <v>2.5630000000000002</v>
      </c>
      <c r="AQ7" s="49">
        <v>1.87</v>
      </c>
      <c r="AR7" s="48">
        <v>41.313000000000002</v>
      </c>
      <c r="AS7" s="48">
        <v>38.404000000000003</v>
      </c>
      <c r="AT7" s="49">
        <v>82</v>
      </c>
      <c r="AU7" s="48">
        <v>105</v>
      </c>
      <c r="AV7" s="48">
        <v>2.6459999999999999</v>
      </c>
      <c r="AW7" s="48">
        <v>5.2378999999999998</v>
      </c>
      <c r="AX7" s="48">
        <v>996.6</v>
      </c>
      <c r="AY7" s="49">
        <v>1.6</v>
      </c>
      <c r="AZ7" s="49">
        <v>5.61</v>
      </c>
      <c r="BA7" s="49">
        <v>66.3</v>
      </c>
      <c r="BB7" s="49">
        <v>66.900000000000006</v>
      </c>
      <c r="BC7" s="48">
        <v>7642</v>
      </c>
      <c r="BD7" s="48">
        <v>88.25</v>
      </c>
      <c r="BE7" s="48">
        <v>22.465</v>
      </c>
      <c r="BF7" s="48">
        <v>14.095000000000001</v>
      </c>
      <c r="BG7" s="49">
        <v>27.93</v>
      </c>
      <c r="BH7" s="49">
        <v>28.86</v>
      </c>
      <c r="BI7" s="48">
        <v>67.94</v>
      </c>
      <c r="BJ7" s="48">
        <v>83.962000000000003</v>
      </c>
      <c r="BK7" s="48">
        <v>66.245999999999995</v>
      </c>
      <c r="BL7" s="48">
        <v>81.686999999999998</v>
      </c>
      <c r="BM7" s="48">
        <v>81.114000000000004</v>
      </c>
      <c r="BN7" s="49">
        <v>120.42400000000001</v>
      </c>
      <c r="BO7" s="49">
        <v>126.29600000000001</v>
      </c>
      <c r="BP7" s="48">
        <v>120.52</v>
      </c>
      <c r="BQ7" s="48">
        <v>135.096</v>
      </c>
      <c r="BR7" s="48">
        <v>58.073</v>
      </c>
      <c r="BS7" s="49">
        <v>24</v>
      </c>
      <c r="BT7" s="49">
        <v>7447.4319999999998</v>
      </c>
      <c r="BU7" s="49">
        <v>81.632999999999996</v>
      </c>
      <c r="BV7" s="48">
        <v>63.353000000000002</v>
      </c>
      <c r="BW7" s="49">
        <v>63.569000000000003</v>
      </c>
      <c r="BX7" s="48">
        <v>64.832999999999998</v>
      </c>
      <c r="BY7" s="49">
        <v>1.5389999999999999</v>
      </c>
      <c r="BZ7" s="48">
        <v>2.9129999999999998</v>
      </c>
      <c r="CA7" s="49">
        <v>3.9940000000000002</v>
      </c>
      <c r="CB7" s="48">
        <v>3.1389999999999998</v>
      </c>
      <c r="CC7" s="49">
        <v>5.7930000000000001</v>
      </c>
      <c r="CD7" s="49">
        <v>2.403</v>
      </c>
      <c r="CE7" s="49">
        <v>3.8479999999999999</v>
      </c>
      <c r="CF7" s="49">
        <v>2.0859999999999999</v>
      </c>
      <c r="CG7" s="48">
        <v>13.446</v>
      </c>
      <c r="CH7" s="49">
        <v>10.029999999999999</v>
      </c>
      <c r="CI7" s="49">
        <v>4.2640000000000002</v>
      </c>
      <c r="CJ7" s="48">
        <v>3.512</v>
      </c>
      <c r="CK7" s="49">
        <v>1.466</v>
      </c>
      <c r="CL7" s="49">
        <v>0.1</v>
      </c>
      <c r="CM7" s="49">
        <v>2.6</v>
      </c>
      <c r="CN7" s="48">
        <v>0</v>
      </c>
      <c r="CO7" s="48">
        <v>0</v>
      </c>
      <c r="CP7" s="49">
        <v>91.83</v>
      </c>
      <c r="CQ7" s="49">
        <v>93.105999999999995</v>
      </c>
      <c r="CR7" s="48">
        <v>101.589</v>
      </c>
      <c r="CS7" s="48">
        <v>117.717</v>
      </c>
      <c r="CT7" s="48">
        <v>0.24</v>
      </c>
      <c r="CU7" s="49">
        <v>1.893</v>
      </c>
      <c r="CV7" s="48">
        <v>1.393</v>
      </c>
      <c r="CW7" s="48">
        <v>0.79900000000000004</v>
      </c>
      <c r="CX7" s="48">
        <v>1.498</v>
      </c>
      <c r="CY7" s="48">
        <v>0.59799999999999998</v>
      </c>
      <c r="CZ7" s="48">
        <v>0.89800000000000002</v>
      </c>
      <c r="DA7" s="49">
        <v>1.198</v>
      </c>
      <c r="DB7" s="48">
        <v>1.399</v>
      </c>
      <c r="DC7" s="49">
        <v>8.0000000000000002E-3</v>
      </c>
      <c r="DD7" s="49">
        <v>0</v>
      </c>
      <c r="DE7" s="48">
        <v>0.34</v>
      </c>
      <c r="DF7" s="48">
        <v>0.192</v>
      </c>
      <c r="DG7" s="49">
        <v>1.0820000000000001</v>
      </c>
      <c r="DH7" s="48">
        <v>1.8009999999999999</v>
      </c>
      <c r="DI7" s="48">
        <v>1.175</v>
      </c>
      <c r="DJ7" s="49">
        <v>0.48199999999999998</v>
      </c>
      <c r="DK7" s="48">
        <v>1.123</v>
      </c>
      <c r="DL7" s="49">
        <v>0.61199999999999999</v>
      </c>
      <c r="DM7" s="49">
        <v>0.79100000000000004</v>
      </c>
      <c r="DN7" s="49">
        <v>0.80100000000000005</v>
      </c>
      <c r="DO7" s="48">
        <v>0.71799999999999997</v>
      </c>
      <c r="DP7" s="48">
        <v>69.28</v>
      </c>
      <c r="DQ7" s="48">
        <v>64.135999999999996</v>
      </c>
      <c r="DR7" s="48">
        <v>54.991</v>
      </c>
      <c r="DS7" s="48">
        <v>55.37</v>
      </c>
      <c r="DT7" s="48">
        <v>2.06</v>
      </c>
      <c r="DU7" s="48">
        <v>2.3199999999999998</v>
      </c>
      <c r="DV7" s="48">
        <v>6.5</v>
      </c>
      <c r="DW7" s="48">
        <v>5</v>
      </c>
      <c r="DX7" s="48">
        <v>2.31</v>
      </c>
      <c r="DY7" s="48">
        <v>2.4</v>
      </c>
      <c r="DZ7" s="48">
        <v>6.12</v>
      </c>
      <c r="EA7" s="48">
        <v>4.78</v>
      </c>
      <c r="EB7" s="48">
        <v>17.39</v>
      </c>
      <c r="EC7" s="48">
        <v>16.36</v>
      </c>
      <c r="ED7" s="48">
        <v>13.07</v>
      </c>
      <c r="EE7" s="48">
        <v>14.2</v>
      </c>
      <c r="EF7" s="49">
        <v>78.239999999999995</v>
      </c>
      <c r="EG7" s="49">
        <v>78.92</v>
      </c>
      <c r="EH7" s="49">
        <v>74.31</v>
      </c>
      <c r="EI7" s="49">
        <v>76.02</v>
      </c>
      <c r="EJ7" s="49">
        <v>6.9850000000000003</v>
      </c>
      <c r="EK7" s="48">
        <v>62.209000000000003</v>
      </c>
      <c r="EL7" s="49">
        <v>1.4</v>
      </c>
      <c r="EM7" s="49">
        <v>0.75</v>
      </c>
      <c r="EN7" s="48">
        <v>1.17</v>
      </c>
      <c r="EO7" s="48">
        <v>1.1599999999999999</v>
      </c>
      <c r="EP7" s="48">
        <v>-105.054</v>
      </c>
      <c r="EQ7" s="49">
        <v>-1.605</v>
      </c>
      <c r="ER7" s="48">
        <v>107.81399999999999</v>
      </c>
      <c r="ES7" s="48">
        <v>1.212</v>
      </c>
      <c r="ET7" s="48">
        <v>1.327</v>
      </c>
      <c r="EU7" s="48">
        <v>1.173</v>
      </c>
      <c r="EV7" s="48">
        <v>7.5620000000000003</v>
      </c>
      <c r="EW7" s="48">
        <v>3.9390000000000001</v>
      </c>
      <c r="EX7" s="48">
        <v>-220.88</v>
      </c>
      <c r="EY7" s="49">
        <v>7.8209999999999997</v>
      </c>
      <c r="EZ7" s="48">
        <v>0</v>
      </c>
      <c r="FA7" s="49">
        <v>0</v>
      </c>
      <c r="FB7" s="48">
        <v>8.7769999999999992</v>
      </c>
      <c r="FC7" s="48">
        <v>61.320999999999998</v>
      </c>
      <c r="FD7" s="48">
        <v>60.143000000000001</v>
      </c>
      <c r="FE7" s="48">
        <v>70.198999999999998</v>
      </c>
      <c r="FF7" s="48">
        <v>71.64</v>
      </c>
      <c r="FG7" s="49">
        <v>0.92900000000000005</v>
      </c>
      <c r="FH7" s="49">
        <v>0.92800000000000005</v>
      </c>
      <c r="FI7" s="49">
        <v>0.99199999999999999</v>
      </c>
      <c r="FJ7" s="49">
        <v>0.98799999999999999</v>
      </c>
      <c r="FK7" s="49">
        <v>0.40200000000000002</v>
      </c>
      <c r="FL7" s="49">
        <v>83</v>
      </c>
      <c r="FM7" s="49">
        <v>3.27</v>
      </c>
      <c r="FN7" s="49">
        <v>1.1200000000000001</v>
      </c>
      <c r="FO7" s="48">
        <v>5.4</v>
      </c>
      <c r="FP7" s="49">
        <v>0.05</v>
      </c>
      <c r="FQ7" s="49">
        <v>2.15</v>
      </c>
      <c r="FR7" s="49">
        <v>4.8499999999999996</v>
      </c>
      <c r="FS7" s="49">
        <v>6.7409999999999997</v>
      </c>
      <c r="FT7" s="48">
        <v>1062.0999999999999</v>
      </c>
      <c r="FU7" s="48">
        <v>7.4</v>
      </c>
      <c r="FV7" s="48">
        <v>5.9</v>
      </c>
      <c r="FW7" s="49">
        <v>3257</v>
      </c>
      <c r="FX7" s="49">
        <v>166700</v>
      </c>
      <c r="FY7" s="49">
        <v>169400</v>
      </c>
      <c r="FZ7" s="49">
        <v>44.639000000000003</v>
      </c>
      <c r="GA7" s="49">
        <v>43.573999999999998</v>
      </c>
      <c r="GB7" s="48">
        <v>2117.4</v>
      </c>
      <c r="GC7" s="48">
        <v>2108.1999999999998</v>
      </c>
      <c r="GD7" s="48">
        <v>2146.6</v>
      </c>
      <c r="GE7" s="48">
        <v>2148.1</v>
      </c>
      <c r="GF7" s="48">
        <v>1172.3125</v>
      </c>
      <c r="GG7" s="49">
        <v>32</v>
      </c>
      <c r="GH7" s="49">
        <v>32.299999999999997</v>
      </c>
      <c r="GI7" s="49">
        <v>65.400000000000006</v>
      </c>
      <c r="GJ7" s="49">
        <v>69.8</v>
      </c>
      <c r="GK7" s="49">
        <v>95</v>
      </c>
      <c r="GL7" s="49">
        <v>115</v>
      </c>
      <c r="GM7" s="49">
        <v>0</v>
      </c>
      <c r="GN7" s="48">
        <v>21.088999999999999</v>
      </c>
      <c r="GO7" s="48">
        <v>107.81399999999999</v>
      </c>
      <c r="GP7" s="49">
        <v>0</v>
      </c>
      <c r="GQ7" s="49">
        <v>3.7759999999999998</v>
      </c>
      <c r="GR7" s="49">
        <v>0</v>
      </c>
      <c r="GS7" s="49">
        <v>4.0119999999999996</v>
      </c>
      <c r="GT7" s="49">
        <v>0</v>
      </c>
      <c r="GU7" s="49">
        <v>3.8940000000000001</v>
      </c>
      <c r="GV7" s="49">
        <v>0</v>
      </c>
      <c r="GW7" s="48">
        <v>12.792999999999999</v>
      </c>
      <c r="GX7" s="49">
        <v>20.384</v>
      </c>
      <c r="GY7" s="49">
        <v>0</v>
      </c>
      <c r="GZ7" s="49">
        <v>0</v>
      </c>
      <c r="HA7" s="49">
        <v>0</v>
      </c>
      <c r="HB7" s="49">
        <v>1</v>
      </c>
      <c r="HC7" s="49">
        <v>39.734000000000002</v>
      </c>
      <c r="HD7" s="49">
        <v>90</v>
      </c>
      <c r="HE7" s="49">
        <v>0</v>
      </c>
      <c r="HF7" s="49">
        <v>0</v>
      </c>
      <c r="HG7" s="49">
        <v>85.32</v>
      </c>
      <c r="HH7" s="48">
        <v>80.91</v>
      </c>
      <c r="HI7" s="49">
        <v>0</v>
      </c>
      <c r="HJ7" s="49">
        <v>0</v>
      </c>
      <c r="HK7" s="49">
        <v>0</v>
      </c>
      <c r="HL7" s="49">
        <v>61</v>
      </c>
      <c r="HM7" s="49">
        <v>52</v>
      </c>
      <c r="HN7" s="49">
        <v>64</v>
      </c>
      <c r="HO7" s="48">
        <v>57</v>
      </c>
      <c r="HP7" s="48">
        <v>59</v>
      </c>
      <c r="HQ7" s="49">
        <v>58</v>
      </c>
      <c r="HR7" s="49">
        <v>53</v>
      </c>
      <c r="HS7" s="48">
        <v>62</v>
      </c>
      <c r="HT7" s="48">
        <v>-0.27400000000000002</v>
      </c>
      <c r="HU7" s="49">
        <v>0</v>
      </c>
      <c r="HV7" s="48">
        <v>1.3109999999999999</v>
      </c>
      <c r="HW7" s="49">
        <v>35.97</v>
      </c>
      <c r="HX7" s="48">
        <v>43.22</v>
      </c>
      <c r="HY7" s="3"/>
      <c r="HZ7" s="3"/>
      <c r="IA7" s="48">
        <v>2.7320000000000002</v>
      </c>
      <c r="IB7" s="48">
        <v>98</v>
      </c>
      <c r="IC7" s="48">
        <v>19.013999999999999</v>
      </c>
      <c r="ID7" s="49">
        <v>-0.16600000000000001</v>
      </c>
      <c r="IE7" s="48">
        <v>-3.5000000000000003E-2</v>
      </c>
      <c r="IF7" s="48">
        <v>792</v>
      </c>
      <c r="IG7" s="48">
        <v>671.4</v>
      </c>
      <c r="IH7" s="48">
        <v>823.8</v>
      </c>
      <c r="II7" s="48">
        <v>699.8</v>
      </c>
      <c r="IJ7" s="48">
        <v>6.6000000000000003E-2</v>
      </c>
      <c r="IK7" s="49">
        <v>-0.221</v>
      </c>
      <c r="IL7" s="49">
        <v>430.42399999999998</v>
      </c>
      <c r="IM7" s="49">
        <v>430.66399999999999</v>
      </c>
      <c r="IN7" s="48">
        <v>28.443999999999999</v>
      </c>
      <c r="IO7" s="48">
        <v>1.244</v>
      </c>
      <c r="IP7" s="49">
        <v>12.58</v>
      </c>
      <c r="IQ7" s="49">
        <v>8.9999999999999993E-3</v>
      </c>
      <c r="IR7" s="49">
        <v>6.0000000000000001E-3</v>
      </c>
    </row>
    <row r="8" spans="2:252" x14ac:dyDescent="0.25">
      <c r="B8" s="2" t="s">
        <v>407</v>
      </c>
      <c r="C8" s="58" t="s">
        <v>42</v>
      </c>
      <c r="D8" s="59">
        <v>2.5067129629629628E-3</v>
      </c>
      <c r="E8" s="48">
        <v>216.62</v>
      </c>
      <c r="F8" s="49">
        <v>331.45</v>
      </c>
      <c r="G8" s="49">
        <v>5.99</v>
      </c>
      <c r="H8" s="48">
        <v>23.7</v>
      </c>
      <c r="I8" s="48">
        <v>0</v>
      </c>
      <c r="J8" s="48">
        <v>12.2</v>
      </c>
      <c r="K8" s="49">
        <v>6</v>
      </c>
      <c r="L8" s="49">
        <v>6</v>
      </c>
      <c r="M8" s="49">
        <v>4</v>
      </c>
      <c r="N8" s="49">
        <v>3</v>
      </c>
      <c r="O8" s="49">
        <v>3</v>
      </c>
      <c r="P8" s="48">
        <v>1.0629999999999999</v>
      </c>
      <c r="Q8" s="49">
        <v>1.9379999999999999</v>
      </c>
      <c r="R8" s="48">
        <v>1.006</v>
      </c>
      <c r="S8" s="48">
        <v>0.90800000000000003</v>
      </c>
      <c r="T8" s="49">
        <v>87.25</v>
      </c>
      <c r="U8" s="48">
        <v>60.533999999999999</v>
      </c>
      <c r="V8" s="48">
        <v>250</v>
      </c>
      <c r="W8" s="48">
        <v>240</v>
      </c>
      <c r="X8" s="48">
        <v>230</v>
      </c>
      <c r="Y8" s="48">
        <v>285</v>
      </c>
      <c r="Z8" s="49">
        <v>429.2</v>
      </c>
      <c r="AA8" s="49">
        <v>417.51</v>
      </c>
      <c r="AB8" s="49">
        <v>380.88</v>
      </c>
      <c r="AC8" s="49">
        <v>426.63</v>
      </c>
      <c r="AD8" s="48">
        <v>1.7689999999999999</v>
      </c>
      <c r="AE8" s="48">
        <v>1.8129999999999999</v>
      </c>
      <c r="AF8" s="48">
        <v>1.821</v>
      </c>
      <c r="AG8" s="48">
        <v>1.8440000000000001</v>
      </c>
      <c r="AH8" s="48">
        <v>70.38</v>
      </c>
      <c r="AI8" s="48">
        <v>67.31</v>
      </c>
      <c r="AJ8" s="48">
        <v>98.02</v>
      </c>
      <c r="AK8" s="48">
        <v>100.51</v>
      </c>
      <c r="AL8" s="48">
        <v>626.94500000000005</v>
      </c>
      <c r="AM8" s="48">
        <v>638.69299999999998</v>
      </c>
      <c r="AN8" s="48">
        <v>747.572</v>
      </c>
      <c r="AO8" s="49">
        <v>738.10500000000002</v>
      </c>
      <c r="AP8" s="48">
        <v>2.5550000000000002</v>
      </c>
      <c r="AQ8" s="48">
        <v>1.863</v>
      </c>
      <c r="AR8" s="49">
        <v>41.795000000000002</v>
      </c>
      <c r="AS8" s="48">
        <v>39.667000000000002</v>
      </c>
      <c r="AT8" s="49">
        <v>82</v>
      </c>
      <c r="AU8" s="48">
        <v>107</v>
      </c>
      <c r="AV8" s="48">
        <v>2.5514999999999999</v>
      </c>
      <c r="AW8" s="48">
        <v>5.1951999999999998</v>
      </c>
      <c r="AX8" s="49">
        <v>998.4</v>
      </c>
      <c r="AY8" s="48">
        <v>1.43</v>
      </c>
      <c r="AZ8" s="48">
        <v>5.67</v>
      </c>
      <c r="BA8" s="48">
        <v>108.92400000000001</v>
      </c>
      <c r="BB8" s="48">
        <v>108.92</v>
      </c>
      <c r="BC8" s="48">
        <v>7803</v>
      </c>
      <c r="BD8" s="48">
        <v>89</v>
      </c>
      <c r="BE8" s="48">
        <v>23.21</v>
      </c>
      <c r="BF8" s="48">
        <v>14.16</v>
      </c>
      <c r="BG8" s="48">
        <v>27.1</v>
      </c>
      <c r="BH8" s="48">
        <v>26.42</v>
      </c>
      <c r="BI8" s="3"/>
      <c r="BJ8" s="3"/>
      <c r="BK8" s="3"/>
      <c r="BL8" s="3"/>
      <c r="BM8" s="3"/>
      <c r="BN8" s="48">
        <v>92.6</v>
      </c>
      <c r="BO8" s="48">
        <v>94.183999999999997</v>
      </c>
      <c r="BP8" s="48">
        <v>118.104</v>
      </c>
      <c r="BQ8" s="48">
        <v>138.91999999999999</v>
      </c>
      <c r="BR8" s="3"/>
      <c r="BS8" s="48">
        <v>23.3</v>
      </c>
      <c r="BT8" s="48">
        <v>7344.9179999999997</v>
      </c>
      <c r="BU8" s="48">
        <v>80.468999999999994</v>
      </c>
      <c r="BV8" s="49">
        <v>69.049000000000007</v>
      </c>
      <c r="BW8" s="48">
        <v>54.552</v>
      </c>
      <c r="BX8" s="49">
        <v>65.975999999999999</v>
      </c>
      <c r="BY8" s="48">
        <v>1.4339999999999999</v>
      </c>
      <c r="BZ8" s="49">
        <v>3.089</v>
      </c>
      <c r="CA8" s="48">
        <v>3.1379999999999999</v>
      </c>
      <c r="CB8" s="48">
        <v>3.6179999999999999</v>
      </c>
      <c r="CC8" s="48">
        <v>5.7530000000000001</v>
      </c>
      <c r="CD8" s="48">
        <v>2.3570000000000002</v>
      </c>
      <c r="CE8" s="48">
        <v>3.7829999999999999</v>
      </c>
      <c r="CF8" s="48">
        <v>2.0699999999999998</v>
      </c>
      <c r="CG8" s="48">
        <v>13.67</v>
      </c>
      <c r="CH8" s="48">
        <v>13.513</v>
      </c>
      <c r="CI8" s="48">
        <v>3.8559999999999999</v>
      </c>
      <c r="CJ8" s="49">
        <v>3.5139999999999998</v>
      </c>
      <c r="CK8" s="48">
        <v>1.4</v>
      </c>
      <c r="CL8" s="48">
        <v>0</v>
      </c>
      <c r="CM8" s="48">
        <v>0.7</v>
      </c>
      <c r="CN8" s="49">
        <v>0.8</v>
      </c>
      <c r="CO8" s="49">
        <v>0.8</v>
      </c>
      <c r="CP8" s="48">
        <v>87.201999999999998</v>
      </c>
      <c r="CQ8" s="48">
        <v>88.102000000000004</v>
      </c>
      <c r="CR8" s="48">
        <v>108.127</v>
      </c>
      <c r="CS8" s="48">
        <v>130.11000000000001</v>
      </c>
      <c r="CT8" s="49">
        <v>0.48099999999999998</v>
      </c>
      <c r="CU8" s="48">
        <v>1.4970000000000001</v>
      </c>
      <c r="CV8" s="49">
        <v>1.8</v>
      </c>
      <c r="CW8" s="48">
        <v>1.101</v>
      </c>
      <c r="CX8" s="49">
        <v>1.9970000000000001</v>
      </c>
      <c r="CY8" s="49">
        <v>0.60099999999999998</v>
      </c>
      <c r="CZ8" s="49">
        <v>0.90200000000000002</v>
      </c>
      <c r="DA8" s="48">
        <v>1</v>
      </c>
      <c r="DB8" s="48">
        <v>1.6040000000000001</v>
      </c>
      <c r="DC8" s="48">
        <v>0</v>
      </c>
      <c r="DD8" s="49">
        <v>0</v>
      </c>
      <c r="DE8" s="48">
        <v>0.33700000000000002</v>
      </c>
      <c r="DF8" s="48">
        <v>0.185</v>
      </c>
      <c r="DG8" s="48">
        <v>0.67500000000000004</v>
      </c>
      <c r="DH8" s="48">
        <v>2.0019999999999998</v>
      </c>
      <c r="DI8" s="48">
        <v>1.256</v>
      </c>
      <c r="DJ8" s="48">
        <v>0.186</v>
      </c>
      <c r="DK8" s="49">
        <v>1.254</v>
      </c>
      <c r="DL8" s="48">
        <v>0.61099999999999999</v>
      </c>
      <c r="DM8" s="48">
        <v>0.77700000000000002</v>
      </c>
      <c r="DN8" s="48">
        <v>0.747</v>
      </c>
      <c r="DO8" s="48">
        <v>0.7</v>
      </c>
      <c r="DP8" s="48">
        <v>67.448999999999998</v>
      </c>
      <c r="DQ8" s="48">
        <v>64.397999999999996</v>
      </c>
      <c r="DR8" s="49">
        <v>55.715000000000003</v>
      </c>
      <c r="DS8" s="49">
        <v>55.838999999999999</v>
      </c>
      <c r="DT8" s="49">
        <v>5.17</v>
      </c>
      <c r="DU8" s="49">
        <v>6.25</v>
      </c>
      <c r="DV8" s="49">
        <v>17.420000000000002</v>
      </c>
      <c r="DW8" s="48">
        <v>13.33</v>
      </c>
      <c r="DX8" s="48">
        <v>5.91</v>
      </c>
      <c r="DY8" s="49">
        <v>6.45</v>
      </c>
      <c r="DZ8" s="49">
        <v>16.34</v>
      </c>
      <c r="EA8" s="49">
        <v>13.06</v>
      </c>
      <c r="EB8" s="49">
        <v>43.62</v>
      </c>
      <c r="EC8" s="49">
        <v>41.61</v>
      </c>
      <c r="ED8" s="49">
        <v>31.08</v>
      </c>
      <c r="EE8" s="49">
        <v>35.07</v>
      </c>
      <c r="EF8" s="48">
        <v>45.31</v>
      </c>
      <c r="EG8" s="48">
        <v>45.69</v>
      </c>
      <c r="EH8" s="48">
        <v>35.159999999999997</v>
      </c>
      <c r="EI8" s="48">
        <v>38.54</v>
      </c>
      <c r="EJ8" s="48">
        <v>6.5049999999999999</v>
      </c>
      <c r="EK8" s="48">
        <v>64.099999999999994</v>
      </c>
      <c r="EL8" s="48">
        <v>1.2</v>
      </c>
      <c r="EM8" s="48">
        <v>0.8</v>
      </c>
      <c r="EN8" s="49">
        <v>1.18</v>
      </c>
      <c r="EO8" s="49">
        <v>1.17</v>
      </c>
      <c r="EP8" s="49">
        <v>-107.974</v>
      </c>
      <c r="EQ8" s="48">
        <v>-2.1779999999999999</v>
      </c>
      <c r="ER8" s="49">
        <v>121.83</v>
      </c>
      <c r="ES8" s="49">
        <v>1.272</v>
      </c>
      <c r="ET8" s="49">
        <v>1.377</v>
      </c>
      <c r="EU8" s="49">
        <v>1.2</v>
      </c>
      <c r="EV8" s="48">
        <v>7.375</v>
      </c>
      <c r="EW8" s="48">
        <v>3.8730000000000002</v>
      </c>
      <c r="EX8" s="49">
        <v>74.88</v>
      </c>
      <c r="EY8" s="48">
        <v>0</v>
      </c>
      <c r="EZ8" s="48">
        <v>0</v>
      </c>
      <c r="FA8" s="49">
        <v>0</v>
      </c>
      <c r="FB8" s="48">
        <v>8.9730000000000008</v>
      </c>
      <c r="FC8" s="48">
        <v>63.161999999999999</v>
      </c>
      <c r="FD8" s="48">
        <v>60.618000000000002</v>
      </c>
      <c r="FE8" s="48">
        <v>73.319999999999993</v>
      </c>
      <c r="FF8" s="48">
        <v>73.596000000000004</v>
      </c>
      <c r="FG8" s="48">
        <v>0.91300000000000003</v>
      </c>
      <c r="FH8" s="48">
        <v>0.91100000000000003</v>
      </c>
      <c r="FI8" s="48">
        <v>0.98799999999999999</v>
      </c>
      <c r="FJ8" s="48">
        <v>0.98499999999999999</v>
      </c>
      <c r="FK8" s="48">
        <v>0</v>
      </c>
      <c r="FL8" s="48">
        <v>82</v>
      </c>
      <c r="FM8" s="48">
        <v>3.05</v>
      </c>
      <c r="FN8" s="48">
        <v>1.23</v>
      </c>
      <c r="FO8" s="49">
        <v>5.22</v>
      </c>
      <c r="FP8" s="48">
        <v>3.5</v>
      </c>
      <c r="FQ8" s="48">
        <v>4.1500000000000004</v>
      </c>
      <c r="FR8" s="48">
        <v>5</v>
      </c>
      <c r="FS8" s="48">
        <v>6.6609999999999996</v>
      </c>
      <c r="FT8" s="49">
        <v>1070.5999999999999</v>
      </c>
      <c r="FU8" s="49">
        <v>7.55</v>
      </c>
      <c r="FV8" s="48">
        <v>11.89</v>
      </c>
      <c r="FW8" s="48">
        <v>3059.5</v>
      </c>
      <c r="FX8" s="48">
        <v>162800</v>
      </c>
      <c r="FY8" s="48">
        <v>162700</v>
      </c>
      <c r="FZ8" s="48">
        <v>43.582999999999998</v>
      </c>
      <c r="GA8" s="48">
        <v>42.911999999999999</v>
      </c>
      <c r="GB8" s="49">
        <v>2162.6999999999998</v>
      </c>
      <c r="GC8" s="49">
        <v>2202.1</v>
      </c>
      <c r="GD8" s="49">
        <v>2162.6999999999998</v>
      </c>
      <c r="GE8" s="49">
        <v>2211.6999999999998</v>
      </c>
      <c r="GF8" s="49">
        <v>1480.0313000000001</v>
      </c>
      <c r="GG8" s="48">
        <v>31</v>
      </c>
      <c r="GH8" s="48">
        <v>30.5</v>
      </c>
      <c r="GI8" s="48">
        <v>48.4</v>
      </c>
      <c r="GJ8" s="48">
        <v>54</v>
      </c>
      <c r="GK8" s="48">
        <v>99.5</v>
      </c>
      <c r="GL8" s="48">
        <v>109.4</v>
      </c>
      <c r="GM8" s="49">
        <v>0</v>
      </c>
      <c r="GN8" s="48">
        <v>22.332999999999998</v>
      </c>
      <c r="GO8" s="49">
        <v>121.83</v>
      </c>
      <c r="GP8" s="48">
        <v>0.29499999999999998</v>
      </c>
      <c r="GQ8" s="48">
        <v>1.829</v>
      </c>
      <c r="GR8" s="48">
        <v>0.41299999999999998</v>
      </c>
      <c r="GS8" s="48">
        <v>1.8879999999999999</v>
      </c>
      <c r="GT8" s="48">
        <v>0.41299999999999998</v>
      </c>
      <c r="GU8" s="48">
        <v>1.829</v>
      </c>
      <c r="GV8" s="48">
        <v>12.936</v>
      </c>
      <c r="GW8" s="49">
        <v>14.042999999999999</v>
      </c>
      <c r="GX8" s="48">
        <v>16.071999999999999</v>
      </c>
      <c r="GY8" s="49">
        <v>0</v>
      </c>
      <c r="GZ8" s="49">
        <v>0</v>
      </c>
      <c r="HA8" s="49">
        <v>0</v>
      </c>
      <c r="HB8" s="48">
        <v>0</v>
      </c>
      <c r="HC8" s="48">
        <v>37.057000000000002</v>
      </c>
      <c r="HD8" s="49">
        <v>90</v>
      </c>
      <c r="HE8" s="49">
        <v>0</v>
      </c>
      <c r="HF8" s="49">
        <v>0</v>
      </c>
      <c r="HG8" s="48">
        <v>73.95</v>
      </c>
      <c r="HH8" s="48">
        <v>81.03</v>
      </c>
      <c r="HI8" s="49">
        <v>0</v>
      </c>
      <c r="HJ8" s="49">
        <v>0</v>
      </c>
      <c r="HK8" s="49">
        <v>0</v>
      </c>
      <c r="HL8" s="48">
        <v>54</v>
      </c>
      <c r="HM8" s="48">
        <v>51</v>
      </c>
      <c r="HN8" s="48">
        <v>63</v>
      </c>
      <c r="HO8" s="48">
        <v>57</v>
      </c>
      <c r="HP8" s="49">
        <v>60</v>
      </c>
      <c r="HQ8" s="49">
        <v>58</v>
      </c>
      <c r="HR8" s="48">
        <v>52</v>
      </c>
      <c r="HS8" s="48">
        <v>60</v>
      </c>
      <c r="HT8" s="49">
        <v>-0.28999999999999998</v>
      </c>
      <c r="HU8" s="49">
        <v>0</v>
      </c>
      <c r="HV8" s="49">
        <v>1.4970000000000001</v>
      </c>
      <c r="HW8" s="49">
        <v>35.97</v>
      </c>
      <c r="HX8" s="49">
        <v>42.61</v>
      </c>
      <c r="HY8" s="49">
        <v>51.23</v>
      </c>
      <c r="HZ8" s="49">
        <v>51.23</v>
      </c>
      <c r="IA8" s="48">
        <v>2.7879999999999998</v>
      </c>
      <c r="IB8" s="49">
        <v>102</v>
      </c>
      <c r="IC8" s="48">
        <v>21.445</v>
      </c>
      <c r="ID8" s="48">
        <v>-0.23799999999999999</v>
      </c>
      <c r="IE8" s="48">
        <v>-5.5E-2</v>
      </c>
      <c r="IF8" s="49">
        <v>801.9</v>
      </c>
      <c r="IG8" s="49">
        <v>747.1</v>
      </c>
      <c r="IH8" s="49">
        <v>836.2</v>
      </c>
      <c r="II8" s="49">
        <v>776.4</v>
      </c>
      <c r="IJ8" s="48">
        <v>3.2000000000000001E-2</v>
      </c>
      <c r="IK8" s="48">
        <v>-0.36499999999999999</v>
      </c>
      <c r="IL8" s="48">
        <v>71.686999999999998</v>
      </c>
      <c r="IM8" s="48">
        <v>71.686999999999998</v>
      </c>
      <c r="IN8" s="48">
        <v>29.373999999999999</v>
      </c>
      <c r="IO8" s="49">
        <v>1.3320000000000001</v>
      </c>
      <c r="IP8" s="48">
        <v>12.35</v>
      </c>
      <c r="IQ8" s="48">
        <v>6.0000000000000001E-3</v>
      </c>
      <c r="IR8" s="48">
        <v>4.0000000000000001E-3</v>
      </c>
    </row>
    <row r="9" spans="2:252" x14ac:dyDescent="0.25">
      <c r="B9" s="2" t="s">
        <v>407</v>
      </c>
      <c r="C9" s="2" t="s">
        <v>43</v>
      </c>
      <c r="D9" s="57">
        <v>2.744675925925926E-3</v>
      </c>
      <c r="E9" s="48">
        <v>237.14400000000001</v>
      </c>
      <c r="F9" s="48">
        <v>330.21</v>
      </c>
      <c r="G9" s="48">
        <v>5.95</v>
      </c>
      <c r="H9" s="48">
        <v>23.6</v>
      </c>
      <c r="I9" s="48">
        <v>0</v>
      </c>
      <c r="J9" s="48">
        <v>13.3</v>
      </c>
      <c r="K9" s="49">
        <v>6</v>
      </c>
      <c r="L9" s="49">
        <v>6</v>
      </c>
      <c r="M9" s="49">
        <v>4</v>
      </c>
      <c r="N9" s="49">
        <v>3</v>
      </c>
      <c r="O9" s="49">
        <v>3</v>
      </c>
      <c r="P9" s="49">
        <v>1.08</v>
      </c>
      <c r="Q9" s="48">
        <v>1.83</v>
      </c>
      <c r="R9" s="48">
        <v>1.0409999999999999</v>
      </c>
      <c r="S9" s="49">
        <v>0.95</v>
      </c>
      <c r="T9" s="48">
        <v>78.55</v>
      </c>
      <c r="U9" s="48">
        <v>60.488</v>
      </c>
      <c r="V9" s="48">
        <v>256.66000000000003</v>
      </c>
      <c r="W9" s="48">
        <v>251.66</v>
      </c>
      <c r="X9" s="48">
        <v>245</v>
      </c>
      <c r="Y9" s="48">
        <v>302</v>
      </c>
      <c r="Z9" s="48">
        <v>417.8</v>
      </c>
      <c r="AA9" s="48">
        <v>403.54</v>
      </c>
      <c r="AB9" s="48">
        <v>371.68</v>
      </c>
      <c r="AC9" s="48">
        <v>415.54</v>
      </c>
      <c r="AD9" s="49">
        <v>1.786</v>
      </c>
      <c r="AE9" s="49">
        <v>1.835</v>
      </c>
      <c r="AF9" s="49">
        <v>1.857</v>
      </c>
      <c r="AG9" s="49">
        <v>1.885</v>
      </c>
      <c r="AH9" s="49">
        <v>72.69</v>
      </c>
      <c r="AI9" s="49">
        <v>69.38</v>
      </c>
      <c r="AJ9" s="49">
        <v>102.14</v>
      </c>
      <c r="AK9" s="49">
        <v>105.19</v>
      </c>
      <c r="AL9" s="49">
        <v>644.726</v>
      </c>
      <c r="AM9" s="49">
        <v>662.06</v>
      </c>
      <c r="AN9" s="49">
        <v>756.06100000000004</v>
      </c>
      <c r="AO9" s="48">
        <v>734.98599999999999</v>
      </c>
      <c r="AP9" s="48">
        <v>2.5169999999999999</v>
      </c>
      <c r="AQ9" s="48">
        <v>1.831</v>
      </c>
      <c r="AR9" s="48">
        <v>41.74</v>
      </c>
      <c r="AS9" s="49">
        <v>40.087000000000003</v>
      </c>
      <c r="AT9" s="49">
        <v>82</v>
      </c>
      <c r="AU9" s="49">
        <v>109</v>
      </c>
      <c r="AV9" s="49">
        <v>2.5059999999999998</v>
      </c>
      <c r="AW9" s="49">
        <v>5.2393999999999998</v>
      </c>
      <c r="AX9" s="48">
        <v>994.1</v>
      </c>
      <c r="AY9" s="48">
        <v>1.48</v>
      </c>
      <c r="AZ9" s="48">
        <v>5.69</v>
      </c>
      <c r="BA9" s="48">
        <v>69.302000000000007</v>
      </c>
      <c r="BB9" s="48">
        <v>69.400000000000006</v>
      </c>
      <c r="BC9" s="49">
        <v>7845</v>
      </c>
      <c r="BD9" s="49">
        <v>89.25</v>
      </c>
      <c r="BE9" s="49">
        <v>23.73</v>
      </c>
      <c r="BF9" s="49">
        <v>15.355</v>
      </c>
      <c r="BG9" s="48">
        <v>27.78</v>
      </c>
      <c r="BH9" s="48">
        <v>27.87</v>
      </c>
      <c r="BI9" s="49">
        <v>68.349999999999994</v>
      </c>
      <c r="BJ9" s="49">
        <v>84.694999999999993</v>
      </c>
      <c r="BK9" s="49">
        <v>66.622</v>
      </c>
      <c r="BL9" s="49">
        <v>82.055999999999997</v>
      </c>
      <c r="BM9" s="49">
        <v>82.108000000000004</v>
      </c>
      <c r="BN9" s="48">
        <v>99.896000000000001</v>
      </c>
      <c r="BO9" s="48">
        <v>102.29600000000001</v>
      </c>
      <c r="BP9" s="49">
        <v>126.84</v>
      </c>
      <c r="BQ9" s="49">
        <v>143.11199999999999</v>
      </c>
      <c r="BR9" s="49">
        <v>59.948</v>
      </c>
      <c r="BS9" s="48">
        <v>23.1</v>
      </c>
      <c r="BT9" s="48">
        <v>7367.5320000000002</v>
      </c>
      <c r="BU9" s="48">
        <v>80.748000000000005</v>
      </c>
      <c r="BV9" s="48">
        <v>65.347999999999999</v>
      </c>
      <c r="BW9" s="48">
        <v>56.103999999999999</v>
      </c>
      <c r="BX9" s="48">
        <v>65.132999999999996</v>
      </c>
      <c r="BY9" s="48">
        <v>1.49</v>
      </c>
      <c r="BZ9" s="48">
        <v>2.9049999999999998</v>
      </c>
      <c r="CA9" s="48">
        <v>3.3809999999999998</v>
      </c>
      <c r="CB9" s="49">
        <v>3.8820000000000001</v>
      </c>
      <c r="CC9" s="48">
        <v>5.484</v>
      </c>
      <c r="CD9" s="48">
        <v>2.2149999999999999</v>
      </c>
      <c r="CE9" s="48">
        <v>3.746</v>
      </c>
      <c r="CF9" s="48">
        <v>2.0489999999999999</v>
      </c>
      <c r="CG9" s="49">
        <v>13.696999999999999</v>
      </c>
      <c r="CH9" s="48">
        <v>13.465</v>
      </c>
      <c r="CI9" s="3"/>
      <c r="CJ9" s="3"/>
      <c r="CK9" s="3"/>
      <c r="CL9" s="48">
        <v>0</v>
      </c>
      <c r="CM9" s="48">
        <v>1.2</v>
      </c>
      <c r="CN9" s="48">
        <v>0</v>
      </c>
      <c r="CO9" s="48">
        <v>0</v>
      </c>
      <c r="CP9" s="48">
        <v>88.173000000000002</v>
      </c>
      <c r="CQ9" s="48">
        <v>89.927999999999997</v>
      </c>
      <c r="CR9" s="49">
        <v>113.477</v>
      </c>
      <c r="CS9" s="49">
        <v>135.774</v>
      </c>
      <c r="CT9" s="48">
        <v>0.318</v>
      </c>
      <c r="CU9" s="48">
        <v>0.69599999999999995</v>
      </c>
      <c r="CV9" s="48">
        <v>0.59799999999999998</v>
      </c>
      <c r="CW9" s="49">
        <v>1.296</v>
      </c>
      <c r="CX9" s="48">
        <v>0.79600000000000004</v>
      </c>
      <c r="CY9" s="48">
        <v>0.498</v>
      </c>
      <c r="CZ9" s="48">
        <v>0.89800000000000002</v>
      </c>
      <c r="DA9" s="48">
        <v>0.60099999999999998</v>
      </c>
      <c r="DB9" s="49">
        <v>1.7929999999999999</v>
      </c>
      <c r="DC9" s="48">
        <v>0</v>
      </c>
      <c r="DD9" s="49">
        <v>0</v>
      </c>
      <c r="DE9" s="49">
        <v>0.34799999999999998</v>
      </c>
      <c r="DF9" s="49">
        <v>0.19900000000000001</v>
      </c>
      <c r="DG9" s="48">
        <v>0.51700000000000002</v>
      </c>
      <c r="DH9" s="49">
        <v>2.6560000000000001</v>
      </c>
      <c r="DI9" s="49">
        <v>1.4990000000000001</v>
      </c>
      <c r="DJ9" s="48">
        <v>0.18099999999999999</v>
      </c>
      <c r="DK9" s="48">
        <v>1.03</v>
      </c>
      <c r="DL9" s="48">
        <v>0.61</v>
      </c>
      <c r="DM9" s="48">
        <v>0.77700000000000002</v>
      </c>
      <c r="DN9" s="48">
        <v>0.73799999999999999</v>
      </c>
      <c r="DO9" s="49">
        <v>0.72599999999999998</v>
      </c>
      <c r="DP9" s="49">
        <v>69.378</v>
      </c>
      <c r="DQ9" s="49">
        <v>64.406999999999996</v>
      </c>
      <c r="DR9" s="48">
        <v>55.231000000000002</v>
      </c>
      <c r="DS9" s="48">
        <v>54.878</v>
      </c>
      <c r="DT9" s="49">
        <v>5.17</v>
      </c>
      <c r="DU9" s="48">
        <v>5.81</v>
      </c>
      <c r="DV9" s="48">
        <v>17.13</v>
      </c>
      <c r="DW9" s="49">
        <v>13.46</v>
      </c>
      <c r="DX9" s="49">
        <v>5.92</v>
      </c>
      <c r="DY9" s="48">
        <v>6.15</v>
      </c>
      <c r="DZ9" s="48">
        <v>16.27</v>
      </c>
      <c r="EA9" s="48">
        <v>12.9</v>
      </c>
      <c r="EB9" s="48">
        <v>42.16</v>
      </c>
      <c r="EC9" s="48">
        <v>39.85</v>
      </c>
      <c r="ED9" s="48">
        <v>30.1</v>
      </c>
      <c r="EE9" s="48">
        <v>33.46</v>
      </c>
      <c r="EF9" s="48">
        <v>46.75</v>
      </c>
      <c r="EG9" s="48">
        <v>48.19</v>
      </c>
      <c r="EH9" s="48">
        <v>36.5</v>
      </c>
      <c r="EI9" s="48">
        <v>40.18</v>
      </c>
      <c r="EJ9" s="48">
        <v>6.6310000000000002</v>
      </c>
      <c r="EK9" s="49">
        <v>64.381</v>
      </c>
      <c r="EL9" s="48">
        <v>1.3</v>
      </c>
      <c r="EM9" s="48">
        <v>0.8</v>
      </c>
      <c r="EN9" s="48">
        <v>1.1499999999999999</v>
      </c>
      <c r="EO9" s="48">
        <v>1.1399999999999999</v>
      </c>
      <c r="EP9" s="49">
        <v>-107.974</v>
      </c>
      <c r="EQ9" s="48">
        <v>-2.4369999999999998</v>
      </c>
      <c r="ER9" s="48">
        <v>99.054000000000002</v>
      </c>
      <c r="ES9" s="48">
        <v>1.1950000000000001</v>
      </c>
      <c r="ET9" s="48">
        <v>1.294</v>
      </c>
      <c r="EU9" s="48">
        <v>1.0980000000000001</v>
      </c>
      <c r="EV9" s="49">
        <v>7.6859999999999999</v>
      </c>
      <c r="EW9" s="49">
        <v>4.0620000000000003</v>
      </c>
      <c r="EX9" s="48">
        <v>73.760000000000005</v>
      </c>
      <c r="EY9" s="48">
        <v>0</v>
      </c>
      <c r="EZ9" s="49">
        <v>9.2999999999999999E-2</v>
      </c>
      <c r="FA9" s="49">
        <v>0</v>
      </c>
      <c r="FB9" s="49">
        <v>9.0419999999999998</v>
      </c>
      <c r="FC9" s="49">
        <v>65.585999999999999</v>
      </c>
      <c r="FD9" s="49">
        <v>63.396000000000001</v>
      </c>
      <c r="FE9" s="49">
        <v>77.995000000000005</v>
      </c>
      <c r="FF9" s="49">
        <v>78.203000000000003</v>
      </c>
      <c r="FG9" s="48">
        <v>0.91600000000000004</v>
      </c>
      <c r="FH9" s="48">
        <v>0.91200000000000003</v>
      </c>
      <c r="FI9" s="48">
        <v>0.98899999999999999</v>
      </c>
      <c r="FJ9" s="48">
        <v>0.98599999999999999</v>
      </c>
      <c r="FK9" s="48">
        <v>0</v>
      </c>
      <c r="FL9" s="48">
        <v>82</v>
      </c>
      <c r="FM9" s="48">
        <v>3.06</v>
      </c>
      <c r="FN9" s="48">
        <v>1.17</v>
      </c>
      <c r="FO9" s="48">
        <v>5.43</v>
      </c>
      <c r="FP9" s="48">
        <v>4</v>
      </c>
      <c r="FQ9" s="48">
        <v>4.25</v>
      </c>
      <c r="FR9" s="48">
        <v>5.0999999999999996</v>
      </c>
      <c r="FS9" s="48">
        <v>6.6455000000000002</v>
      </c>
      <c r="FT9" s="48">
        <v>1064.3</v>
      </c>
      <c r="FU9" s="48">
        <v>7.52</v>
      </c>
      <c r="FV9" s="49">
        <v>17.850000000000001</v>
      </c>
      <c r="FW9" s="48">
        <v>3017</v>
      </c>
      <c r="FX9" s="48">
        <v>163200</v>
      </c>
      <c r="FY9" s="48">
        <v>162000</v>
      </c>
      <c r="FZ9" s="48">
        <v>43.451000000000001</v>
      </c>
      <c r="GA9" s="48">
        <v>42.728999999999999</v>
      </c>
      <c r="GB9" s="48">
        <v>2111.9</v>
      </c>
      <c r="GC9" s="48">
        <v>2176.1</v>
      </c>
      <c r="GD9" s="48">
        <v>2141.3000000000002</v>
      </c>
      <c r="GE9" s="48">
        <v>2176.1</v>
      </c>
      <c r="GF9" s="48">
        <v>1382.1719000000001</v>
      </c>
      <c r="GG9" s="49">
        <v>32</v>
      </c>
      <c r="GH9" s="48">
        <v>31.7</v>
      </c>
      <c r="GI9" s="48">
        <v>44.5</v>
      </c>
      <c r="GJ9" s="48">
        <v>50.3</v>
      </c>
      <c r="GK9" s="48">
        <v>99.5</v>
      </c>
      <c r="GL9" s="48">
        <v>110.3</v>
      </c>
      <c r="GM9" s="49">
        <v>0</v>
      </c>
      <c r="GN9" s="49">
        <v>22.794</v>
      </c>
      <c r="GO9" s="48">
        <v>107.974</v>
      </c>
      <c r="GP9" s="49">
        <v>0</v>
      </c>
      <c r="GQ9" s="48">
        <v>1.829</v>
      </c>
      <c r="GR9" s="49">
        <v>0</v>
      </c>
      <c r="GS9" s="48">
        <v>1.8879999999999999</v>
      </c>
      <c r="GT9" s="49">
        <v>0</v>
      </c>
      <c r="GU9" s="48">
        <v>1.829</v>
      </c>
      <c r="GV9" s="49">
        <v>0</v>
      </c>
      <c r="GW9" s="48">
        <v>13.984999999999999</v>
      </c>
      <c r="GX9" s="48">
        <v>15.974</v>
      </c>
      <c r="GY9" s="49">
        <v>0</v>
      </c>
      <c r="GZ9" s="49">
        <v>0</v>
      </c>
      <c r="HA9" s="49">
        <v>0</v>
      </c>
      <c r="HB9" s="48">
        <v>0</v>
      </c>
      <c r="HC9" s="48">
        <v>35.786999999999999</v>
      </c>
      <c r="HD9" s="49">
        <v>90</v>
      </c>
      <c r="HE9" s="49">
        <v>0</v>
      </c>
      <c r="HF9" s="49">
        <v>0</v>
      </c>
      <c r="HG9" s="48">
        <v>73.16</v>
      </c>
      <c r="HH9" s="49">
        <v>81.489999999999995</v>
      </c>
      <c r="HI9" s="49">
        <v>0</v>
      </c>
      <c r="HJ9" s="49">
        <v>0</v>
      </c>
      <c r="HK9" s="49">
        <v>0</v>
      </c>
      <c r="HL9" s="48">
        <v>52</v>
      </c>
      <c r="HM9" s="48">
        <v>50</v>
      </c>
      <c r="HN9" s="49">
        <v>64</v>
      </c>
      <c r="HO9" s="49">
        <v>58</v>
      </c>
      <c r="HP9" s="49">
        <v>60</v>
      </c>
      <c r="HQ9" s="49">
        <v>58</v>
      </c>
      <c r="HR9" s="48">
        <v>52</v>
      </c>
      <c r="HS9" s="49">
        <v>70</v>
      </c>
      <c r="HT9" s="48">
        <v>-0.28799999999999998</v>
      </c>
      <c r="HU9" s="49">
        <v>0</v>
      </c>
      <c r="HV9" s="48">
        <v>1.41</v>
      </c>
      <c r="HW9" s="48">
        <v>37.700000000000003</v>
      </c>
      <c r="HX9" s="49">
        <v>42.61</v>
      </c>
      <c r="HY9" s="3"/>
      <c r="HZ9" s="3"/>
      <c r="IA9" s="49">
        <v>3.0059999999999998</v>
      </c>
      <c r="IB9" s="49">
        <v>102</v>
      </c>
      <c r="IC9" s="49">
        <v>21.585999999999999</v>
      </c>
      <c r="ID9" s="48">
        <v>-0.22</v>
      </c>
      <c r="IE9" s="49">
        <v>-3.2000000000000001E-2</v>
      </c>
      <c r="IF9" s="48">
        <v>791.9</v>
      </c>
      <c r="IG9" s="48">
        <v>740.9</v>
      </c>
      <c r="IH9" s="48">
        <v>835.3</v>
      </c>
      <c r="II9" s="48">
        <v>771.1</v>
      </c>
      <c r="IJ9" s="49">
        <v>7.1999999999999995E-2</v>
      </c>
      <c r="IK9" s="48">
        <v>-0.316</v>
      </c>
      <c r="IL9" s="48">
        <v>71.744</v>
      </c>
      <c r="IM9" s="48">
        <v>71.744</v>
      </c>
      <c r="IN9" s="49">
        <v>30.231000000000002</v>
      </c>
      <c r="IO9" s="48">
        <v>1.262</v>
      </c>
      <c r="IP9" s="48">
        <v>12.34</v>
      </c>
      <c r="IQ9" s="48">
        <v>0</v>
      </c>
      <c r="IR9" s="48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15"/>
  <sheetViews>
    <sheetView zoomScale="60" zoomScaleNormal="60" workbookViewId="0">
      <selection activeCell="G10" sqref="G10:G15"/>
    </sheetView>
  </sheetViews>
  <sheetFormatPr defaultRowHeight="15" x14ac:dyDescent="0.25"/>
  <sheetData>
    <row r="1" spans="2:7" x14ac:dyDescent="0.25">
      <c r="B1" t="s">
        <v>2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</row>
    <row r="2" spans="2:7" x14ac:dyDescent="0.25">
      <c r="B2" s="49">
        <v>2044.9169999999999</v>
      </c>
      <c r="C2" s="49">
        <v>5.59</v>
      </c>
      <c r="D2" s="3"/>
      <c r="E2" s="3"/>
      <c r="F2" s="3"/>
      <c r="G2" s="49">
        <v>65.180000000000007</v>
      </c>
    </row>
    <row r="3" spans="2:7" x14ac:dyDescent="0.25">
      <c r="B3" s="49">
        <v>251.37899999999999</v>
      </c>
      <c r="C3" s="49">
        <v>5.82</v>
      </c>
      <c r="D3" s="49">
        <v>1.5109999999999999</v>
      </c>
      <c r="E3" s="49">
        <v>4.0469999999999997</v>
      </c>
      <c r="F3" s="49">
        <v>3.1589999999999998</v>
      </c>
      <c r="G3" s="48">
        <v>68.260000000000005</v>
      </c>
    </row>
    <row r="4" spans="2:7" x14ac:dyDescent="0.25">
      <c r="B4" s="48">
        <v>244.58199999999999</v>
      </c>
      <c r="C4" s="48">
        <v>5.8</v>
      </c>
      <c r="D4" s="3"/>
      <c r="E4" s="3"/>
      <c r="F4" s="3"/>
      <c r="G4" s="49">
        <v>70.12</v>
      </c>
    </row>
    <row r="5" spans="2:7" x14ac:dyDescent="0.25">
      <c r="B5" s="49">
        <v>1565.6189999999999</v>
      </c>
      <c r="C5" s="49">
        <v>5.68</v>
      </c>
      <c r="D5" s="3"/>
      <c r="E5" s="3"/>
      <c r="F5" s="3"/>
      <c r="G5" s="49">
        <v>66.06</v>
      </c>
    </row>
    <row r="6" spans="2:7" x14ac:dyDescent="0.25">
      <c r="B6" s="49">
        <v>544.70899999999995</v>
      </c>
      <c r="C6" s="49">
        <v>5.9</v>
      </c>
      <c r="D6" s="3"/>
      <c r="E6" s="3"/>
      <c r="F6" s="3"/>
      <c r="G6" s="49">
        <v>69.84</v>
      </c>
    </row>
    <row r="7" spans="2:7" x14ac:dyDescent="0.25">
      <c r="B7" s="48">
        <v>416.72899999999998</v>
      </c>
      <c r="C7" s="48">
        <v>5.86</v>
      </c>
      <c r="D7" s="49">
        <v>1.52</v>
      </c>
      <c r="E7" s="49">
        <v>4.7069999999999999</v>
      </c>
      <c r="F7" s="49">
        <v>2.7519999999999998</v>
      </c>
      <c r="G7" s="48">
        <v>-711.16</v>
      </c>
    </row>
    <row r="8" spans="2:7" x14ac:dyDescent="0.25">
      <c r="B8" s="48">
        <v>208.85</v>
      </c>
      <c r="C8" s="49">
        <v>6.05</v>
      </c>
      <c r="D8" s="48">
        <v>1.2569999999999999</v>
      </c>
      <c r="E8" s="48">
        <v>2.5979999999999999</v>
      </c>
      <c r="F8" s="48">
        <v>2.577</v>
      </c>
      <c r="G8" s="49">
        <v>76.16</v>
      </c>
    </row>
    <row r="9" spans="2:7" x14ac:dyDescent="0.25">
      <c r="B9" s="49">
        <v>541.05700000000002</v>
      </c>
      <c r="C9" s="48">
        <v>2.82</v>
      </c>
      <c r="D9" s="3"/>
      <c r="E9" s="3"/>
      <c r="F9" s="3"/>
      <c r="G9" s="48">
        <v>19.62</v>
      </c>
    </row>
    <row r="10" spans="2:7" x14ac:dyDescent="0.25">
      <c r="B10" s="49">
        <v>444.47500000000002</v>
      </c>
      <c r="C10" s="48">
        <v>5.8</v>
      </c>
      <c r="D10" s="48">
        <v>1.3080000000000001</v>
      </c>
      <c r="E10" s="48">
        <v>4.0330000000000004</v>
      </c>
      <c r="F10" s="48">
        <v>2.524</v>
      </c>
      <c r="G10" s="48">
        <v>-95.26</v>
      </c>
    </row>
    <row r="11" spans="2:7" x14ac:dyDescent="0.25">
      <c r="B11" s="48">
        <v>208.08</v>
      </c>
      <c r="C11" s="48">
        <v>6.09</v>
      </c>
      <c r="D11" s="49">
        <v>1.7829999999999999</v>
      </c>
      <c r="E11" s="49">
        <v>5.0439999999999996</v>
      </c>
      <c r="F11" s="48">
        <v>3.51</v>
      </c>
      <c r="G11" s="48">
        <v>76.52</v>
      </c>
    </row>
    <row r="12" spans="2:7" x14ac:dyDescent="0.25">
      <c r="B12" s="48">
        <v>207.65</v>
      </c>
      <c r="C12" s="48">
        <v>6.09</v>
      </c>
      <c r="D12" s="48">
        <v>1.6719999999999999</v>
      </c>
      <c r="E12" s="48">
        <v>5.01</v>
      </c>
      <c r="F12" s="48">
        <v>3.5739999999999998</v>
      </c>
      <c r="G12" s="48">
        <v>76.5</v>
      </c>
    </row>
    <row r="13" spans="2:7" x14ac:dyDescent="0.25">
      <c r="B13" s="48">
        <v>214.54</v>
      </c>
      <c r="C13" s="48">
        <v>5.88</v>
      </c>
      <c r="D13" s="48">
        <v>1.6379999999999999</v>
      </c>
      <c r="E13" s="48">
        <v>4.6589999999999998</v>
      </c>
      <c r="F13" s="49">
        <v>3.6190000000000002</v>
      </c>
      <c r="G13" s="48">
        <v>73.040000000000006</v>
      </c>
    </row>
    <row r="14" spans="2:7" x14ac:dyDescent="0.25">
      <c r="B14" s="48">
        <v>206.91</v>
      </c>
      <c r="C14" s="49">
        <v>6.13</v>
      </c>
      <c r="D14" s="48">
        <v>1.232</v>
      </c>
      <c r="E14" s="48">
        <v>2.7829999999999999</v>
      </c>
      <c r="F14" s="48">
        <v>2.9990000000000001</v>
      </c>
      <c r="G14" s="49">
        <v>76.78</v>
      </c>
    </row>
    <row r="15" spans="2:7" x14ac:dyDescent="0.25">
      <c r="B15" s="48">
        <v>324.39600000000002</v>
      </c>
      <c r="C15" s="48">
        <v>3.65</v>
      </c>
      <c r="D15" s="3"/>
      <c r="E15" s="3"/>
      <c r="F15" s="3"/>
      <c r="G15" s="48">
        <v>37.58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11"/>
  <sheetViews>
    <sheetView zoomScale="40" zoomScaleNormal="40" workbookViewId="0">
      <selection activeCell="G9" sqref="G9:G11"/>
    </sheetView>
  </sheetViews>
  <sheetFormatPr defaultRowHeight="15" x14ac:dyDescent="0.25"/>
  <sheetData>
    <row r="1" spans="2:7" x14ac:dyDescent="0.25">
      <c r="B1" t="s">
        <v>2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</row>
    <row r="2" spans="2:7" x14ac:dyDescent="0.25">
      <c r="B2" s="49">
        <v>2708.4029999999998</v>
      </c>
      <c r="C2" s="49">
        <v>2.93</v>
      </c>
      <c r="D2" s="3"/>
      <c r="E2" s="3"/>
      <c r="F2" s="3"/>
      <c r="G2" s="49">
        <v>-225.5</v>
      </c>
    </row>
    <row r="3" spans="2:7" x14ac:dyDescent="0.25">
      <c r="B3" s="49">
        <v>1159.636</v>
      </c>
      <c r="C3" s="48">
        <v>5.41</v>
      </c>
      <c r="D3" s="48">
        <v>1.4830000000000001</v>
      </c>
      <c r="E3" s="48">
        <v>3.9430000000000001</v>
      </c>
      <c r="F3" s="48">
        <v>4.1070000000000002</v>
      </c>
      <c r="G3" s="48">
        <v>63.84</v>
      </c>
    </row>
    <row r="4" spans="2:7" x14ac:dyDescent="0.25">
      <c r="B4" s="48">
        <v>218.98</v>
      </c>
      <c r="C4" s="49">
        <v>5.67</v>
      </c>
      <c r="D4" s="49">
        <v>1.6659999999999999</v>
      </c>
      <c r="E4" s="49">
        <v>4.5860000000000003</v>
      </c>
      <c r="F4" s="49">
        <v>4.2960000000000003</v>
      </c>
      <c r="G4" s="49">
        <v>70.16</v>
      </c>
    </row>
    <row r="5" spans="2:7" x14ac:dyDescent="0.25">
      <c r="B5" s="48">
        <v>248.696</v>
      </c>
      <c r="C5" s="48">
        <v>5.65</v>
      </c>
      <c r="D5" s="3"/>
      <c r="E5" s="3"/>
      <c r="F5" s="3"/>
      <c r="G5" s="48">
        <v>69.099999999999994</v>
      </c>
    </row>
    <row r="6" spans="2:7" x14ac:dyDescent="0.25">
      <c r="B6" s="49">
        <v>2172.1750000000002</v>
      </c>
      <c r="C6" s="48">
        <v>5.61</v>
      </c>
      <c r="D6" s="48">
        <v>1.6439999999999999</v>
      </c>
      <c r="E6" s="49">
        <v>11.038</v>
      </c>
      <c r="F6" s="49">
        <v>6.8</v>
      </c>
      <c r="G6" s="48">
        <v>-344.16</v>
      </c>
    </row>
    <row r="7" spans="2:7" x14ac:dyDescent="0.25">
      <c r="B7" s="48">
        <v>212.95</v>
      </c>
      <c r="C7" s="49">
        <v>5.94</v>
      </c>
      <c r="D7" s="49">
        <v>1.651</v>
      </c>
      <c r="E7" s="48">
        <v>5.7889999999999997</v>
      </c>
      <c r="F7" s="48">
        <v>4.8849999999999998</v>
      </c>
      <c r="G7" s="49">
        <v>74.42</v>
      </c>
    </row>
    <row r="8" spans="2:7" x14ac:dyDescent="0.25">
      <c r="B8" s="48">
        <v>282.04000000000002</v>
      </c>
      <c r="C8" s="48">
        <v>-11.55</v>
      </c>
      <c r="D8" s="3"/>
      <c r="E8" s="3"/>
      <c r="F8" s="3"/>
      <c r="G8" s="48">
        <v>72.38</v>
      </c>
    </row>
    <row r="9" spans="2:7" x14ac:dyDescent="0.25">
      <c r="B9" s="49">
        <v>278.75200000000001</v>
      </c>
      <c r="C9" s="48">
        <v>5.6</v>
      </c>
      <c r="D9" s="48">
        <v>1.52</v>
      </c>
      <c r="E9" s="49">
        <v>5.0179999999999998</v>
      </c>
      <c r="F9" s="48">
        <v>3.3919999999999999</v>
      </c>
      <c r="G9" s="48">
        <v>-145.58000000000001</v>
      </c>
    </row>
    <row r="10" spans="2:7" x14ac:dyDescent="0.25">
      <c r="B10" s="48">
        <v>212.68</v>
      </c>
      <c r="C10" s="49">
        <v>5.93</v>
      </c>
      <c r="D10" s="49">
        <v>1.59</v>
      </c>
      <c r="E10" s="48">
        <v>4.7729999999999997</v>
      </c>
      <c r="F10" s="49">
        <v>3.5209999999999999</v>
      </c>
      <c r="G10" s="49">
        <v>74.52</v>
      </c>
    </row>
    <row r="11" spans="2:7" x14ac:dyDescent="0.25">
      <c r="B11" s="48">
        <v>248.08</v>
      </c>
      <c r="C11" s="48">
        <v>-11.53</v>
      </c>
      <c r="D11" s="3"/>
      <c r="E11" s="3"/>
      <c r="F11" s="3"/>
      <c r="G11" s="48">
        <v>71.040000000000006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11"/>
  <sheetViews>
    <sheetView zoomScale="50" zoomScaleNormal="50" workbookViewId="0">
      <selection activeCell="G9" sqref="G9:G11"/>
    </sheetView>
  </sheetViews>
  <sheetFormatPr defaultRowHeight="15" x14ac:dyDescent="0.25"/>
  <sheetData>
    <row r="1" spans="2:7" x14ac:dyDescent="0.25">
      <c r="B1" t="s">
        <v>2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</row>
    <row r="2" spans="2:7" x14ac:dyDescent="0.25">
      <c r="B2" s="49">
        <v>289.495</v>
      </c>
      <c r="C2" s="48">
        <v>5.71</v>
      </c>
      <c r="D2" s="49">
        <v>1.3009999999999999</v>
      </c>
      <c r="E2" s="49">
        <v>4.0709999999999997</v>
      </c>
      <c r="F2" s="48">
        <v>3.4649999999999999</v>
      </c>
      <c r="G2" s="48">
        <v>68.66</v>
      </c>
    </row>
    <row r="3" spans="2:7" x14ac:dyDescent="0.25">
      <c r="B3" s="48">
        <v>216.96</v>
      </c>
      <c r="C3" s="48">
        <v>5.84</v>
      </c>
      <c r="D3" s="48">
        <v>1.2549999999999999</v>
      </c>
      <c r="E3" s="48">
        <v>3.47</v>
      </c>
      <c r="F3" s="49">
        <v>3.585</v>
      </c>
      <c r="G3" s="48">
        <v>72.06</v>
      </c>
    </row>
    <row r="4" spans="2:7" x14ac:dyDescent="0.25">
      <c r="B4" s="48">
        <v>249.86099999999999</v>
      </c>
      <c r="C4" s="49">
        <v>5.92</v>
      </c>
      <c r="D4" s="3"/>
      <c r="E4" s="3"/>
      <c r="F4" s="3"/>
      <c r="G4" s="49">
        <v>72.16</v>
      </c>
    </row>
    <row r="5" spans="2:7" x14ac:dyDescent="0.25">
      <c r="B5" s="48">
        <v>259.78300000000002</v>
      </c>
      <c r="C5" s="48">
        <v>5.75</v>
      </c>
      <c r="D5" s="48">
        <v>1.512</v>
      </c>
      <c r="E5" s="49">
        <v>4.8239999999999998</v>
      </c>
      <c r="F5" s="48">
        <v>3.5630000000000002</v>
      </c>
      <c r="G5" s="48">
        <v>-143.44</v>
      </c>
    </row>
    <row r="6" spans="2:7" x14ac:dyDescent="0.25">
      <c r="B6" s="48">
        <v>214.62</v>
      </c>
      <c r="C6" s="48">
        <v>5.93</v>
      </c>
      <c r="D6" s="49">
        <v>1.6419999999999999</v>
      </c>
      <c r="E6" s="48">
        <v>4.0090000000000003</v>
      </c>
      <c r="F6" s="49">
        <v>3.9020000000000001</v>
      </c>
      <c r="G6" s="48">
        <v>74.12</v>
      </c>
    </row>
    <row r="7" spans="2:7" x14ac:dyDescent="0.25">
      <c r="B7" s="48">
        <v>210.3</v>
      </c>
      <c r="C7" s="49">
        <v>6.02</v>
      </c>
      <c r="D7" s="48">
        <v>1.4670000000000001</v>
      </c>
      <c r="E7" s="48">
        <v>4.032</v>
      </c>
      <c r="F7" s="48">
        <v>3.5859999999999999</v>
      </c>
      <c r="G7" s="49">
        <v>75.28</v>
      </c>
    </row>
    <row r="8" spans="2:7" x14ac:dyDescent="0.25">
      <c r="B8" s="49">
        <v>287.36</v>
      </c>
      <c r="C8" s="48">
        <v>-17.7</v>
      </c>
      <c r="D8" s="3"/>
      <c r="E8" s="3"/>
      <c r="F8" s="3"/>
      <c r="G8" s="48">
        <v>72.88</v>
      </c>
    </row>
    <row r="9" spans="2:7" x14ac:dyDescent="0.25">
      <c r="B9" s="49">
        <v>577.65700000000004</v>
      </c>
      <c r="C9" s="48">
        <v>5.91</v>
      </c>
      <c r="D9" s="49">
        <v>1.466</v>
      </c>
      <c r="E9" s="49">
        <v>4.2640000000000002</v>
      </c>
      <c r="F9" s="48">
        <v>3.512</v>
      </c>
      <c r="G9" s="48">
        <v>-220.88</v>
      </c>
    </row>
    <row r="10" spans="2:7" x14ac:dyDescent="0.25">
      <c r="B10" s="48">
        <v>216.62</v>
      </c>
      <c r="C10" s="49">
        <v>5.99</v>
      </c>
      <c r="D10" s="48">
        <v>1.4</v>
      </c>
      <c r="E10" s="48">
        <v>3.8559999999999999</v>
      </c>
      <c r="F10" s="49">
        <v>3.5139999999999998</v>
      </c>
      <c r="G10" s="49">
        <v>74.88</v>
      </c>
    </row>
    <row r="11" spans="2:7" x14ac:dyDescent="0.25">
      <c r="B11" s="48">
        <v>237.14400000000001</v>
      </c>
      <c r="C11" s="48">
        <v>5.95</v>
      </c>
      <c r="D11" s="3"/>
      <c r="E11" s="3"/>
      <c r="F11" s="3"/>
      <c r="G11" s="48">
        <v>73.760000000000005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CTRL</vt:lpstr>
      <vt:lpstr>Plot_Export</vt:lpstr>
      <vt:lpstr>All</vt:lpstr>
      <vt:lpstr>709_FP3_Outing1</vt:lpstr>
      <vt:lpstr>709_FP3_Outing2</vt:lpstr>
      <vt:lpstr>709_FP3_Outing 3</vt:lpstr>
      <vt:lpstr>709_FP3_Outing 4</vt:lpstr>
      <vt:lpstr>709_FP3_Outing 5</vt:lpstr>
      <vt:lpstr>709_FP3_Outing 6</vt:lpstr>
      <vt:lpstr>709_FP3_Outing 7</vt:lpstr>
      <vt:lpstr>709_HPP_Outing 1</vt:lpstr>
      <vt:lpstr>709_HPP_Outing 2</vt:lpstr>
      <vt:lpstr>709_FP4_Outing 1</vt:lpstr>
      <vt:lpstr>709_FP4_Outing 2</vt:lpstr>
      <vt:lpstr>709_FP4_Outing 3</vt:lpstr>
      <vt:lpstr>709_FP4_Outing 4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2021-08-20T07:55:37Z</cp:lastPrinted>
  <dcterms:created xsi:type="dcterms:W3CDTF">2021-07-23T10:36:36Z</dcterms:created>
  <dcterms:modified xsi:type="dcterms:W3CDTF">2021-08-20T07:56:49Z</dcterms:modified>
</cp:coreProperties>
</file>