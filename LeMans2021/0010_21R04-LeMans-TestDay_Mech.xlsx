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\\pe.local\shares\P074\RaceEngineering\00 Car Setup\"/>
    </mc:Choice>
  </mc:AlternateContent>
  <xr:revisionPtr revIDLastSave="0" documentId="13_ncr:1_{BD9AB3ED-24B1-4F55-A112-2D6DAC957D08}" xr6:coauthVersionLast="47" xr6:coauthVersionMax="47" xr10:uidLastSave="{00000000-0000-0000-0000-000000000000}"/>
  <bookViews>
    <workbookView xWindow="2640" yWindow="-13560" windowWidth="21600" windowHeight="11385" xr2:uid="{00000000-000D-0000-FFFF-FFFF00000000}"/>
  </bookViews>
  <sheets>
    <sheet name="708" sheetId="1" r:id="rId1"/>
    <sheet name="709" sheetId="2" r:id="rId2"/>
  </sheets>
  <definedNames>
    <definedName name="_xlnm.Print_Area" localSheetId="0">'708'!$A$1:$U$67</definedName>
    <definedName name="_xlnm.Print_Area" localSheetId="1">'709'!$A$1:$U$67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6" i="2" l="1"/>
  <c r="R44" i="2"/>
  <c r="C44" i="2"/>
  <c r="R38" i="2"/>
  <c r="C17" i="2"/>
  <c r="R15" i="2"/>
  <c r="C15" i="2"/>
  <c r="R9" i="2"/>
  <c r="R15" i="1"/>
  <c r="R44" i="1"/>
  <c r="C46" i="1"/>
  <c r="C44" i="1" s="1"/>
  <c r="C17" i="1"/>
  <c r="C15" i="1" s="1"/>
  <c r="R9" i="1" l="1"/>
  <c r="R38" i="1"/>
</calcChain>
</file>

<file path=xl/sharedStrings.xml><?xml version="1.0" encoding="utf-8"?>
<sst xmlns="http://schemas.openxmlformats.org/spreadsheetml/2006/main" count="354" uniqueCount="112">
  <si>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</si>
  <si>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</si>
  <si>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</si>
  <si>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</si>
  <si>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</si>
  <si>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</si>
  <si>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</si>
  <si>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</si>
  <si>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</si>
  <si>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</si>
  <si>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</si>
  <si>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</si>
  <si>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</si>
  <si>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</si>
  <si>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</si>
  <si>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</si>
  <si>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</si>
  <si>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</si>
  <si>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</si>
  <si>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</si>
  <si>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</si>
  <si>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</si>
  <si>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</si>
  <si>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</si>
  <si>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</si>
  <si>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Soft (Green)</t>
  </si>
  <si>
    <t>full soft</t>
  </si>
  <si>
    <t>Rear Anti-roll Bar</t>
  </si>
  <si>
    <t>Droplink position</t>
  </si>
  <si>
    <t>Hard (BLUE)</t>
  </si>
  <si>
    <t>out(soft)</t>
  </si>
  <si>
    <t>Fuel IN [kg]</t>
  </si>
  <si>
    <t>3rd Element</t>
  </si>
  <si>
    <t>Stack</t>
  </si>
  <si>
    <t>9 Hz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</si>
  <si>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</si>
  <si>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</si>
  <si>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</si>
  <si>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</si>
  <si>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</si>
  <si>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</si>
  <si>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</si>
  <si>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</si>
  <si>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</si>
  <si>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</si>
  <si>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</si>
  <si>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</si>
  <si>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</si>
  <si>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</si>
  <si>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</si>
  <si>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</si>
  <si>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</si>
  <si>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</si>
  <si>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</si>
  <si>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</si>
  <si>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</si>
  <si>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</si>
  <si>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</si>
  <si>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</si>
  <si>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</si>
  <si>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</si>
  <si>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</si>
  <si>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</si>
  <si>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</si>
  <si>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</si>
  <si>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</si>
  <si>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</si>
  <si>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FP1</t>
  </si>
  <si>
    <t>P21-05</t>
  </si>
  <si>
    <t>Bruno Corbe</t>
  </si>
  <si>
    <t>1324 001</t>
  </si>
  <si>
    <t>15/8/21</t>
  </si>
  <si>
    <t>Le Mans</t>
  </si>
  <si>
    <t>Derani, Pla, Mailleux</t>
  </si>
  <si>
    <t>400.200.950</t>
  </si>
  <si>
    <t>500.200.1100</t>
  </si>
  <si>
    <t>Droop GAP [mm]</t>
  </si>
  <si>
    <t>Push. Shim [mm]</t>
  </si>
  <si>
    <t>Camber shim</t>
  </si>
  <si>
    <t>FL</t>
  </si>
  <si>
    <t>FR</t>
  </si>
  <si>
    <t>3.3+613</t>
  </si>
  <si>
    <t>Turns from soft</t>
  </si>
  <si>
    <t>5.0+361</t>
  </si>
  <si>
    <t>5 + 2.5</t>
  </si>
  <si>
    <t>5 + 3x0.5</t>
  </si>
  <si>
    <t>RL</t>
  </si>
  <si>
    <t>RR</t>
  </si>
  <si>
    <t>Preload [bar]</t>
  </si>
  <si>
    <t>Rear ballast [kg]</t>
  </si>
  <si>
    <t>Front ballast [kg]</t>
  </si>
  <si>
    <t>Driver ballast [kg]</t>
  </si>
  <si>
    <t>01262S-70</t>
  </si>
  <si>
    <t>01262S-80</t>
  </si>
  <si>
    <t>8 Hz</t>
  </si>
  <si>
    <t>2x2 + 0.9</t>
  </si>
  <si>
    <t>2x2 + 1.8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</si>
  <si>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</si>
  <si>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47.3 mm</t>
  </si>
  <si>
    <t>Toe Shim</t>
  </si>
  <si>
    <t>3x4 + 2x0.3</t>
  </si>
  <si>
    <t>3x4 + 0.5</t>
  </si>
  <si>
    <t>Shaft Free Length</t>
  </si>
  <si>
    <t>Shaft Free L.</t>
  </si>
  <si>
    <t>233 mm</t>
  </si>
  <si>
    <t>Ramps Angle [°]</t>
  </si>
  <si>
    <t>P21-02</t>
  </si>
  <si>
    <t>1324 002</t>
  </si>
  <si>
    <t>Westbrook, Dumas,Briscoe</t>
  </si>
  <si>
    <t>Christophe Boittin</t>
  </si>
  <si>
    <t>|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</si>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</sst>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4.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3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0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2" fillId="19" borderId="27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2" fillId="19" borderId="54" xfId="0" applyFont="1" applyFill="1" applyBorder="1" applyAlignment="1">
      <alignment horizontal="center" vertical="center"/>
    </xf>
    <xf numFmtId="0" fontId="12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9" fontId="1" fillId="0" borderId="63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9" fillId="9" borderId="27" xfId="0" applyFont="1" applyFill="1" applyBorder="1" applyAlignment="1">
      <alignment horizontal="center" vertical="center"/>
    </xf>
    <xf numFmtId="0" fontId="9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164" fontId="1" fillId="0" borderId="47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12" fillId="19" borderId="12" xfId="0" applyFont="1" applyFill="1" applyBorder="1" applyAlignment="1">
      <alignment horizontal="center" vertical="center"/>
    </xf>
    <xf numFmtId="0" fontId="12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5" fillId="2" borderId="46" xfId="1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6" fillId="0" borderId="14" xfId="0" applyNumberFormat="1" applyFont="1" applyBorder="1" applyAlignment="1">
      <alignment horizontal="center" vertical="center"/>
    </xf>
    <xf numFmtId="164" fontId="17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9" fillId="3" borderId="6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9" fillId="7" borderId="28" xfId="0" applyFont="1" applyFill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9" fillId="8" borderId="80" xfId="0" applyFont="1" applyFill="1" applyBorder="1" applyAlignment="1">
      <alignment horizontal="center" vertical="center"/>
    </xf>
    <xf numFmtId="0" fontId="9" fillId="8" borderId="64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9" fillId="8" borderId="16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66FF33"/>
      <color rgb="FFCCFF33"/>
      <color rgb="FFCC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43226" y="7784931"/>
          <a:ext cx="964530" cy="482263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53915" y="7950443"/>
          <a:ext cx="638474" cy="229142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09D18F-01B4-4510-9EC9-DA18496BF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2301" y="37637"/>
          <a:ext cx="1326693" cy="22078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E12DE1-6517-4252-80D2-91014014B0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54139" y="42224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204ED9D-73DE-42C0-AABA-8855877937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16645" y="1700332"/>
          <a:ext cx="1672703" cy="4031520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BB3569-6C7E-4C8B-856D-5DBB7FEF05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4010" y="255708"/>
          <a:ext cx="357941" cy="484019"/>
        </a:xfrm>
        <a:prstGeom prst="rect">
          <a:avLst/>
        </a:prstGeom>
      </xdr:spPr>
    </xdr:pic>
    <xdr:clientData/>
  </xdr:two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1D836159-1DF1-4BDC-8681-8347EFC4172B}"/>
            </a:ext>
          </a:extLst>
        </xdr:cNvPr>
        <xdr:cNvGrpSpPr/>
      </xdr:nvGrpSpPr>
      <xdr:grpSpPr>
        <a:xfrm>
          <a:off x="4655682" y="7863329"/>
          <a:ext cx="965995" cy="486659"/>
          <a:chOff x="4496804" y="6211301"/>
          <a:chExt cx="962525" cy="476247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5D276408-800B-4B23-A584-94544F1989C2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66395E68-CF1A-4CCC-A646-32CB65012670}"/>
              </a:ext>
            </a:extLst>
          </xdr:cNvPr>
          <xdr:cNvCxnSpPr>
            <a:stCxn id="7" idx="1"/>
            <a:endCxn id="7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20849E20-681C-4442-BD47-21FC3AA2E2BC}"/>
              </a:ext>
            </a:extLst>
          </xdr:cNvPr>
          <xdr:cNvCxnSpPr>
            <a:stCxn id="7" idx="2"/>
            <a:endCxn id="7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4793CE32-BCE6-4701-88E2-25FB4B409AD5}"/>
            </a:ext>
          </a:extLst>
        </xdr:cNvPr>
        <xdr:cNvGrpSpPr/>
      </xdr:nvGrpSpPr>
      <xdr:grpSpPr>
        <a:xfrm>
          <a:off x="5767836" y="8030306"/>
          <a:ext cx="638474" cy="230608"/>
          <a:chOff x="5634794" y="6276474"/>
          <a:chExt cx="638474" cy="365961"/>
        </a:xfrm>
      </xdr:grpSpPr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A4446369-76EA-4D33-AA6F-85332FACDF79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7CB1041C-9AF4-44F2-A892-22BC5DAC960D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13" name="Picture 12" descr="Diagram, engineering drawing&#10;&#10;Description automatically generated">
          <a:extLst>
            <a:ext uri="{FF2B5EF4-FFF2-40B4-BE49-F238E27FC236}">
              <a16:creationId xmlns:a16="http://schemas.microsoft.com/office/drawing/2014/main" id="{11B266D7-4BEF-4FD1-8B50-B5E72BDC71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503250" y="3541778"/>
          <a:ext cx="3510979" cy="1436110"/>
        </a:xfrm>
        <a:prstGeom prst="rect">
          <a:avLst/>
        </a:prstGeom>
      </xdr:spPr>
    </xdr:pic>
    <xdr:clientData/>
  </xdr:twoCellAnchor>
  <xdr:oneCellAnchor>
    <xdr:from>
      <xdr:col>14</xdr:col>
      <xdr:colOff>139212</xdr:colOff>
      <xdr:row>58</xdr:row>
      <xdr:rowOff>14653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9248A73-BD2F-4846-8E03-DF765A0C8DD1}"/>
            </a:ext>
          </a:extLst>
        </xdr:cNvPr>
        <xdr:cNvSpPr txBox="1"/>
      </xdr:nvSpPr>
      <xdr:spPr>
        <a:xfrm>
          <a:off x="4256943" y="8616461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67"/>
  <sheetViews>
    <sheetView showGridLines="0" tabSelected="1" zoomScaleNormal="100" workbookViewId="0">
      <selection activeCell="L46" sqref="L46:M46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7"/>
      <c r="C2" s="28"/>
      <c r="D2" s="28"/>
      <c r="E2" s="28"/>
      <c r="F2" s="28"/>
      <c r="G2" s="28"/>
      <c r="H2" s="29"/>
      <c r="I2" s="221" t="s">
        <v>0</v>
      </c>
      <c r="J2" s="222"/>
      <c r="K2" s="222"/>
      <c r="L2" s="222"/>
      <c r="M2" s="223"/>
      <c r="N2" s="27"/>
      <c r="O2" s="28"/>
      <c r="P2" s="28"/>
      <c r="Q2" s="28"/>
      <c r="R2" s="28"/>
      <c r="S2" s="28"/>
      <c r="T2" s="29"/>
    </row>
    <row r="3" spans="2:20" ht="3" customHeight="1" thickTop="1" thickBot="1" x14ac:dyDescent="0.3">
      <c r="B3" s="48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1"/>
    </row>
    <row r="4" spans="2:20" ht="12" customHeight="1" x14ac:dyDescent="0.25">
      <c r="B4" s="39"/>
      <c r="C4" s="42"/>
      <c r="D4" s="42"/>
      <c r="E4" s="42"/>
      <c r="F4" s="7" t="s">
        <v>7</v>
      </c>
      <c r="G4" s="11" t="s">
        <v>67</v>
      </c>
      <c r="H4" s="42"/>
      <c r="I4" s="7" t="s">
        <v>4</v>
      </c>
      <c r="J4" s="214">
        <v>708</v>
      </c>
      <c r="K4" s="214"/>
      <c r="L4" s="214"/>
      <c r="M4" s="205"/>
      <c r="N4" s="42"/>
      <c r="O4" s="42"/>
      <c r="P4" s="7" t="s">
        <v>1</v>
      </c>
      <c r="Q4" s="188" t="s">
        <v>73</v>
      </c>
      <c r="R4" s="188"/>
      <c r="S4" s="189"/>
      <c r="T4" s="43"/>
    </row>
    <row r="5" spans="2:20" ht="12" customHeight="1" thickBot="1" x14ac:dyDescent="0.3">
      <c r="B5" s="39"/>
      <c r="C5" s="42"/>
      <c r="D5" s="42"/>
      <c r="E5" s="42"/>
      <c r="F5" s="8" t="s">
        <v>8</v>
      </c>
      <c r="G5" s="89" t="s">
        <v>71</v>
      </c>
      <c r="H5" s="42"/>
      <c r="I5" s="8" t="s">
        <v>5</v>
      </c>
      <c r="J5" s="219" t="s">
        <v>68</v>
      </c>
      <c r="K5" s="219"/>
      <c r="L5" s="219"/>
      <c r="M5" s="220"/>
      <c r="N5" s="42"/>
      <c r="O5" s="42"/>
      <c r="P5" s="9" t="s">
        <v>2</v>
      </c>
      <c r="Q5" s="190" t="s">
        <v>69</v>
      </c>
      <c r="R5" s="190"/>
      <c r="S5" s="191"/>
      <c r="T5" s="43"/>
    </row>
    <row r="6" spans="2:20" ht="12" customHeight="1" thickBot="1" x14ac:dyDescent="0.3">
      <c r="B6" s="39"/>
      <c r="C6" s="42"/>
      <c r="D6" s="42"/>
      <c r="E6" s="42"/>
      <c r="F6" s="9" t="s">
        <v>3</v>
      </c>
      <c r="G6" s="15" t="s">
        <v>72</v>
      </c>
      <c r="H6" s="42"/>
      <c r="I6" s="9" t="s">
        <v>6</v>
      </c>
      <c r="J6" s="190" t="s">
        <v>70</v>
      </c>
      <c r="K6" s="190"/>
      <c r="L6" s="190"/>
      <c r="M6" s="191"/>
      <c r="N6" s="42"/>
      <c r="O6" s="47"/>
      <c r="P6" s="42"/>
      <c r="Q6" s="42"/>
      <c r="R6" s="42"/>
      <c r="S6" s="42"/>
      <c r="T6" s="43"/>
    </row>
    <row r="7" spans="2:20" ht="3" customHeight="1" thickBot="1" x14ac:dyDescent="0.3">
      <c r="B7" s="46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5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21" t="s">
        <v>9</v>
      </c>
      <c r="C9" s="214" t="s">
        <v>74</v>
      </c>
      <c r="D9" s="205"/>
      <c r="E9" s="2"/>
      <c r="F9" s="215" t="s">
        <v>18</v>
      </c>
      <c r="G9" s="216"/>
      <c r="H9" s="2"/>
      <c r="I9" s="129" t="s">
        <v>64</v>
      </c>
      <c r="J9" s="198" t="s">
        <v>65</v>
      </c>
      <c r="K9" s="199"/>
      <c r="L9" s="165"/>
      <c r="M9" s="2"/>
      <c r="N9" s="2"/>
      <c r="O9" s="215" t="s">
        <v>18</v>
      </c>
      <c r="P9" s="216"/>
      <c r="Q9" s="2"/>
      <c r="R9" s="204" t="str">
        <f>C9</f>
        <v>400.200.950</v>
      </c>
      <c r="S9" s="214"/>
      <c r="T9" s="30" t="s">
        <v>9</v>
      </c>
    </row>
    <row r="10" spans="2:20" ht="12" customHeight="1" thickBot="1" x14ac:dyDescent="0.3">
      <c r="B10" s="25" t="s">
        <v>10</v>
      </c>
      <c r="C10" s="109">
        <v>41</v>
      </c>
      <c r="D10" s="111"/>
      <c r="E10" s="2"/>
      <c r="F10" s="26">
        <v>-2.8</v>
      </c>
      <c r="G10" s="106"/>
      <c r="H10" s="2"/>
      <c r="I10" s="26" t="s">
        <v>22</v>
      </c>
      <c r="J10" s="202">
        <v>0</v>
      </c>
      <c r="K10" s="203"/>
      <c r="L10" s="200"/>
      <c r="M10" s="201"/>
      <c r="N10" s="2"/>
      <c r="O10" s="26">
        <v>-2.6</v>
      </c>
      <c r="P10" s="106"/>
      <c r="Q10" s="2"/>
      <c r="R10" s="113"/>
      <c r="S10" s="114"/>
      <c r="T10" s="31" t="s">
        <v>10</v>
      </c>
    </row>
    <row r="11" spans="2:20" ht="12" customHeight="1" x14ac:dyDescent="0.25">
      <c r="B11" s="37" t="s">
        <v>11</v>
      </c>
      <c r="C11" s="70" t="s">
        <v>12</v>
      </c>
      <c r="D11" s="71" t="s">
        <v>13</v>
      </c>
      <c r="E11" s="2"/>
      <c r="F11" s="217" t="s">
        <v>19</v>
      </c>
      <c r="G11" s="218"/>
      <c r="H11" s="2"/>
      <c r="N11" s="2"/>
      <c r="O11" s="217" t="s">
        <v>19</v>
      </c>
      <c r="P11" s="218"/>
      <c r="Q11" s="2"/>
      <c r="R11" s="117" t="s">
        <v>12</v>
      </c>
      <c r="S11" s="71" t="s">
        <v>13</v>
      </c>
      <c r="T11" s="38" t="s">
        <v>11</v>
      </c>
    </row>
    <row r="12" spans="2:20" ht="12" customHeight="1" thickBot="1" x14ac:dyDescent="0.3">
      <c r="B12" s="65" t="s">
        <v>14</v>
      </c>
      <c r="C12" s="12">
        <v>10</v>
      </c>
      <c r="D12" s="13">
        <v>10</v>
      </c>
      <c r="E12" s="2"/>
      <c r="F12" s="26">
        <v>6.5</v>
      </c>
      <c r="G12" s="106"/>
      <c r="H12" s="2"/>
      <c r="I12" s="2"/>
      <c r="J12" s="2"/>
      <c r="K12" s="2"/>
      <c r="L12" s="2"/>
      <c r="M12" s="2"/>
      <c r="N12" s="2"/>
      <c r="O12" s="26">
        <v>7.5</v>
      </c>
      <c r="P12" s="106"/>
      <c r="Q12" s="2"/>
      <c r="R12" s="35">
        <v>10</v>
      </c>
      <c r="S12" s="67">
        <v>10</v>
      </c>
      <c r="T12" s="68" t="s">
        <v>14</v>
      </c>
    </row>
    <row r="13" spans="2:20" ht="12" customHeight="1" x14ac:dyDescent="0.25">
      <c r="B13" s="66" t="s">
        <v>15</v>
      </c>
      <c r="C13" s="12">
        <v>10</v>
      </c>
      <c r="D13" s="13">
        <v>14</v>
      </c>
      <c r="E13" s="2"/>
      <c r="F13" s="204" t="s">
        <v>20</v>
      </c>
      <c r="G13" s="205"/>
      <c r="H13" s="2"/>
      <c r="I13" s="130" t="s">
        <v>32</v>
      </c>
      <c r="J13" s="193" t="s">
        <v>33</v>
      </c>
      <c r="K13" s="193"/>
      <c r="L13" s="194" t="s">
        <v>66</v>
      </c>
      <c r="M13" s="195"/>
      <c r="N13" s="2"/>
      <c r="O13" s="204" t="s">
        <v>20</v>
      </c>
      <c r="P13" s="205"/>
      <c r="Q13" s="2"/>
      <c r="R13" s="35">
        <v>10</v>
      </c>
      <c r="S13" s="67">
        <v>14</v>
      </c>
      <c r="T13" s="69" t="s">
        <v>15</v>
      </c>
    </row>
    <row r="14" spans="2:20" ht="12" customHeight="1" thickBot="1" x14ac:dyDescent="0.3">
      <c r="B14" s="22" t="s">
        <v>16</v>
      </c>
      <c r="C14" s="219" t="s">
        <v>92</v>
      </c>
      <c r="D14" s="220"/>
      <c r="E14" s="2"/>
      <c r="F14" s="90">
        <v>2</v>
      </c>
      <c r="G14" s="107"/>
      <c r="H14" s="2"/>
      <c r="I14" s="135"/>
      <c r="J14" s="196" t="s">
        <v>34</v>
      </c>
      <c r="K14" s="196"/>
      <c r="L14" s="196" t="s">
        <v>98</v>
      </c>
      <c r="M14" s="197"/>
      <c r="N14" s="2"/>
      <c r="O14" s="90">
        <v>2</v>
      </c>
      <c r="P14" s="107"/>
      <c r="Q14" s="2"/>
      <c r="R14" s="157" t="s">
        <v>92</v>
      </c>
      <c r="S14" s="174"/>
      <c r="T14" s="32" t="s">
        <v>16</v>
      </c>
    </row>
    <row r="15" spans="2:20" ht="12" customHeight="1" thickBot="1" x14ac:dyDescent="0.3">
      <c r="B15" s="23" t="s">
        <v>17</v>
      </c>
      <c r="C15" s="82">
        <f>C16-15.1-C17</f>
        <v>26.150000000000013</v>
      </c>
      <c r="D15" s="110"/>
      <c r="E15" s="2"/>
      <c r="F15" s="204" t="s">
        <v>97</v>
      </c>
      <c r="G15" s="205"/>
      <c r="H15" s="2"/>
      <c r="I15" s="137" t="s">
        <v>103</v>
      </c>
      <c r="J15" s="166">
        <v>172.5</v>
      </c>
      <c r="K15" s="166"/>
      <c r="L15" s="167"/>
      <c r="M15" s="168"/>
      <c r="N15" s="2"/>
      <c r="O15" s="204" t="s">
        <v>97</v>
      </c>
      <c r="P15" s="205"/>
      <c r="Q15" s="2"/>
      <c r="R15" s="35">
        <f>R16-15.1-R17</f>
        <v>26.150000000000013</v>
      </c>
      <c r="S15" s="116"/>
      <c r="T15" s="33" t="s">
        <v>17</v>
      </c>
    </row>
    <row r="16" spans="2:20" ht="12" customHeight="1" thickBot="1" x14ac:dyDescent="0.3">
      <c r="B16" s="23" t="s">
        <v>102</v>
      </c>
      <c r="C16" s="82">
        <v>87.4</v>
      </c>
      <c r="D16" s="110"/>
      <c r="E16" s="2"/>
      <c r="F16" s="133">
        <v>13.13</v>
      </c>
      <c r="G16" s="107"/>
      <c r="H16" s="2"/>
      <c r="I16" s="136"/>
      <c r="J16" s="211" t="s">
        <v>12</v>
      </c>
      <c r="K16" s="211"/>
      <c r="L16" s="212" t="s">
        <v>13</v>
      </c>
      <c r="M16" s="213"/>
      <c r="N16" s="2"/>
      <c r="O16" s="133">
        <v>13.9</v>
      </c>
      <c r="P16" s="107"/>
      <c r="Q16" s="2"/>
      <c r="R16" s="35">
        <v>87.4</v>
      </c>
      <c r="S16" s="116"/>
      <c r="T16" s="33" t="s">
        <v>102</v>
      </c>
    </row>
    <row r="17" spans="2:20" ht="12" customHeight="1" thickBot="1" x14ac:dyDescent="0.3">
      <c r="B17" s="24" t="s">
        <v>76</v>
      </c>
      <c r="C17" s="77">
        <f>26+23.9-3.75</f>
        <v>46.15</v>
      </c>
      <c r="D17" s="112"/>
      <c r="E17" s="2"/>
      <c r="F17" s="177" t="s">
        <v>77</v>
      </c>
      <c r="G17" s="178"/>
      <c r="H17" s="2"/>
      <c r="I17" s="126" t="s">
        <v>14</v>
      </c>
      <c r="J17" s="159">
        <v>7</v>
      </c>
      <c r="K17" s="174"/>
      <c r="L17" s="159">
        <v>8</v>
      </c>
      <c r="M17" s="158"/>
      <c r="N17" s="2"/>
      <c r="O17" s="177" t="s">
        <v>77</v>
      </c>
      <c r="P17" s="178"/>
      <c r="Q17" s="2"/>
      <c r="R17" s="26">
        <v>46.15</v>
      </c>
      <c r="S17" s="115"/>
      <c r="T17" s="34" t="s">
        <v>76</v>
      </c>
    </row>
    <row r="18" spans="2:20" ht="12" customHeight="1" thickBot="1" x14ac:dyDescent="0.3">
      <c r="B18" s="6"/>
      <c r="C18" s="2"/>
      <c r="D18" s="2"/>
      <c r="E18" s="2"/>
      <c r="F18" s="36" t="s">
        <v>81</v>
      </c>
      <c r="G18" s="108"/>
      <c r="H18" s="2"/>
      <c r="I18" s="127" t="s">
        <v>15</v>
      </c>
      <c r="J18" s="141">
        <v>11</v>
      </c>
      <c r="K18" s="184"/>
      <c r="L18" s="141">
        <v>10</v>
      </c>
      <c r="M18" s="142"/>
      <c r="N18" s="2"/>
      <c r="O18" s="85" t="s">
        <v>81</v>
      </c>
      <c r="P18" s="108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79" t="s">
        <v>21</v>
      </c>
      <c r="G19" s="180"/>
      <c r="H19" s="2"/>
      <c r="I19" s="2"/>
      <c r="J19" s="2"/>
      <c r="K19" s="2"/>
      <c r="L19" s="2"/>
      <c r="M19" s="2"/>
      <c r="N19" s="2"/>
      <c r="O19" s="179" t="s">
        <v>21</v>
      </c>
      <c r="P19" s="180"/>
      <c r="Q19" s="2"/>
      <c r="R19" s="2"/>
      <c r="T19" s="5"/>
    </row>
    <row r="20" spans="2:20" ht="12" customHeight="1" thickBot="1" x14ac:dyDescent="0.3">
      <c r="B20" s="103" t="s">
        <v>23</v>
      </c>
      <c r="C20" s="206" t="s">
        <v>25</v>
      </c>
      <c r="D20" s="207"/>
      <c r="E20" s="2"/>
      <c r="F20" s="131">
        <v>62</v>
      </c>
      <c r="G20" s="132"/>
      <c r="H20" s="2"/>
      <c r="I20" s="2"/>
      <c r="J20" s="2"/>
      <c r="K20" s="2"/>
      <c r="L20" s="2"/>
      <c r="M20" s="2"/>
      <c r="N20" s="2"/>
      <c r="O20" s="131">
        <v>62</v>
      </c>
      <c r="P20" s="132"/>
      <c r="Q20" s="2"/>
      <c r="R20" s="192"/>
      <c r="S20" s="192"/>
      <c r="T20" s="62"/>
    </row>
    <row r="21" spans="2:20" ht="12" customHeight="1" thickBot="1" x14ac:dyDescent="0.3">
      <c r="B21" s="104" t="s">
        <v>24</v>
      </c>
      <c r="C21" s="16" t="s">
        <v>26</v>
      </c>
      <c r="D21" s="17" t="s">
        <v>26</v>
      </c>
      <c r="E21" s="19"/>
      <c r="F21" s="131">
        <v>256.2</v>
      </c>
      <c r="G21" s="132"/>
      <c r="H21" s="2"/>
      <c r="I21" s="2"/>
      <c r="J21" s="2"/>
      <c r="K21" s="2"/>
      <c r="L21" s="2"/>
      <c r="M21" s="2"/>
      <c r="N21" s="2"/>
      <c r="O21" s="131">
        <v>256.2</v>
      </c>
      <c r="P21" s="132"/>
      <c r="Q21" s="2"/>
      <c r="R21" s="2"/>
      <c r="T21" s="5"/>
    </row>
    <row r="22" spans="2:20" ht="12" customHeight="1" thickBot="1" x14ac:dyDescent="0.3">
      <c r="B22" s="105" t="s">
        <v>82</v>
      </c>
      <c r="C22" s="101">
        <v>0</v>
      </c>
      <c r="D22" s="102">
        <v>0</v>
      </c>
      <c r="E22" s="19"/>
      <c r="F22" s="1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145" t="s">
        <v>31</v>
      </c>
      <c r="S23" s="146"/>
      <c r="T23" s="120">
        <v>0</v>
      </c>
    </row>
    <row r="24" spans="2:20" ht="12" customHeight="1" x14ac:dyDescent="0.25">
      <c r="B24" s="230" t="s">
        <v>60</v>
      </c>
      <c r="C24" s="87" t="s">
        <v>61</v>
      </c>
      <c r="D24" s="87" t="s">
        <v>62</v>
      </c>
      <c r="E24" s="210" t="s">
        <v>63</v>
      </c>
      <c r="F24" s="17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26" t="s">
        <v>90</v>
      </c>
      <c r="S24" s="227"/>
      <c r="T24" s="121"/>
    </row>
    <row r="25" spans="2:20" ht="12" customHeight="1" thickBot="1" x14ac:dyDescent="0.3">
      <c r="B25" s="231"/>
      <c r="C25" s="18">
        <v>16.8</v>
      </c>
      <c r="D25" s="18">
        <v>19.100000000000001</v>
      </c>
      <c r="E25" s="88">
        <v>0.62</v>
      </c>
      <c r="F25" s="86">
        <v>0.62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26" t="s">
        <v>89</v>
      </c>
      <c r="S25" s="227"/>
      <c r="T25" s="121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28" t="s">
        <v>91</v>
      </c>
      <c r="S26" s="229"/>
      <c r="T26" s="122">
        <v>75</v>
      </c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39" t="s">
        <v>27</v>
      </c>
      <c r="C34" s="143" t="s">
        <v>29</v>
      </c>
      <c r="D34" s="144"/>
      <c r="E34" s="2"/>
      <c r="F34" s="177" t="s">
        <v>18</v>
      </c>
      <c r="G34" s="178"/>
      <c r="H34" s="2"/>
      <c r="I34" s="2"/>
      <c r="J34" s="2"/>
      <c r="K34" s="2"/>
      <c r="L34" s="2"/>
      <c r="M34" s="2"/>
      <c r="N34" s="2"/>
      <c r="O34" s="177" t="s">
        <v>18</v>
      </c>
      <c r="P34" s="178"/>
      <c r="Q34" s="2"/>
      <c r="R34" s="2"/>
      <c r="T34" s="5"/>
    </row>
    <row r="35" spans="2:20" ht="12" thickBot="1" x14ac:dyDescent="0.3">
      <c r="B35" s="140" t="s">
        <v>28</v>
      </c>
      <c r="C35" s="124" t="s">
        <v>30</v>
      </c>
      <c r="D35" s="125" t="s">
        <v>30</v>
      </c>
      <c r="E35" s="2"/>
      <c r="F35" s="26">
        <v>-2.4</v>
      </c>
      <c r="G35" s="106"/>
      <c r="H35" s="2"/>
      <c r="I35" s="2"/>
      <c r="J35" s="2"/>
      <c r="K35" s="2"/>
      <c r="L35" s="2"/>
      <c r="M35" s="2"/>
      <c r="N35" s="2"/>
      <c r="O35" s="26">
        <v>-2.2000000000000002</v>
      </c>
      <c r="P35" s="106"/>
      <c r="Q35" s="2"/>
      <c r="R35" s="2"/>
      <c r="T35" s="5"/>
    </row>
    <row r="36" spans="2:20" ht="12" customHeight="1" x14ac:dyDescent="0.25">
      <c r="B36" s="64"/>
      <c r="E36" s="2"/>
      <c r="F36" s="208" t="s">
        <v>19</v>
      </c>
      <c r="G36" s="209"/>
      <c r="H36" s="2"/>
      <c r="I36" s="2"/>
      <c r="J36" s="2"/>
      <c r="K36" s="2"/>
      <c r="L36" s="2"/>
      <c r="M36" s="2"/>
      <c r="N36" s="2"/>
      <c r="O36" s="208" t="s">
        <v>19</v>
      </c>
      <c r="P36" s="209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90">
        <v>4.9000000000000004</v>
      </c>
      <c r="G37" s="106"/>
      <c r="H37" s="2"/>
      <c r="I37" s="2"/>
      <c r="J37" s="2"/>
      <c r="K37" s="2"/>
      <c r="L37" s="2"/>
      <c r="M37" s="2"/>
      <c r="N37" s="2"/>
      <c r="O37" s="90">
        <v>5.8</v>
      </c>
      <c r="P37" s="106"/>
      <c r="Q37" s="2"/>
      <c r="R37" s="2"/>
      <c r="T37" s="5"/>
    </row>
    <row r="38" spans="2:20" ht="12" customHeight="1" x14ac:dyDescent="0.25">
      <c r="B38" s="21" t="s">
        <v>9</v>
      </c>
      <c r="C38" s="162" t="s">
        <v>75</v>
      </c>
      <c r="D38" s="163"/>
      <c r="E38" s="2"/>
      <c r="F38" s="160" t="s">
        <v>20</v>
      </c>
      <c r="G38" s="163"/>
      <c r="H38" s="2"/>
      <c r="I38" s="2"/>
      <c r="J38" s="2"/>
      <c r="K38" s="2"/>
      <c r="L38" s="2"/>
      <c r="M38" s="2"/>
      <c r="N38" s="2"/>
      <c r="O38" s="160" t="s">
        <v>20</v>
      </c>
      <c r="P38" s="163"/>
      <c r="Q38" s="2"/>
      <c r="R38" s="160" t="str">
        <f>C38</f>
        <v>500.200.1100</v>
      </c>
      <c r="S38" s="161"/>
      <c r="T38" s="30" t="s">
        <v>9</v>
      </c>
    </row>
    <row r="39" spans="2:20" ht="12" customHeight="1" thickBot="1" x14ac:dyDescent="0.3">
      <c r="B39" s="25" t="s">
        <v>10</v>
      </c>
      <c r="C39" s="109">
        <v>49</v>
      </c>
      <c r="D39" s="111"/>
      <c r="E39" s="2"/>
      <c r="F39" s="134">
        <v>-1</v>
      </c>
      <c r="G39" s="107"/>
      <c r="H39" s="2"/>
      <c r="I39" s="2"/>
      <c r="J39" s="2"/>
      <c r="K39" s="2"/>
      <c r="L39" s="2"/>
      <c r="M39" s="2"/>
      <c r="N39" s="2"/>
      <c r="O39" s="134">
        <v>-1</v>
      </c>
      <c r="P39" s="107"/>
      <c r="Q39" s="2"/>
      <c r="R39" s="123">
        <v>49</v>
      </c>
      <c r="S39" s="114"/>
      <c r="T39" s="31" t="s">
        <v>10</v>
      </c>
    </row>
    <row r="40" spans="2:20" ht="12" customHeight="1" x14ac:dyDescent="0.25">
      <c r="B40" s="37" t="s">
        <v>11</v>
      </c>
      <c r="C40" s="70" t="s">
        <v>12</v>
      </c>
      <c r="D40" s="71" t="s">
        <v>13</v>
      </c>
      <c r="E40" s="2"/>
      <c r="F40" s="160" t="s">
        <v>97</v>
      </c>
      <c r="G40" s="163"/>
      <c r="H40" s="2"/>
      <c r="I40" s="2"/>
      <c r="J40" s="2"/>
      <c r="K40" s="2"/>
      <c r="L40" s="2"/>
      <c r="M40" s="2"/>
      <c r="N40" s="2"/>
      <c r="O40" s="160" t="s">
        <v>97</v>
      </c>
      <c r="P40" s="163"/>
      <c r="Q40" s="2"/>
      <c r="R40" s="117" t="s">
        <v>12</v>
      </c>
      <c r="S40" s="71" t="s">
        <v>13</v>
      </c>
      <c r="T40" s="38" t="s">
        <v>11</v>
      </c>
    </row>
    <row r="41" spans="2:20" ht="12" customHeight="1" thickBot="1" x14ac:dyDescent="0.3">
      <c r="B41" s="65" t="s">
        <v>14</v>
      </c>
      <c r="C41" s="82">
        <v>9</v>
      </c>
      <c r="D41" s="83">
        <v>5</v>
      </c>
      <c r="E41" s="2"/>
      <c r="F41" s="134">
        <v>12.6</v>
      </c>
      <c r="G41" s="107"/>
      <c r="H41" s="2"/>
      <c r="I41" s="2"/>
      <c r="J41" s="2"/>
      <c r="K41" s="2"/>
      <c r="L41" s="2"/>
      <c r="M41" s="2"/>
      <c r="N41" s="2"/>
      <c r="O41" s="134">
        <v>12.5</v>
      </c>
      <c r="P41" s="107"/>
      <c r="Q41" s="2"/>
      <c r="R41" s="35">
        <v>9</v>
      </c>
      <c r="S41" s="128">
        <v>5</v>
      </c>
      <c r="T41" s="68" t="s">
        <v>14</v>
      </c>
    </row>
    <row r="42" spans="2:20" ht="12" customHeight="1" x14ac:dyDescent="0.25">
      <c r="B42" s="66" t="s">
        <v>15</v>
      </c>
      <c r="C42" s="82">
        <v>5</v>
      </c>
      <c r="D42" s="83">
        <v>9</v>
      </c>
      <c r="E42" s="2"/>
      <c r="F42" s="215" t="s">
        <v>77</v>
      </c>
      <c r="G42" s="205"/>
      <c r="H42" s="2"/>
      <c r="I42" s="2"/>
      <c r="J42" s="2"/>
      <c r="K42" s="2"/>
      <c r="L42" s="2"/>
      <c r="M42" s="2"/>
      <c r="N42" s="2"/>
      <c r="O42" s="177" t="s">
        <v>77</v>
      </c>
      <c r="P42" s="178"/>
      <c r="Q42" s="2"/>
      <c r="R42" s="35">
        <v>5</v>
      </c>
      <c r="S42" s="128">
        <v>9</v>
      </c>
      <c r="T42" s="69" t="s">
        <v>15</v>
      </c>
    </row>
    <row r="43" spans="2:20" ht="12" customHeight="1" thickBot="1" x14ac:dyDescent="0.3">
      <c r="B43" s="22" t="s">
        <v>16</v>
      </c>
      <c r="C43" s="159" t="s">
        <v>93</v>
      </c>
      <c r="D43" s="158"/>
      <c r="E43" s="2"/>
      <c r="F43" s="36" t="s">
        <v>83</v>
      </c>
      <c r="G43" s="108"/>
      <c r="H43" s="2"/>
      <c r="I43" s="2"/>
      <c r="J43" s="2"/>
      <c r="K43" s="2"/>
      <c r="L43" s="2"/>
      <c r="M43" s="2"/>
      <c r="N43" s="2"/>
      <c r="O43" s="36" t="s">
        <v>83</v>
      </c>
      <c r="P43" s="108"/>
      <c r="Q43" s="2"/>
      <c r="R43" s="157" t="s">
        <v>93</v>
      </c>
      <c r="S43" s="174"/>
      <c r="T43" s="32" t="s">
        <v>16</v>
      </c>
    </row>
    <row r="44" spans="2:20" ht="12" customHeight="1" thickBot="1" x14ac:dyDescent="0.3">
      <c r="B44" s="23" t="s">
        <v>17</v>
      </c>
      <c r="C44" s="82">
        <f>C45-15.1-C46</f>
        <v>30.100000000000009</v>
      </c>
      <c r="D44" s="110"/>
      <c r="E44" s="2"/>
      <c r="F44" s="164" t="s">
        <v>21</v>
      </c>
      <c r="G44" s="165"/>
      <c r="H44" s="2"/>
      <c r="I44" s="130" t="s">
        <v>32</v>
      </c>
      <c r="J44" s="175" t="s">
        <v>33</v>
      </c>
      <c r="K44" s="176"/>
      <c r="L44" s="181" t="s">
        <v>66</v>
      </c>
      <c r="M44" s="182"/>
      <c r="N44" s="2"/>
      <c r="O44" s="179" t="s">
        <v>21</v>
      </c>
      <c r="P44" s="180"/>
      <c r="Q44" s="2"/>
      <c r="R44" s="35">
        <f>R45-15.1-R46</f>
        <v>30.100000000000009</v>
      </c>
      <c r="S44" s="116"/>
      <c r="T44" s="33" t="s">
        <v>17</v>
      </c>
    </row>
    <row r="45" spans="2:20" ht="12" customHeight="1" thickBot="1" x14ac:dyDescent="0.3">
      <c r="B45" s="23" t="s">
        <v>102</v>
      </c>
      <c r="C45" s="82">
        <v>96.4</v>
      </c>
      <c r="D45" s="110"/>
      <c r="E45" s="2"/>
      <c r="F45" s="131">
        <v>85</v>
      </c>
      <c r="G45" s="132"/>
      <c r="H45" s="2"/>
      <c r="I45" s="135"/>
      <c r="J45" s="196" t="s">
        <v>94</v>
      </c>
      <c r="K45" s="196"/>
      <c r="L45" s="196">
        <v>53</v>
      </c>
      <c r="M45" s="197"/>
      <c r="N45" s="2"/>
      <c r="O45" s="131">
        <v>85</v>
      </c>
      <c r="P45" s="132"/>
      <c r="Q45" s="2"/>
      <c r="R45" s="35">
        <v>96.4</v>
      </c>
      <c r="S45" s="116"/>
      <c r="T45" s="33" t="s">
        <v>102</v>
      </c>
    </row>
    <row r="46" spans="2:20" ht="12" customHeight="1" thickBot="1" x14ac:dyDescent="0.3">
      <c r="B46" s="24" t="s">
        <v>76</v>
      </c>
      <c r="C46" s="77">
        <f>37+23.9-9.7</f>
        <v>51.2</v>
      </c>
      <c r="D46" s="112"/>
      <c r="E46" s="2"/>
      <c r="F46" s="131">
        <v>300.8</v>
      </c>
      <c r="G46" s="132"/>
      <c r="H46" s="2"/>
      <c r="I46" s="137" t="s">
        <v>103</v>
      </c>
      <c r="J46" s="166" t="s">
        <v>104</v>
      </c>
      <c r="K46" s="166"/>
      <c r="L46" s="167"/>
      <c r="M46" s="168"/>
      <c r="N46" s="2"/>
      <c r="O46" s="131">
        <v>300.8</v>
      </c>
      <c r="P46" s="132"/>
      <c r="Q46" s="2"/>
      <c r="R46" s="26">
        <v>51.2</v>
      </c>
      <c r="S46" s="115"/>
      <c r="T46" s="34" t="s">
        <v>76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36"/>
      <c r="J47" s="211" t="s">
        <v>12</v>
      </c>
      <c r="K47" s="211"/>
      <c r="L47" s="212" t="s">
        <v>13</v>
      </c>
      <c r="M47" s="213"/>
      <c r="N47" s="2"/>
      <c r="Q47" s="2"/>
      <c r="R47" s="2"/>
      <c r="T47" s="5"/>
    </row>
    <row r="48" spans="2:20" ht="12" customHeight="1" thickBot="1" x14ac:dyDescent="0.3">
      <c r="B48" s="49" t="s">
        <v>44</v>
      </c>
      <c r="C48" s="50" t="s">
        <v>111</v>
      </c>
      <c r="D48" s="51" t="s">
        <v>45</v>
      </c>
      <c r="E48" s="2"/>
      <c r="F48" s="234" t="s">
        <v>46</v>
      </c>
      <c r="G48" s="235"/>
      <c r="H48" s="2"/>
      <c r="I48" s="126" t="s">
        <v>14</v>
      </c>
      <c r="J48" s="159">
        <v>11</v>
      </c>
      <c r="K48" s="174"/>
      <c r="L48" s="159">
        <v>10</v>
      </c>
      <c r="M48" s="158"/>
      <c r="N48" s="2"/>
      <c r="O48" s="58"/>
      <c r="P48" s="58"/>
      <c r="Q48" s="2"/>
      <c r="R48" s="2"/>
      <c r="T48" s="5"/>
    </row>
    <row r="49" spans="2:21" ht="12" thickBot="1" x14ac:dyDescent="0.3">
      <c r="B49" s="56" t="s">
        <v>36</v>
      </c>
      <c r="C49" s="53">
        <v>2.8460000000000001</v>
      </c>
      <c r="D49" s="54">
        <v>114</v>
      </c>
      <c r="E49" s="2"/>
      <c r="F49" s="232" t="s">
        <v>105</v>
      </c>
      <c r="G49" s="233"/>
      <c r="H49" s="2"/>
      <c r="I49" s="127" t="s">
        <v>15</v>
      </c>
      <c r="J49" s="141">
        <v>5</v>
      </c>
      <c r="K49" s="184"/>
      <c r="L49" s="141">
        <v>10</v>
      </c>
      <c r="M49" s="142"/>
      <c r="N49" s="2"/>
      <c r="O49" s="2"/>
      <c r="P49" s="2"/>
      <c r="Q49" s="2"/>
      <c r="R49" s="2"/>
      <c r="T49" s="5"/>
    </row>
    <row r="50" spans="2:21" ht="12" customHeight="1" thickBot="1" x14ac:dyDescent="0.3">
      <c r="B50" s="22" t="s">
        <v>37</v>
      </c>
      <c r="C50" s="52">
        <v>2.2000000000000002</v>
      </c>
      <c r="D50" s="55">
        <v>148</v>
      </c>
      <c r="E50" s="2"/>
      <c r="F50" s="8" t="s">
        <v>47</v>
      </c>
      <c r="G50" s="59" t="s">
        <v>48</v>
      </c>
      <c r="H50" s="2"/>
      <c r="I50" s="2"/>
      <c r="T50" s="63"/>
    </row>
    <row r="51" spans="2:21" ht="12" customHeight="1" thickBot="1" x14ac:dyDescent="0.3">
      <c r="B51" s="22" t="s">
        <v>38</v>
      </c>
      <c r="C51" s="52">
        <v>1.8</v>
      </c>
      <c r="D51" s="55">
        <v>181</v>
      </c>
      <c r="E51" s="2"/>
      <c r="F51" s="20">
        <v>35</v>
      </c>
      <c r="G51" s="13">
        <v>25</v>
      </c>
      <c r="H51" s="2"/>
      <c r="I51" s="2"/>
      <c r="J51" s="74"/>
      <c r="K51" s="74"/>
      <c r="L51" s="74"/>
      <c r="M51" s="171" t="s">
        <v>58</v>
      </c>
      <c r="N51" s="172"/>
      <c r="O51" s="172"/>
      <c r="P51" s="172"/>
      <c r="Q51" s="172"/>
      <c r="R51" s="172"/>
      <c r="S51" s="172"/>
      <c r="T51" s="173"/>
    </row>
    <row r="52" spans="2:21" ht="12" customHeight="1" x14ac:dyDescent="0.25">
      <c r="B52" s="22" t="s">
        <v>39</v>
      </c>
      <c r="C52" s="52">
        <v>1.474</v>
      </c>
      <c r="D52" s="55">
        <v>221</v>
      </c>
      <c r="E52" s="2"/>
      <c r="F52" s="232" t="s">
        <v>49</v>
      </c>
      <c r="G52" s="233"/>
      <c r="H52" s="2"/>
      <c r="I52" s="2"/>
      <c r="J52" s="147" t="s">
        <v>52</v>
      </c>
      <c r="K52" s="148"/>
      <c r="L52" s="148"/>
      <c r="M52" s="149"/>
      <c r="N52" s="153"/>
      <c r="O52" s="154"/>
      <c r="P52" s="60"/>
      <c r="Q52" s="73"/>
      <c r="R52" s="73"/>
      <c r="S52" s="74"/>
      <c r="T52" s="80"/>
    </row>
    <row r="53" spans="2:21" ht="12" customHeight="1" x14ac:dyDescent="0.25">
      <c r="B53" s="22" t="s">
        <v>40</v>
      </c>
      <c r="C53" s="52">
        <v>1.238</v>
      </c>
      <c r="D53" s="55">
        <v>263</v>
      </c>
      <c r="E53" s="2"/>
      <c r="F53" s="157">
        <v>12</v>
      </c>
      <c r="G53" s="158"/>
      <c r="H53" s="2"/>
      <c r="I53" s="2"/>
      <c r="J53" s="150" t="s">
        <v>51</v>
      </c>
      <c r="K53" s="151"/>
      <c r="L53" s="151"/>
      <c r="M53" s="152"/>
      <c r="N53" s="155"/>
      <c r="O53" s="156"/>
      <c r="P53" s="155"/>
      <c r="Q53" s="156"/>
      <c r="R53" s="183" t="s">
        <v>57</v>
      </c>
      <c r="S53" s="183"/>
      <c r="T53" s="61" t="s">
        <v>59</v>
      </c>
    </row>
    <row r="54" spans="2:21" ht="12" customHeight="1" x14ac:dyDescent="0.25">
      <c r="B54" s="22" t="s">
        <v>41</v>
      </c>
      <c r="C54" s="52">
        <v>1.087</v>
      </c>
      <c r="D54" s="55">
        <v>300</v>
      </c>
      <c r="E54" s="2"/>
      <c r="F54" s="232" t="s">
        <v>88</v>
      </c>
      <c r="G54" s="233"/>
      <c r="H54" s="2"/>
      <c r="I54" s="2"/>
      <c r="J54" s="150" t="s">
        <v>53</v>
      </c>
      <c r="K54" s="151"/>
      <c r="L54" s="151"/>
      <c r="M54" s="152"/>
      <c r="N54" s="155"/>
      <c r="O54" s="156"/>
      <c r="P54" s="74"/>
      <c r="Q54" s="74"/>
      <c r="R54" s="74"/>
      <c r="S54" s="74"/>
      <c r="T54" s="138" t="s">
        <v>110</v>
      </c>
    </row>
    <row r="55" spans="2:21" ht="12" customHeight="1" x14ac:dyDescent="0.25">
      <c r="B55" s="22" t="s">
        <v>42</v>
      </c>
      <c r="C55" s="52">
        <v>0.95799999999999996</v>
      </c>
      <c r="D55" s="55">
        <v>340</v>
      </c>
      <c r="E55" s="2"/>
      <c r="F55" s="35">
        <v>6</v>
      </c>
      <c r="G55" s="119"/>
      <c r="H55" s="2"/>
      <c r="I55" s="2"/>
      <c r="J55" s="150" t="s">
        <v>54</v>
      </c>
      <c r="K55" s="151"/>
      <c r="L55" s="151"/>
      <c r="M55" s="152"/>
      <c r="N55" s="155"/>
      <c r="O55" s="156"/>
      <c r="P55" s="74"/>
      <c r="Q55" s="74"/>
      <c r="R55" s="74"/>
      <c r="S55" s="74"/>
      <c r="T55" s="5"/>
    </row>
    <row r="56" spans="2:21" ht="12" customHeight="1" thickBot="1" x14ac:dyDescent="0.3">
      <c r="B56" s="57" t="s">
        <v>43</v>
      </c>
      <c r="C56" s="14">
        <v>3.02</v>
      </c>
      <c r="D56" s="15"/>
      <c r="E56" s="2"/>
      <c r="F56" s="224" t="s">
        <v>50</v>
      </c>
      <c r="G56" s="225"/>
      <c r="H56" s="2"/>
      <c r="I56" s="2"/>
      <c r="J56" s="150" t="s">
        <v>55</v>
      </c>
      <c r="K56" s="151"/>
      <c r="L56" s="151"/>
      <c r="M56" s="152"/>
      <c r="N56" s="155"/>
      <c r="O56" s="156"/>
      <c r="P56" s="74"/>
      <c r="Q56" s="74"/>
      <c r="R56" s="74"/>
      <c r="S56" s="74"/>
      <c r="T56" s="5"/>
    </row>
    <row r="57" spans="2:21" ht="12" customHeight="1" thickBot="1" x14ac:dyDescent="0.3">
      <c r="B57" s="64"/>
      <c r="F57" s="26">
        <v>100</v>
      </c>
      <c r="G57" s="118"/>
      <c r="J57" s="185" t="s">
        <v>56</v>
      </c>
      <c r="K57" s="186"/>
      <c r="L57" s="186"/>
      <c r="M57" s="187"/>
      <c r="N57" s="169"/>
      <c r="O57" s="170"/>
      <c r="P57" s="72"/>
      <c r="Q57" s="72"/>
      <c r="R57" s="72"/>
      <c r="S57" s="72"/>
      <c r="T57" s="63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91" t="s">
        <v>35</v>
      </c>
      <c r="C59" s="92" t="s">
        <v>79</v>
      </c>
      <c r="D59" s="92"/>
      <c r="E59" s="92"/>
      <c r="F59" s="92" t="s">
        <v>80</v>
      </c>
      <c r="G59" s="92"/>
      <c r="H59" s="92"/>
      <c r="I59" s="92" t="s">
        <v>86</v>
      </c>
      <c r="J59" s="92"/>
      <c r="K59" s="92" t="s">
        <v>87</v>
      </c>
      <c r="L59" s="92"/>
      <c r="M59" s="92"/>
      <c r="N59" s="92"/>
      <c r="O59" s="92"/>
      <c r="P59" s="92"/>
      <c r="Q59" s="92"/>
      <c r="R59" s="92"/>
      <c r="S59" s="92"/>
      <c r="T59" s="93"/>
      <c r="U59" s="2"/>
    </row>
    <row r="60" spans="2:21" x14ac:dyDescent="0.25">
      <c r="B60" s="94" t="s">
        <v>78</v>
      </c>
      <c r="C60" s="95" t="s">
        <v>85</v>
      </c>
      <c r="D60" s="95"/>
      <c r="E60" s="95"/>
      <c r="F60" s="95" t="s">
        <v>84</v>
      </c>
      <c r="G60" s="95"/>
      <c r="H60" s="95"/>
      <c r="I60" s="95" t="s">
        <v>95</v>
      </c>
      <c r="J60" s="95"/>
      <c r="K60" s="95" t="s">
        <v>96</v>
      </c>
      <c r="L60" s="95"/>
      <c r="M60" s="95"/>
      <c r="N60" s="95"/>
      <c r="O60" s="95"/>
      <c r="P60" s="95"/>
      <c r="Q60" s="95"/>
      <c r="R60" s="95"/>
      <c r="S60" s="95"/>
      <c r="T60" s="96"/>
      <c r="U60" s="2"/>
    </row>
    <row r="61" spans="2:21" x14ac:dyDescent="0.25">
      <c r="B61" s="94" t="s">
        <v>99</v>
      </c>
      <c r="C61" s="95"/>
      <c r="D61" s="95"/>
      <c r="E61" s="95"/>
      <c r="F61" s="95"/>
      <c r="G61" s="95"/>
      <c r="H61" s="95"/>
      <c r="I61" s="95" t="s">
        <v>100</v>
      </c>
      <c r="J61" s="95"/>
      <c r="K61" s="95" t="s">
        <v>101</v>
      </c>
      <c r="L61" s="95"/>
      <c r="M61" s="95"/>
      <c r="N61" s="95"/>
      <c r="O61" s="95"/>
      <c r="P61" s="95"/>
      <c r="Q61" s="95"/>
      <c r="R61" s="95"/>
      <c r="S61" s="95"/>
      <c r="T61" s="96"/>
    </row>
    <row r="62" spans="2:21" x14ac:dyDescent="0.25">
      <c r="B62" s="94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6"/>
    </row>
    <row r="63" spans="2:21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7"/>
      <c r="T63" s="96"/>
    </row>
    <row r="64" spans="2:21" x14ac:dyDescent="0.25"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6"/>
    </row>
    <row r="65" spans="2:20" x14ac:dyDescent="0.25">
      <c r="B65" s="94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6"/>
    </row>
    <row r="66" spans="2:20" ht="12" thickBot="1" x14ac:dyDescent="0.3">
      <c r="B66" s="98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100"/>
    </row>
    <row r="67" spans="2:20" ht="2.1" customHeight="1" thickTop="1" x14ac:dyDescent="0.25"/>
  </sheetData>
  <mergeCells count="95"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  <mergeCell ref="I2:M2"/>
    <mergeCell ref="J4:M4"/>
    <mergeCell ref="J5:M5"/>
    <mergeCell ref="J6:M6"/>
    <mergeCell ref="C9:D9"/>
    <mergeCell ref="O13:P13"/>
    <mergeCell ref="C14:D14"/>
    <mergeCell ref="F9:G9"/>
    <mergeCell ref="F11:G11"/>
    <mergeCell ref="F13:G13"/>
    <mergeCell ref="F15:G15"/>
    <mergeCell ref="F19:G19"/>
    <mergeCell ref="J16:K16"/>
    <mergeCell ref="L16:M16"/>
    <mergeCell ref="J17:K17"/>
    <mergeCell ref="L17:M17"/>
    <mergeCell ref="F17:G17"/>
    <mergeCell ref="O17:P17"/>
    <mergeCell ref="F38:G38"/>
    <mergeCell ref="C20:D20"/>
    <mergeCell ref="F36:G36"/>
    <mergeCell ref="E24:F24"/>
    <mergeCell ref="O38:P38"/>
    <mergeCell ref="O36:P36"/>
    <mergeCell ref="F34:G34"/>
    <mergeCell ref="Q4:S4"/>
    <mergeCell ref="Q5:S5"/>
    <mergeCell ref="R20:S20"/>
    <mergeCell ref="J13:K13"/>
    <mergeCell ref="L13:M13"/>
    <mergeCell ref="J14:K14"/>
    <mergeCell ref="L14:M14"/>
    <mergeCell ref="J9:L9"/>
    <mergeCell ref="L10:M10"/>
    <mergeCell ref="J10:K10"/>
    <mergeCell ref="O19:P19"/>
    <mergeCell ref="O15:P15"/>
    <mergeCell ref="R9:S9"/>
    <mergeCell ref="R14:S14"/>
    <mergeCell ref="O9:P9"/>
    <mergeCell ref="O11:P11"/>
    <mergeCell ref="J15:K15"/>
    <mergeCell ref="L15:M15"/>
    <mergeCell ref="N57:O57"/>
    <mergeCell ref="M51:T51"/>
    <mergeCell ref="R43:S43"/>
    <mergeCell ref="J48:K48"/>
    <mergeCell ref="J44:K44"/>
    <mergeCell ref="O42:P42"/>
    <mergeCell ref="O44:P44"/>
    <mergeCell ref="L44:M44"/>
    <mergeCell ref="P53:Q53"/>
    <mergeCell ref="R53:S53"/>
    <mergeCell ref="J46:K46"/>
    <mergeCell ref="L46:M46"/>
    <mergeCell ref="J18:K18"/>
    <mergeCell ref="J57:M57"/>
    <mergeCell ref="J56:M56"/>
    <mergeCell ref="N52:O52"/>
    <mergeCell ref="N53:O53"/>
    <mergeCell ref="N54:O54"/>
    <mergeCell ref="N55:O55"/>
    <mergeCell ref="N56:O56"/>
    <mergeCell ref="J54:M54"/>
    <mergeCell ref="J55:M55"/>
    <mergeCell ref="L18:M18"/>
    <mergeCell ref="C34:D34"/>
    <mergeCell ref="R23:S23"/>
    <mergeCell ref="J52:M52"/>
    <mergeCell ref="J53:M53"/>
    <mergeCell ref="F53:G53"/>
    <mergeCell ref="C43:D43"/>
    <mergeCell ref="R38:S38"/>
    <mergeCell ref="C38:D38"/>
    <mergeCell ref="F44:G44"/>
    <mergeCell ref="L48:M48"/>
    <mergeCell ref="J49:K49"/>
    <mergeCell ref="L49:M49"/>
    <mergeCell ref="O34:P34"/>
  </mergeCells>
  <phoneticPr fontId="17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06DE-C4C0-4361-8E37-518500A8D3AF}">
  <sheetPr>
    <pageSetUpPr fitToPage="1"/>
  </sheetPr>
  <dimension ref="B1:U67"/>
  <sheetViews>
    <sheetView showGridLines="0" topLeftCell="A28" zoomScale="130" zoomScaleNormal="130" workbookViewId="0">
      <selection activeCell="L46" sqref="L46:M46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74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74"/>
      <c r="C1" s="74"/>
      <c r="D1" s="74"/>
    </row>
    <row r="2" spans="2:20" ht="15.95" customHeight="1" thickTop="1" thickBot="1" x14ac:dyDescent="0.3">
      <c r="B2" s="27"/>
      <c r="C2" s="28"/>
      <c r="D2" s="28"/>
      <c r="E2" s="28"/>
      <c r="F2" s="28"/>
      <c r="G2" s="28"/>
      <c r="H2" s="29"/>
      <c r="I2" s="221" t="s">
        <v>0</v>
      </c>
      <c r="J2" s="222"/>
      <c r="K2" s="222"/>
      <c r="L2" s="222"/>
      <c r="M2" s="223"/>
      <c r="N2" s="27"/>
      <c r="O2" s="28"/>
      <c r="P2" s="28"/>
      <c r="Q2" s="28"/>
      <c r="R2" s="28"/>
      <c r="S2" s="28"/>
      <c r="T2" s="29"/>
    </row>
    <row r="3" spans="2:20" ht="3" customHeight="1" thickTop="1" thickBot="1" x14ac:dyDescent="0.3">
      <c r="B3" s="48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1"/>
    </row>
    <row r="4" spans="2:20" ht="12" customHeight="1" x14ac:dyDescent="0.25">
      <c r="B4" s="39"/>
      <c r="C4" s="42"/>
      <c r="D4" s="42"/>
      <c r="E4" s="42"/>
      <c r="F4" s="84" t="s">
        <v>7</v>
      </c>
      <c r="G4" s="79" t="s">
        <v>67</v>
      </c>
      <c r="H4" s="42"/>
      <c r="I4" s="84" t="s">
        <v>4</v>
      </c>
      <c r="J4" s="214">
        <v>709</v>
      </c>
      <c r="K4" s="214"/>
      <c r="L4" s="214"/>
      <c r="M4" s="205"/>
      <c r="N4" s="42"/>
      <c r="O4" s="42"/>
      <c r="P4" s="84" t="s">
        <v>1</v>
      </c>
      <c r="Q4" s="236" t="s">
        <v>108</v>
      </c>
      <c r="R4" s="236"/>
      <c r="S4" s="237"/>
      <c r="T4" s="43"/>
    </row>
    <row r="5" spans="2:20" ht="12" customHeight="1" thickBot="1" x14ac:dyDescent="0.3">
      <c r="B5" s="39"/>
      <c r="C5" s="42"/>
      <c r="D5" s="42"/>
      <c r="E5" s="42"/>
      <c r="F5" s="75" t="s">
        <v>8</v>
      </c>
      <c r="G5" s="89" t="s">
        <v>71</v>
      </c>
      <c r="H5" s="42"/>
      <c r="I5" s="75" t="s">
        <v>5</v>
      </c>
      <c r="J5" s="219" t="s">
        <v>106</v>
      </c>
      <c r="K5" s="219"/>
      <c r="L5" s="219"/>
      <c r="M5" s="220"/>
      <c r="N5" s="42"/>
      <c r="O5" s="42"/>
      <c r="P5" s="9" t="s">
        <v>2</v>
      </c>
      <c r="Q5" s="190" t="s">
        <v>109</v>
      </c>
      <c r="R5" s="190"/>
      <c r="S5" s="191"/>
      <c r="T5" s="43"/>
    </row>
    <row r="6" spans="2:20" ht="12" customHeight="1" thickBot="1" x14ac:dyDescent="0.3">
      <c r="B6" s="39"/>
      <c r="C6" s="42"/>
      <c r="D6" s="42"/>
      <c r="E6" s="42"/>
      <c r="F6" s="9" t="s">
        <v>3</v>
      </c>
      <c r="G6" s="78" t="s">
        <v>72</v>
      </c>
      <c r="H6" s="42"/>
      <c r="I6" s="9" t="s">
        <v>6</v>
      </c>
      <c r="J6" s="190" t="s">
        <v>107</v>
      </c>
      <c r="K6" s="190"/>
      <c r="L6" s="190"/>
      <c r="M6" s="191"/>
      <c r="N6" s="42"/>
      <c r="O6" s="47"/>
      <c r="P6" s="42"/>
      <c r="Q6" s="42"/>
      <c r="R6" s="42"/>
      <c r="S6" s="42"/>
      <c r="T6" s="43"/>
    </row>
    <row r="7" spans="2:20" ht="3" customHeight="1" thickBot="1" x14ac:dyDescent="0.3">
      <c r="B7" s="46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5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21" t="s">
        <v>9</v>
      </c>
      <c r="C9" s="214" t="s">
        <v>74</v>
      </c>
      <c r="D9" s="205"/>
      <c r="E9" s="74"/>
      <c r="F9" s="215" t="s">
        <v>18</v>
      </c>
      <c r="G9" s="216"/>
      <c r="H9" s="74"/>
      <c r="I9" s="129" t="s">
        <v>64</v>
      </c>
      <c r="J9" s="198" t="s">
        <v>65</v>
      </c>
      <c r="K9" s="199"/>
      <c r="L9" s="165"/>
      <c r="M9" s="74"/>
      <c r="N9" s="74"/>
      <c r="O9" s="215" t="s">
        <v>18</v>
      </c>
      <c r="P9" s="216"/>
      <c r="Q9" s="74"/>
      <c r="R9" s="204" t="str">
        <f>C9</f>
        <v>400.200.950</v>
      </c>
      <c r="S9" s="214"/>
      <c r="T9" s="30" t="s">
        <v>9</v>
      </c>
    </row>
    <row r="10" spans="2:20" ht="12" customHeight="1" thickBot="1" x14ac:dyDescent="0.3">
      <c r="B10" s="25" t="s">
        <v>10</v>
      </c>
      <c r="C10" s="109">
        <v>41</v>
      </c>
      <c r="D10" s="111"/>
      <c r="E10" s="74"/>
      <c r="F10" s="26">
        <v>-2.8</v>
      </c>
      <c r="G10" s="106"/>
      <c r="H10" s="74"/>
      <c r="I10" s="26" t="s">
        <v>22</v>
      </c>
      <c r="J10" s="202">
        <v>0</v>
      </c>
      <c r="K10" s="203"/>
      <c r="L10" s="200"/>
      <c r="M10" s="201"/>
      <c r="N10" s="74"/>
      <c r="O10" s="26">
        <v>-2.6</v>
      </c>
      <c r="P10" s="106"/>
      <c r="Q10" s="74"/>
      <c r="R10" s="113"/>
      <c r="S10" s="114"/>
      <c r="T10" s="31" t="s">
        <v>10</v>
      </c>
    </row>
    <row r="11" spans="2:20" ht="12" customHeight="1" x14ac:dyDescent="0.25">
      <c r="B11" s="37" t="s">
        <v>11</v>
      </c>
      <c r="C11" s="70" t="s">
        <v>12</v>
      </c>
      <c r="D11" s="71" t="s">
        <v>13</v>
      </c>
      <c r="E11" s="74"/>
      <c r="F11" s="217" t="s">
        <v>19</v>
      </c>
      <c r="G11" s="218"/>
      <c r="H11" s="74"/>
      <c r="N11" s="74"/>
      <c r="O11" s="217" t="s">
        <v>19</v>
      </c>
      <c r="P11" s="218"/>
      <c r="Q11" s="74"/>
      <c r="R11" s="117" t="s">
        <v>12</v>
      </c>
      <c r="S11" s="71" t="s">
        <v>13</v>
      </c>
      <c r="T11" s="38" t="s">
        <v>11</v>
      </c>
    </row>
    <row r="12" spans="2:20" ht="12" customHeight="1" thickBot="1" x14ac:dyDescent="0.3">
      <c r="B12" s="65" t="s">
        <v>14</v>
      </c>
      <c r="C12" s="82">
        <v>10</v>
      </c>
      <c r="D12" s="83">
        <v>10</v>
      </c>
      <c r="E12" s="74"/>
      <c r="F12" s="26">
        <v>6.5</v>
      </c>
      <c r="G12" s="106"/>
      <c r="H12" s="74"/>
      <c r="I12" s="74"/>
      <c r="J12" s="74"/>
      <c r="K12" s="74"/>
      <c r="L12" s="74"/>
      <c r="M12" s="74"/>
      <c r="N12" s="74"/>
      <c r="O12" s="26">
        <v>7.5</v>
      </c>
      <c r="P12" s="106"/>
      <c r="Q12" s="74"/>
      <c r="R12" s="35">
        <v>10</v>
      </c>
      <c r="S12" s="128">
        <v>10</v>
      </c>
      <c r="T12" s="68" t="s">
        <v>14</v>
      </c>
    </row>
    <row r="13" spans="2:20" ht="12" customHeight="1" x14ac:dyDescent="0.25">
      <c r="B13" s="66" t="s">
        <v>15</v>
      </c>
      <c r="C13" s="82">
        <v>10</v>
      </c>
      <c r="D13" s="83">
        <v>14</v>
      </c>
      <c r="E13" s="74"/>
      <c r="F13" s="204" t="s">
        <v>20</v>
      </c>
      <c r="G13" s="205"/>
      <c r="H13" s="74"/>
      <c r="I13" s="130" t="s">
        <v>32</v>
      </c>
      <c r="J13" s="193" t="s">
        <v>33</v>
      </c>
      <c r="K13" s="193"/>
      <c r="L13" s="194" t="s">
        <v>66</v>
      </c>
      <c r="M13" s="195"/>
      <c r="N13" s="74"/>
      <c r="O13" s="204" t="s">
        <v>20</v>
      </c>
      <c r="P13" s="205"/>
      <c r="Q13" s="74"/>
      <c r="R13" s="35">
        <v>10</v>
      </c>
      <c r="S13" s="128">
        <v>14</v>
      </c>
      <c r="T13" s="69" t="s">
        <v>15</v>
      </c>
    </row>
    <row r="14" spans="2:20" ht="12" customHeight="1" thickBot="1" x14ac:dyDescent="0.3">
      <c r="B14" s="22" t="s">
        <v>16</v>
      </c>
      <c r="C14" s="219" t="s">
        <v>92</v>
      </c>
      <c r="D14" s="220"/>
      <c r="E14" s="74"/>
      <c r="F14" s="90">
        <v>2</v>
      </c>
      <c r="G14" s="107"/>
      <c r="H14" s="74"/>
      <c r="I14" s="135"/>
      <c r="J14" s="196" t="s">
        <v>34</v>
      </c>
      <c r="K14" s="196"/>
      <c r="L14" s="196" t="s">
        <v>98</v>
      </c>
      <c r="M14" s="197"/>
      <c r="N14" s="74"/>
      <c r="O14" s="90">
        <v>2</v>
      </c>
      <c r="P14" s="107"/>
      <c r="Q14" s="74"/>
      <c r="R14" s="157" t="s">
        <v>92</v>
      </c>
      <c r="S14" s="174"/>
      <c r="T14" s="32" t="s">
        <v>16</v>
      </c>
    </row>
    <row r="15" spans="2:20" ht="12" customHeight="1" thickBot="1" x14ac:dyDescent="0.3">
      <c r="B15" s="23" t="s">
        <v>17</v>
      </c>
      <c r="C15" s="82">
        <f>C16-15.1-C17</f>
        <v>26.150000000000013</v>
      </c>
      <c r="D15" s="110"/>
      <c r="E15" s="74"/>
      <c r="F15" s="204" t="s">
        <v>97</v>
      </c>
      <c r="G15" s="205"/>
      <c r="H15" s="74"/>
      <c r="I15" s="137" t="s">
        <v>103</v>
      </c>
      <c r="J15" s="166">
        <v>172.5</v>
      </c>
      <c r="K15" s="166"/>
      <c r="L15" s="167"/>
      <c r="M15" s="168"/>
      <c r="N15" s="74"/>
      <c r="O15" s="204" t="s">
        <v>97</v>
      </c>
      <c r="P15" s="205"/>
      <c r="Q15" s="74"/>
      <c r="R15" s="35">
        <f>R16-15.1-R17</f>
        <v>26.150000000000013</v>
      </c>
      <c r="S15" s="116"/>
      <c r="T15" s="33" t="s">
        <v>17</v>
      </c>
    </row>
    <row r="16" spans="2:20" ht="12" customHeight="1" thickBot="1" x14ac:dyDescent="0.3">
      <c r="B16" s="23" t="s">
        <v>102</v>
      </c>
      <c r="C16" s="82">
        <v>87.4</v>
      </c>
      <c r="D16" s="110"/>
      <c r="E16" s="74"/>
      <c r="F16" s="133">
        <v>13.13</v>
      </c>
      <c r="G16" s="107"/>
      <c r="H16" s="74"/>
      <c r="I16" s="136"/>
      <c r="J16" s="211" t="s">
        <v>12</v>
      </c>
      <c r="K16" s="211"/>
      <c r="L16" s="212" t="s">
        <v>13</v>
      </c>
      <c r="M16" s="213"/>
      <c r="N16" s="74"/>
      <c r="O16" s="133">
        <v>13.9</v>
      </c>
      <c r="P16" s="107"/>
      <c r="Q16" s="74"/>
      <c r="R16" s="35">
        <v>87.4</v>
      </c>
      <c r="S16" s="116"/>
      <c r="T16" s="33" t="s">
        <v>102</v>
      </c>
    </row>
    <row r="17" spans="2:20" ht="12" customHeight="1" thickBot="1" x14ac:dyDescent="0.3">
      <c r="B17" s="24" t="s">
        <v>76</v>
      </c>
      <c r="C17" s="77">
        <f>26+23.9-3.75</f>
        <v>46.15</v>
      </c>
      <c r="D17" s="112"/>
      <c r="E17" s="74"/>
      <c r="F17" s="177" t="s">
        <v>77</v>
      </c>
      <c r="G17" s="178"/>
      <c r="H17" s="74"/>
      <c r="I17" s="126" t="s">
        <v>14</v>
      </c>
      <c r="J17" s="159">
        <v>7</v>
      </c>
      <c r="K17" s="174"/>
      <c r="L17" s="159">
        <v>8</v>
      </c>
      <c r="M17" s="158"/>
      <c r="N17" s="74"/>
      <c r="O17" s="177" t="s">
        <v>77</v>
      </c>
      <c r="P17" s="178"/>
      <c r="Q17" s="74"/>
      <c r="R17" s="26">
        <v>46.15</v>
      </c>
      <c r="S17" s="115"/>
      <c r="T17" s="34" t="s">
        <v>76</v>
      </c>
    </row>
    <row r="18" spans="2:20" ht="12" customHeight="1" thickBot="1" x14ac:dyDescent="0.3">
      <c r="B18" s="6"/>
      <c r="C18" s="74"/>
      <c r="D18" s="74"/>
      <c r="E18" s="74"/>
      <c r="F18" s="85" t="s">
        <v>81</v>
      </c>
      <c r="G18" s="108"/>
      <c r="H18" s="74"/>
      <c r="I18" s="127" t="s">
        <v>15</v>
      </c>
      <c r="J18" s="141">
        <v>11</v>
      </c>
      <c r="K18" s="184"/>
      <c r="L18" s="141">
        <v>10</v>
      </c>
      <c r="M18" s="142"/>
      <c r="N18" s="74"/>
      <c r="O18" s="85" t="s">
        <v>81</v>
      </c>
      <c r="P18" s="108"/>
      <c r="Q18" s="74"/>
      <c r="R18" s="74"/>
      <c r="T18" s="5"/>
    </row>
    <row r="19" spans="2:20" ht="12" customHeight="1" thickBot="1" x14ac:dyDescent="0.3">
      <c r="B19" s="6"/>
      <c r="C19" s="74"/>
      <c r="D19" s="74"/>
      <c r="E19" s="74"/>
      <c r="F19" s="179" t="s">
        <v>21</v>
      </c>
      <c r="G19" s="180"/>
      <c r="H19" s="74"/>
      <c r="I19" s="74"/>
      <c r="J19" s="74"/>
      <c r="K19" s="74"/>
      <c r="L19" s="74"/>
      <c r="M19" s="74"/>
      <c r="N19" s="74"/>
      <c r="O19" s="179" t="s">
        <v>21</v>
      </c>
      <c r="P19" s="180"/>
      <c r="Q19" s="74"/>
      <c r="R19" s="74"/>
      <c r="T19" s="5"/>
    </row>
    <row r="20" spans="2:20" ht="12" customHeight="1" thickBot="1" x14ac:dyDescent="0.3">
      <c r="B20" s="103" t="s">
        <v>23</v>
      </c>
      <c r="C20" s="206" t="s">
        <v>25</v>
      </c>
      <c r="D20" s="207"/>
      <c r="E20" s="74"/>
      <c r="F20" s="131">
        <v>62</v>
      </c>
      <c r="G20" s="132"/>
      <c r="H20" s="74"/>
      <c r="I20" s="74"/>
      <c r="J20" s="74"/>
      <c r="K20" s="74"/>
      <c r="L20" s="74"/>
      <c r="M20" s="74"/>
      <c r="N20" s="74"/>
      <c r="O20" s="131">
        <v>62</v>
      </c>
      <c r="P20" s="132"/>
      <c r="Q20" s="74"/>
      <c r="R20" s="192"/>
      <c r="S20" s="192"/>
      <c r="T20" s="62"/>
    </row>
    <row r="21" spans="2:20" ht="12" customHeight="1" thickBot="1" x14ac:dyDescent="0.3">
      <c r="B21" s="104" t="s">
        <v>24</v>
      </c>
      <c r="C21" s="82" t="s">
        <v>26</v>
      </c>
      <c r="D21" s="83" t="s">
        <v>26</v>
      </c>
      <c r="E21" s="74"/>
      <c r="F21" s="131">
        <v>256.2</v>
      </c>
      <c r="G21" s="132"/>
      <c r="H21" s="74"/>
      <c r="I21" s="74"/>
      <c r="J21" s="74"/>
      <c r="K21" s="74"/>
      <c r="L21" s="74"/>
      <c r="M21" s="74"/>
      <c r="N21" s="74"/>
      <c r="O21" s="131">
        <v>256.2</v>
      </c>
      <c r="P21" s="132"/>
      <c r="Q21" s="74"/>
      <c r="R21" s="74"/>
      <c r="T21" s="5"/>
    </row>
    <row r="22" spans="2:20" ht="12" customHeight="1" thickBot="1" x14ac:dyDescent="0.3">
      <c r="B22" s="105" t="s">
        <v>82</v>
      </c>
      <c r="C22" s="101">
        <v>0</v>
      </c>
      <c r="D22" s="102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T22" s="5"/>
    </row>
    <row r="23" spans="2:20" ht="12" customHeight="1" thickBot="1" x14ac:dyDescent="0.3">
      <c r="B23" s="6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145" t="s">
        <v>31</v>
      </c>
      <c r="S23" s="146"/>
      <c r="T23" s="120">
        <v>0</v>
      </c>
    </row>
    <row r="24" spans="2:20" ht="12" customHeight="1" x14ac:dyDescent="0.25">
      <c r="B24" s="230" t="s">
        <v>60</v>
      </c>
      <c r="C24" s="87" t="s">
        <v>61</v>
      </c>
      <c r="D24" s="87" t="s">
        <v>62</v>
      </c>
      <c r="E24" s="210" t="s">
        <v>63</v>
      </c>
      <c r="F24" s="178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226" t="s">
        <v>90</v>
      </c>
      <c r="S24" s="227"/>
      <c r="T24" s="121"/>
    </row>
    <row r="25" spans="2:20" ht="12" customHeight="1" thickBot="1" x14ac:dyDescent="0.3">
      <c r="B25" s="231"/>
      <c r="C25" s="77">
        <v>16.8</v>
      </c>
      <c r="D25" s="77">
        <v>19.100000000000001</v>
      </c>
      <c r="E25" s="88">
        <v>0.62</v>
      </c>
      <c r="F25" s="86">
        <v>0.62</v>
      </c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226" t="s">
        <v>89</v>
      </c>
      <c r="S25" s="227"/>
      <c r="T25" s="121"/>
    </row>
    <row r="26" spans="2:20" ht="12" customHeight="1" thickBot="1" x14ac:dyDescent="0.3">
      <c r="B26" s="6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228" t="s">
        <v>91</v>
      </c>
      <c r="S26" s="229"/>
      <c r="T26" s="122">
        <v>75</v>
      </c>
    </row>
    <row r="27" spans="2:20" ht="12" customHeight="1" x14ac:dyDescent="0.25">
      <c r="B27" s="6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T27" s="5"/>
    </row>
    <row r="28" spans="2:20" x14ac:dyDescent="0.25">
      <c r="B28" s="6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T28" s="5"/>
    </row>
    <row r="29" spans="2:20" x14ac:dyDescent="0.25">
      <c r="B29" s="6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T29" s="5"/>
    </row>
    <row r="30" spans="2:20" x14ac:dyDescent="0.25">
      <c r="B30" s="6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T30" s="5"/>
    </row>
    <row r="31" spans="2:20" x14ac:dyDescent="0.25">
      <c r="B31" s="6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T31" s="5"/>
    </row>
    <row r="32" spans="2:20" x14ac:dyDescent="0.25">
      <c r="B32" s="6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T32" s="5"/>
    </row>
    <row r="33" spans="2:20" ht="12" thickBot="1" x14ac:dyDescent="0.3">
      <c r="B33" s="6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T33" s="5"/>
    </row>
    <row r="34" spans="2:20" ht="12" customHeight="1" x14ac:dyDescent="0.25">
      <c r="B34" s="139" t="s">
        <v>27</v>
      </c>
      <c r="C34" s="143" t="s">
        <v>29</v>
      </c>
      <c r="D34" s="144"/>
      <c r="E34" s="74"/>
      <c r="F34" s="177" t="s">
        <v>18</v>
      </c>
      <c r="G34" s="178"/>
      <c r="H34" s="74"/>
      <c r="I34" s="74"/>
      <c r="J34" s="74"/>
      <c r="K34" s="74"/>
      <c r="L34" s="74"/>
      <c r="M34" s="74"/>
      <c r="N34" s="74"/>
      <c r="O34" s="177" t="s">
        <v>18</v>
      </c>
      <c r="P34" s="178"/>
      <c r="Q34" s="74"/>
      <c r="R34" s="74"/>
      <c r="T34" s="5"/>
    </row>
    <row r="35" spans="2:20" ht="12" thickBot="1" x14ac:dyDescent="0.3">
      <c r="B35" s="140" t="s">
        <v>28</v>
      </c>
      <c r="C35" s="124" t="s">
        <v>30</v>
      </c>
      <c r="D35" s="125" t="s">
        <v>30</v>
      </c>
      <c r="E35" s="74"/>
      <c r="F35" s="26">
        <v>-2.4</v>
      </c>
      <c r="G35" s="106"/>
      <c r="H35" s="74"/>
      <c r="I35" s="74"/>
      <c r="J35" s="74"/>
      <c r="K35" s="74"/>
      <c r="L35" s="74"/>
      <c r="M35" s="74"/>
      <c r="N35" s="74"/>
      <c r="O35" s="26">
        <v>-2.2000000000000002</v>
      </c>
      <c r="P35" s="106"/>
      <c r="Q35" s="74"/>
      <c r="R35" s="74"/>
      <c r="T35" s="5"/>
    </row>
    <row r="36" spans="2:20" ht="12" customHeight="1" x14ac:dyDescent="0.25">
      <c r="B36" s="64"/>
      <c r="E36" s="74"/>
      <c r="F36" s="208" t="s">
        <v>19</v>
      </c>
      <c r="G36" s="209"/>
      <c r="H36" s="74"/>
      <c r="I36" s="74"/>
      <c r="J36" s="74"/>
      <c r="K36" s="74"/>
      <c r="L36" s="74"/>
      <c r="M36" s="74"/>
      <c r="N36" s="74"/>
      <c r="O36" s="208" t="s">
        <v>19</v>
      </c>
      <c r="P36" s="209"/>
      <c r="Q36" s="74"/>
      <c r="R36" s="74"/>
      <c r="T36" s="5"/>
    </row>
    <row r="37" spans="2:20" ht="12" customHeight="1" thickBot="1" x14ac:dyDescent="0.3">
      <c r="B37" s="6"/>
      <c r="C37" s="74"/>
      <c r="D37" s="74"/>
      <c r="E37" s="74"/>
      <c r="F37" s="90">
        <v>4.9000000000000004</v>
      </c>
      <c r="G37" s="106"/>
      <c r="H37" s="74"/>
      <c r="I37" s="74"/>
      <c r="J37" s="74"/>
      <c r="K37" s="74"/>
      <c r="L37" s="74"/>
      <c r="M37" s="74"/>
      <c r="N37" s="74"/>
      <c r="O37" s="90">
        <v>5.8</v>
      </c>
      <c r="P37" s="106"/>
      <c r="Q37" s="74"/>
      <c r="R37" s="74"/>
      <c r="T37" s="5"/>
    </row>
    <row r="38" spans="2:20" ht="12" customHeight="1" x14ac:dyDescent="0.25">
      <c r="B38" s="21" t="s">
        <v>9</v>
      </c>
      <c r="C38" s="162" t="s">
        <v>75</v>
      </c>
      <c r="D38" s="163"/>
      <c r="E38" s="74"/>
      <c r="F38" s="160" t="s">
        <v>20</v>
      </c>
      <c r="G38" s="163"/>
      <c r="H38" s="74"/>
      <c r="I38" s="74"/>
      <c r="J38" s="74"/>
      <c r="K38" s="74"/>
      <c r="L38" s="74"/>
      <c r="M38" s="74"/>
      <c r="N38" s="74"/>
      <c r="O38" s="160" t="s">
        <v>20</v>
      </c>
      <c r="P38" s="163"/>
      <c r="Q38" s="74"/>
      <c r="R38" s="160" t="str">
        <f>C38</f>
        <v>500.200.1100</v>
      </c>
      <c r="S38" s="161"/>
      <c r="T38" s="30" t="s">
        <v>9</v>
      </c>
    </row>
    <row r="39" spans="2:20" ht="12" customHeight="1" thickBot="1" x14ac:dyDescent="0.3">
      <c r="B39" s="25" t="s">
        <v>10</v>
      </c>
      <c r="C39" s="109">
        <v>49</v>
      </c>
      <c r="D39" s="111"/>
      <c r="E39" s="74"/>
      <c r="F39" s="134">
        <v>-1</v>
      </c>
      <c r="G39" s="107"/>
      <c r="H39" s="74"/>
      <c r="I39" s="74"/>
      <c r="J39" s="74"/>
      <c r="K39" s="74"/>
      <c r="L39" s="74"/>
      <c r="M39" s="74"/>
      <c r="N39" s="74"/>
      <c r="O39" s="134">
        <v>-1</v>
      </c>
      <c r="P39" s="107"/>
      <c r="Q39" s="74"/>
      <c r="R39" s="123">
        <v>49</v>
      </c>
      <c r="S39" s="114"/>
      <c r="T39" s="31" t="s">
        <v>10</v>
      </c>
    </row>
    <row r="40" spans="2:20" ht="12" customHeight="1" x14ac:dyDescent="0.25">
      <c r="B40" s="37" t="s">
        <v>11</v>
      </c>
      <c r="C40" s="70" t="s">
        <v>12</v>
      </c>
      <c r="D40" s="71" t="s">
        <v>13</v>
      </c>
      <c r="E40" s="74"/>
      <c r="F40" s="160" t="s">
        <v>97</v>
      </c>
      <c r="G40" s="163"/>
      <c r="H40" s="74"/>
      <c r="I40" s="74"/>
      <c r="J40" s="74"/>
      <c r="K40" s="74"/>
      <c r="L40" s="74"/>
      <c r="M40" s="74"/>
      <c r="N40" s="74"/>
      <c r="O40" s="160" t="s">
        <v>97</v>
      </c>
      <c r="P40" s="163"/>
      <c r="Q40" s="74"/>
      <c r="R40" s="117" t="s">
        <v>12</v>
      </c>
      <c r="S40" s="71" t="s">
        <v>13</v>
      </c>
      <c r="T40" s="38" t="s">
        <v>11</v>
      </c>
    </row>
    <row r="41" spans="2:20" ht="12" customHeight="1" thickBot="1" x14ac:dyDescent="0.3">
      <c r="B41" s="65" t="s">
        <v>14</v>
      </c>
      <c r="C41" s="82">
        <v>9</v>
      </c>
      <c r="D41" s="83">
        <v>5</v>
      </c>
      <c r="E41" s="74"/>
      <c r="F41" s="134">
        <v>12.6</v>
      </c>
      <c r="G41" s="107"/>
      <c r="H41" s="74"/>
      <c r="I41" s="74"/>
      <c r="J41" s="74"/>
      <c r="K41" s="74"/>
      <c r="L41" s="74"/>
      <c r="M41" s="74"/>
      <c r="N41" s="74"/>
      <c r="O41" s="134">
        <v>12.5</v>
      </c>
      <c r="P41" s="107"/>
      <c r="Q41" s="74"/>
      <c r="R41" s="35">
        <v>9</v>
      </c>
      <c r="S41" s="128">
        <v>5</v>
      </c>
      <c r="T41" s="68" t="s">
        <v>14</v>
      </c>
    </row>
    <row r="42" spans="2:20" ht="12" customHeight="1" x14ac:dyDescent="0.25">
      <c r="B42" s="66" t="s">
        <v>15</v>
      </c>
      <c r="C42" s="82">
        <v>5</v>
      </c>
      <c r="D42" s="83">
        <v>9</v>
      </c>
      <c r="E42" s="74"/>
      <c r="F42" s="215" t="s">
        <v>77</v>
      </c>
      <c r="G42" s="205"/>
      <c r="H42" s="74"/>
      <c r="I42" s="74"/>
      <c r="J42" s="74"/>
      <c r="K42" s="74"/>
      <c r="L42" s="74"/>
      <c r="M42" s="74"/>
      <c r="N42" s="74"/>
      <c r="O42" s="177" t="s">
        <v>77</v>
      </c>
      <c r="P42" s="178"/>
      <c r="Q42" s="74"/>
      <c r="R42" s="35">
        <v>5</v>
      </c>
      <c r="S42" s="128">
        <v>9</v>
      </c>
      <c r="T42" s="69" t="s">
        <v>15</v>
      </c>
    </row>
    <row r="43" spans="2:20" ht="12" customHeight="1" thickBot="1" x14ac:dyDescent="0.3">
      <c r="B43" s="22" t="s">
        <v>16</v>
      </c>
      <c r="C43" s="159" t="s">
        <v>93</v>
      </c>
      <c r="D43" s="158"/>
      <c r="E43" s="74"/>
      <c r="F43" s="85" t="s">
        <v>83</v>
      </c>
      <c r="G43" s="108"/>
      <c r="H43" s="74"/>
      <c r="I43" s="74"/>
      <c r="J43" s="74"/>
      <c r="K43" s="74"/>
      <c r="L43" s="74"/>
      <c r="M43" s="74"/>
      <c r="N43" s="74"/>
      <c r="O43" s="85" t="s">
        <v>83</v>
      </c>
      <c r="P43" s="108"/>
      <c r="Q43" s="74"/>
      <c r="R43" s="157" t="s">
        <v>93</v>
      </c>
      <c r="S43" s="174"/>
      <c r="T43" s="32" t="s">
        <v>16</v>
      </c>
    </row>
    <row r="44" spans="2:20" ht="12" customHeight="1" thickBot="1" x14ac:dyDescent="0.3">
      <c r="B44" s="23" t="s">
        <v>17</v>
      </c>
      <c r="C44" s="82">
        <f>C45-15.1-C46</f>
        <v>30.100000000000009</v>
      </c>
      <c r="D44" s="110"/>
      <c r="E44" s="74"/>
      <c r="F44" s="164" t="s">
        <v>21</v>
      </c>
      <c r="G44" s="165"/>
      <c r="H44" s="74"/>
      <c r="I44" s="130" t="s">
        <v>32</v>
      </c>
      <c r="J44" s="175" t="s">
        <v>33</v>
      </c>
      <c r="K44" s="176"/>
      <c r="L44" s="181" t="s">
        <v>66</v>
      </c>
      <c r="M44" s="182"/>
      <c r="N44" s="74"/>
      <c r="O44" s="179" t="s">
        <v>21</v>
      </c>
      <c r="P44" s="180"/>
      <c r="Q44" s="74"/>
      <c r="R44" s="35">
        <f>R45-15.1-R46</f>
        <v>30.100000000000009</v>
      </c>
      <c r="S44" s="116"/>
      <c r="T44" s="33" t="s">
        <v>17</v>
      </c>
    </row>
    <row r="45" spans="2:20" ht="12" customHeight="1" thickBot="1" x14ac:dyDescent="0.3">
      <c r="B45" s="23" t="s">
        <v>102</v>
      </c>
      <c r="C45" s="82">
        <v>96.4</v>
      </c>
      <c r="D45" s="110"/>
      <c r="E45" s="74"/>
      <c r="F45" s="131">
        <v>85</v>
      </c>
      <c r="G45" s="132"/>
      <c r="H45" s="74"/>
      <c r="I45" s="135"/>
      <c r="J45" s="196" t="s">
        <v>94</v>
      </c>
      <c r="K45" s="196"/>
      <c r="L45" s="196">
        <v>53</v>
      </c>
      <c r="M45" s="197"/>
      <c r="N45" s="74"/>
      <c r="O45" s="131">
        <v>85</v>
      </c>
      <c r="P45" s="132"/>
      <c r="Q45" s="74"/>
      <c r="R45" s="35">
        <v>96.4</v>
      </c>
      <c r="S45" s="116"/>
      <c r="T45" s="33" t="s">
        <v>102</v>
      </c>
    </row>
    <row r="46" spans="2:20" ht="12" customHeight="1" thickBot="1" x14ac:dyDescent="0.3">
      <c r="B46" s="24" t="s">
        <v>76</v>
      </c>
      <c r="C46" s="77">
        <f>37+23.9-9.7</f>
        <v>51.2</v>
      </c>
      <c r="D46" s="112"/>
      <c r="E46" s="74"/>
      <c r="F46" s="131">
        <v>300.8</v>
      </c>
      <c r="G46" s="132"/>
      <c r="H46" s="74"/>
      <c r="I46" s="137" t="s">
        <v>103</v>
      </c>
      <c r="J46" s="166" t="s">
        <v>104</v>
      </c>
      <c r="K46" s="166"/>
      <c r="L46" s="167"/>
      <c r="M46" s="168"/>
      <c r="N46" s="74"/>
      <c r="O46" s="131">
        <v>300.8</v>
      </c>
      <c r="P46" s="132"/>
      <c r="Q46" s="74"/>
      <c r="R46" s="26">
        <v>51.2</v>
      </c>
      <c r="S46" s="115"/>
      <c r="T46" s="34" t="s">
        <v>76</v>
      </c>
    </row>
    <row r="47" spans="2:20" ht="12" customHeight="1" thickBot="1" x14ac:dyDescent="0.3">
      <c r="B47" s="6"/>
      <c r="C47" s="74"/>
      <c r="D47" s="74"/>
      <c r="E47" s="74"/>
      <c r="F47"/>
      <c r="G47"/>
      <c r="H47" s="74"/>
      <c r="I47" s="136"/>
      <c r="J47" s="211" t="s">
        <v>12</v>
      </c>
      <c r="K47" s="211"/>
      <c r="L47" s="212" t="s">
        <v>13</v>
      </c>
      <c r="M47" s="213"/>
      <c r="N47" s="74"/>
      <c r="Q47" s="74"/>
      <c r="R47" s="74"/>
      <c r="T47" s="5"/>
    </row>
    <row r="48" spans="2:20" ht="12" customHeight="1" thickBot="1" x14ac:dyDescent="0.3">
      <c r="B48" s="49" t="s">
        <v>44</v>
      </c>
      <c r="C48" s="50" t="s">
        <v>111</v>
      </c>
      <c r="D48" s="51" t="s">
        <v>45</v>
      </c>
      <c r="E48" s="74"/>
      <c r="F48" s="234" t="s">
        <v>46</v>
      </c>
      <c r="G48" s="235"/>
      <c r="H48" s="74"/>
      <c r="I48" s="126" t="s">
        <v>14</v>
      </c>
      <c r="J48" s="159">
        <v>11</v>
      </c>
      <c r="K48" s="174"/>
      <c r="L48" s="159">
        <v>10</v>
      </c>
      <c r="M48" s="158"/>
      <c r="N48" s="74"/>
      <c r="O48" s="58"/>
      <c r="P48" s="58"/>
      <c r="Q48" s="74"/>
      <c r="R48" s="74"/>
      <c r="T48" s="5"/>
    </row>
    <row r="49" spans="2:21" ht="12" thickBot="1" x14ac:dyDescent="0.3">
      <c r="B49" s="56" t="s">
        <v>36</v>
      </c>
      <c r="C49" s="53">
        <v>2.8460000000000001</v>
      </c>
      <c r="D49" s="54">
        <v>114</v>
      </c>
      <c r="E49" s="74"/>
      <c r="F49" s="232" t="s">
        <v>105</v>
      </c>
      <c r="G49" s="233"/>
      <c r="H49" s="74"/>
      <c r="I49" s="127" t="s">
        <v>15</v>
      </c>
      <c r="J49" s="141">
        <v>5</v>
      </c>
      <c r="K49" s="184"/>
      <c r="L49" s="141">
        <v>10</v>
      </c>
      <c r="M49" s="142"/>
      <c r="N49" s="74"/>
      <c r="O49" s="74"/>
      <c r="P49" s="74"/>
      <c r="Q49" s="74"/>
      <c r="R49" s="74"/>
      <c r="T49" s="5"/>
    </row>
    <row r="50" spans="2:21" ht="12" customHeight="1" thickBot="1" x14ac:dyDescent="0.3">
      <c r="B50" s="22" t="s">
        <v>37</v>
      </c>
      <c r="C50" s="52">
        <v>2.2000000000000002</v>
      </c>
      <c r="D50" s="55">
        <v>148</v>
      </c>
      <c r="E50" s="74"/>
      <c r="F50" s="75" t="s">
        <v>47</v>
      </c>
      <c r="G50" s="76" t="s">
        <v>48</v>
      </c>
      <c r="H50" s="74"/>
      <c r="I50" s="74"/>
      <c r="T50" s="63"/>
    </row>
    <row r="51" spans="2:21" ht="12" customHeight="1" thickBot="1" x14ac:dyDescent="0.3">
      <c r="B51" s="22" t="s">
        <v>38</v>
      </c>
      <c r="C51" s="52">
        <v>1.8</v>
      </c>
      <c r="D51" s="55">
        <v>181</v>
      </c>
      <c r="E51" s="74"/>
      <c r="F51" s="35">
        <v>35</v>
      </c>
      <c r="G51" s="83">
        <v>25</v>
      </c>
      <c r="H51" s="74"/>
      <c r="I51" s="74"/>
      <c r="J51" s="74"/>
      <c r="K51" s="74"/>
      <c r="L51" s="74"/>
      <c r="M51" s="171" t="s">
        <v>58</v>
      </c>
      <c r="N51" s="172"/>
      <c r="O51" s="172"/>
      <c r="P51" s="172"/>
      <c r="Q51" s="172"/>
      <c r="R51" s="172"/>
      <c r="S51" s="172"/>
      <c r="T51" s="173"/>
    </row>
    <row r="52" spans="2:21" ht="12" customHeight="1" x14ac:dyDescent="0.25">
      <c r="B52" s="22" t="s">
        <v>39</v>
      </c>
      <c r="C52" s="52">
        <v>1.474</v>
      </c>
      <c r="D52" s="55">
        <v>221</v>
      </c>
      <c r="E52" s="74"/>
      <c r="F52" s="232" t="s">
        <v>49</v>
      </c>
      <c r="G52" s="233"/>
      <c r="H52" s="74"/>
      <c r="I52" s="74"/>
      <c r="J52" s="147" t="s">
        <v>52</v>
      </c>
      <c r="K52" s="148"/>
      <c r="L52" s="148"/>
      <c r="M52" s="149"/>
      <c r="N52" s="153"/>
      <c r="O52" s="154"/>
      <c r="P52" s="60"/>
      <c r="Q52" s="73"/>
      <c r="R52" s="73"/>
      <c r="T52" s="80"/>
    </row>
    <row r="53" spans="2:21" ht="12" customHeight="1" x14ac:dyDescent="0.25">
      <c r="B53" s="22" t="s">
        <v>40</v>
      </c>
      <c r="C53" s="52">
        <v>1.238</v>
      </c>
      <c r="D53" s="55">
        <v>263</v>
      </c>
      <c r="E53" s="74"/>
      <c r="F53" s="157">
        <v>12</v>
      </c>
      <c r="G53" s="158"/>
      <c r="H53" s="74"/>
      <c r="I53" s="74"/>
      <c r="J53" s="150" t="s">
        <v>51</v>
      </c>
      <c r="K53" s="151"/>
      <c r="L53" s="151"/>
      <c r="M53" s="152"/>
      <c r="N53" s="155"/>
      <c r="O53" s="156"/>
      <c r="P53" s="155"/>
      <c r="Q53" s="156"/>
      <c r="R53" s="183" t="s">
        <v>57</v>
      </c>
      <c r="S53" s="183"/>
      <c r="T53" s="61" t="s">
        <v>59</v>
      </c>
    </row>
    <row r="54" spans="2:21" ht="12" customHeight="1" x14ac:dyDescent="0.25">
      <c r="B54" s="22" t="s">
        <v>41</v>
      </c>
      <c r="C54" s="52">
        <v>1.087</v>
      </c>
      <c r="D54" s="55">
        <v>300</v>
      </c>
      <c r="E54" s="74"/>
      <c r="F54" s="232" t="s">
        <v>88</v>
      </c>
      <c r="G54" s="233"/>
      <c r="H54" s="74"/>
      <c r="I54" s="74"/>
      <c r="J54" s="150" t="s">
        <v>53</v>
      </c>
      <c r="K54" s="151"/>
      <c r="L54" s="151"/>
      <c r="M54" s="152"/>
      <c r="N54" s="155"/>
      <c r="O54" s="156"/>
      <c r="P54" s="74"/>
      <c r="Q54" s="74"/>
      <c r="R54" s="74"/>
      <c r="T54" s="138" t="s">
        <v>110</v>
      </c>
    </row>
    <row r="55" spans="2:21" ht="12" customHeight="1" x14ac:dyDescent="0.25">
      <c r="B55" s="22" t="s">
        <v>42</v>
      </c>
      <c r="C55" s="52">
        <v>0.95799999999999996</v>
      </c>
      <c r="D55" s="55">
        <v>340</v>
      </c>
      <c r="E55" s="74"/>
      <c r="F55" s="35">
        <v>6</v>
      </c>
      <c r="G55" s="119"/>
      <c r="H55" s="74"/>
      <c r="I55" s="74"/>
      <c r="J55" s="150" t="s">
        <v>54</v>
      </c>
      <c r="K55" s="151"/>
      <c r="L55" s="151"/>
      <c r="M55" s="152"/>
      <c r="N55" s="155"/>
      <c r="O55" s="156"/>
      <c r="P55" s="74"/>
      <c r="Q55" s="74"/>
      <c r="R55" s="74"/>
      <c r="T55" s="5"/>
    </row>
    <row r="56" spans="2:21" ht="12" customHeight="1" thickBot="1" x14ac:dyDescent="0.3">
      <c r="B56" s="81" t="s">
        <v>43</v>
      </c>
      <c r="C56" s="77">
        <v>3.02</v>
      </c>
      <c r="D56" s="78"/>
      <c r="E56" s="74"/>
      <c r="F56" s="224" t="s">
        <v>50</v>
      </c>
      <c r="G56" s="225"/>
      <c r="H56" s="74"/>
      <c r="I56" s="74"/>
      <c r="J56" s="150" t="s">
        <v>55</v>
      </c>
      <c r="K56" s="151"/>
      <c r="L56" s="151"/>
      <c r="M56" s="152"/>
      <c r="N56" s="155"/>
      <c r="O56" s="156"/>
      <c r="P56" s="74"/>
      <c r="Q56" s="74"/>
      <c r="R56" s="74"/>
      <c r="T56" s="5"/>
    </row>
    <row r="57" spans="2:21" ht="12" customHeight="1" thickBot="1" x14ac:dyDescent="0.3">
      <c r="B57" s="64"/>
      <c r="F57" s="26">
        <v>100</v>
      </c>
      <c r="G57" s="118"/>
      <c r="J57" s="185" t="s">
        <v>56</v>
      </c>
      <c r="K57" s="186"/>
      <c r="L57" s="186"/>
      <c r="M57" s="187"/>
      <c r="N57" s="169"/>
      <c r="O57" s="170"/>
      <c r="P57" s="72"/>
      <c r="Q57" s="72"/>
      <c r="R57" s="72"/>
      <c r="S57" s="72"/>
      <c r="T57" s="63"/>
    </row>
    <row r="58" spans="2:21" x14ac:dyDescent="0.25">
      <c r="B58" s="6"/>
      <c r="C58" s="74"/>
      <c r="D58" s="74"/>
      <c r="E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T58" s="5"/>
    </row>
    <row r="59" spans="2:21" x14ac:dyDescent="0.25">
      <c r="B59" s="91" t="s">
        <v>35</v>
      </c>
      <c r="C59" s="92" t="s">
        <v>79</v>
      </c>
      <c r="D59" s="92"/>
      <c r="E59" s="92"/>
      <c r="F59" s="92" t="s">
        <v>80</v>
      </c>
      <c r="G59" s="92"/>
      <c r="H59" s="92"/>
      <c r="I59" s="92" t="s">
        <v>86</v>
      </c>
      <c r="J59" s="92"/>
      <c r="K59" s="92" t="s">
        <v>87</v>
      </c>
      <c r="L59" s="92"/>
      <c r="M59" s="92"/>
      <c r="N59" s="92"/>
      <c r="O59" s="92"/>
      <c r="P59" s="92"/>
      <c r="Q59" s="92"/>
      <c r="R59" s="92"/>
      <c r="S59" s="92"/>
      <c r="T59" s="93"/>
      <c r="U59" s="74"/>
    </row>
    <row r="60" spans="2:21" x14ac:dyDescent="0.25">
      <c r="B60" s="94" t="s">
        <v>78</v>
      </c>
      <c r="C60" s="95" t="s">
        <v>85</v>
      </c>
      <c r="D60" s="95"/>
      <c r="E60" s="95"/>
      <c r="F60" s="95" t="s">
        <v>84</v>
      </c>
      <c r="G60" s="95"/>
      <c r="H60" s="95"/>
      <c r="I60" s="95" t="s">
        <v>95</v>
      </c>
      <c r="J60" s="95"/>
      <c r="K60" s="95" t="s">
        <v>96</v>
      </c>
      <c r="L60" s="95"/>
      <c r="M60" s="95"/>
      <c r="N60" s="95"/>
      <c r="O60" s="95"/>
      <c r="P60" s="95"/>
      <c r="Q60" s="95"/>
      <c r="R60" s="95"/>
      <c r="S60" s="95"/>
      <c r="T60" s="96"/>
      <c r="U60" s="74"/>
    </row>
    <row r="61" spans="2:21" x14ac:dyDescent="0.25">
      <c r="B61" s="94" t="s">
        <v>99</v>
      </c>
      <c r="C61" s="95"/>
      <c r="D61" s="95"/>
      <c r="E61" s="95"/>
      <c r="F61" s="95"/>
      <c r="G61" s="95"/>
      <c r="H61" s="95"/>
      <c r="I61" s="95" t="s">
        <v>100</v>
      </c>
      <c r="J61" s="95"/>
      <c r="K61" s="95" t="s">
        <v>101</v>
      </c>
      <c r="L61" s="95"/>
      <c r="M61" s="95"/>
      <c r="N61" s="95"/>
      <c r="O61" s="95"/>
      <c r="P61" s="95"/>
      <c r="Q61" s="95"/>
      <c r="R61" s="95"/>
      <c r="S61" s="95"/>
      <c r="T61" s="96"/>
    </row>
    <row r="62" spans="2:21" x14ac:dyDescent="0.25">
      <c r="B62" s="94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6"/>
    </row>
    <row r="63" spans="2:21" x14ac:dyDescent="0.25">
      <c r="B63" s="94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7"/>
      <c r="T63" s="96"/>
    </row>
    <row r="64" spans="2:21" x14ac:dyDescent="0.25"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6"/>
    </row>
    <row r="65" spans="2:20" x14ac:dyDescent="0.25">
      <c r="B65" s="94"/>
      <c r="C65" s="97"/>
      <c r="D65" s="97"/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6"/>
    </row>
    <row r="66" spans="2:20" ht="12" thickBot="1" x14ac:dyDescent="0.3">
      <c r="B66" s="98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100"/>
    </row>
    <row r="67" spans="2:20" ht="2.1" customHeight="1" thickTop="1" x14ac:dyDescent="0.25"/>
  </sheetData>
  <mergeCells count="95">
    <mergeCell ref="J10:K10"/>
    <mergeCell ref="L10:M10"/>
    <mergeCell ref="I2:M2"/>
    <mergeCell ref="J4:M4"/>
    <mergeCell ref="Q4:S4"/>
    <mergeCell ref="J5:M5"/>
    <mergeCell ref="Q5:S5"/>
    <mergeCell ref="J6:M6"/>
    <mergeCell ref="C9:D9"/>
    <mergeCell ref="F9:G9"/>
    <mergeCell ref="J9:L9"/>
    <mergeCell ref="O9:P9"/>
    <mergeCell ref="R9:S9"/>
    <mergeCell ref="F11:G11"/>
    <mergeCell ref="O11:P11"/>
    <mergeCell ref="F13:G13"/>
    <mergeCell ref="J13:K13"/>
    <mergeCell ref="L13:M13"/>
    <mergeCell ref="O13:P13"/>
    <mergeCell ref="C14:D14"/>
    <mergeCell ref="J14:K14"/>
    <mergeCell ref="L14:M14"/>
    <mergeCell ref="R14:S14"/>
    <mergeCell ref="F15:G15"/>
    <mergeCell ref="J15:K15"/>
    <mergeCell ref="L15:M15"/>
    <mergeCell ref="O15:P15"/>
    <mergeCell ref="C20:D20"/>
    <mergeCell ref="R20:S20"/>
    <mergeCell ref="J16:K16"/>
    <mergeCell ref="L16:M16"/>
    <mergeCell ref="F17:G17"/>
    <mergeCell ref="J17:K17"/>
    <mergeCell ref="L17:M17"/>
    <mergeCell ref="O17:P17"/>
    <mergeCell ref="R26:S26"/>
    <mergeCell ref="J18:K18"/>
    <mergeCell ref="L18:M18"/>
    <mergeCell ref="F19:G19"/>
    <mergeCell ref="O19:P19"/>
    <mergeCell ref="R23:S23"/>
    <mergeCell ref="B24:B25"/>
    <mergeCell ref="E24:F24"/>
    <mergeCell ref="R24:S24"/>
    <mergeCell ref="R25:S25"/>
    <mergeCell ref="C43:D43"/>
    <mergeCell ref="R43:S43"/>
    <mergeCell ref="C34:D34"/>
    <mergeCell ref="F34:G34"/>
    <mergeCell ref="O34:P34"/>
    <mergeCell ref="F36:G36"/>
    <mergeCell ref="O36:P36"/>
    <mergeCell ref="C38:D38"/>
    <mergeCell ref="F38:G38"/>
    <mergeCell ref="O38:P38"/>
    <mergeCell ref="R38:S38"/>
    <mergeCell ref="F40:G40"/>
    <mergeCell ref="O40:P40"/>
    <mergeCell ref="F42:G42"/>
    <mergeCell ref="O42:P42"/>
    <mergeCell ref="F44:G44"/>
    <mergeCell ref="J44:K44"/>
    <mergeCell ref="L44:M44"/>
    <mergeCell ref="O44:P44"/>
    <mergeCell ref="J45:K45"/>
    <mergeCell ref="L45:M45"/>
    <mergeCell ref="J46:K46"/>
    <mergeCell ref="L46:M46"/>
    <mergeCell ref="J47:K47"/>
    <mergeCell ref="L47:M47"/>
    <mergeCell ref="F48:G48"/>
    <mergeCell ref="J48:K48"/>
    <mergeCell ref="L48:M48"/>
    <mergeCell ref="F49:G49"/>
    <mergeCell ref="J49:K49"/>
    <mergeCell ref="L49:M49"/>
    <mergeCell ref="J57:M57"/>
    <mergeCell ref="N57:O57"/>
    <mergeCell ref="F53:G53"/>
    <mergeCell ref="J53:M53"/>
    <mergeCell ref="N53:O53"/>
    <mergeCell ref="F54:G54"/>
    <mergeCell ref="J54:M54"/>
    <mergeCell ref="N54:O54"/>
    <mergeCell ref="J55:M55"/>
    <mergeCell ref="N55:O55"/>
    <mergeCell ref="F56:G56"/>
    <mergeCell ref="J56:M56"/>
    <mergeCell ref="N56:O56"/>
    <mergeCell ref="M51:T51"/>
    <mergeCell ref="F52:G52"/>
    <mergeCell ref="J52:M52"/>
    <mergeCell ref="N52:O52"/>
    <mergeCell ref="R53:S53"/>
    <mergeCell ref="P53:Q53"/>
  </mergeCells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708</vt:lpstr>
      <vt:lpstr>709</vt:lpstr>
      <vt:lpstr>'708'!Print_Area</vt:lpstr>
      <vt:lpstr>'709'!Print_Area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cp:lastPrinted>2021-08-04T12:34:50Z</cp:lastPrinted>
  <dcterms:created xsi:type="dcterms:W3CDTF">2015-06-05T18:17:20Z</dcterms:created>
  <dcterms:modified xsi:type="dcterms:W3CDTF">2021-08-14T17:08:26Z</dcterms:modified>
</cp:coreProperties>
</file>